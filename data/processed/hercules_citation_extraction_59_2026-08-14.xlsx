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025187f94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9d4d441e294a47"/>
    <x:sheet xmlns:r="http://schemas.openxmlformats.org/officeDocument/2006/relationships" name="Judgments" sheetId="2" r:id="R1169a7e109fa44d0"/>
    <x:sheet xmlns:r="http://schemas.openxmlformats.org/officeDocument/2006/relationships" name="Occurrences" sheetId="3" r:id="R9d7b5ebb19da4cda"/>
    <x:sheet xmlns:r="http://schemas.openxmlformats.org/officeDocument/2006/relationships" name="Unique per draft" sheetId="4" r:id="R47929024860245f1"/>
    <x:sheet xmlns:r="http://schemas.openxmlformats.org/officeDocument/2006/relationships" name="Authority index" sheetId="5" r:id="R7187248893ea456f"/>
    <x:sheet xmlns:r="http://schemas.openxmlformats.org/officeDocument/2006/relationships" name="Method" sheetId="6" r:id="R645f84f48f5c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:ss"/>
  </x:numFmts>
  <x:fonts count="7">
    <x:font>
      <x:sz val="11"/>
      <x:name val="Carlito"/>
    </x:font>
    <x:font>
      <x:sz val="9"/>
      <x:name val="Aptos"/>
    </x:font>
    <x:font>
      <x:b/>
      <x:sz val="9"/>
      <x:color rgb="FFFFFFFF"/>
      <x:name val="Aptos"/>
    </x:font>
    <x:font>
      <x:b/>
      <x:sz val="11"/>
      <x:color rgb="FFFFFFFF"/>
      <x:name val="Aptos"/>
    </x:font>
    <x:font>
      <x:b/>
      <x:sz val="10"/>
      <x:color rgb="FF1F1F1F"/>
      <x:name val="Aptos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ee1c2cbe14c92" /><Relationship Type="http://schemas.openxmlformats.org/officeDocument/2006/relationships/theme" Target="/xl/theme/theme1.xml" Id="Rb0f2cf3f5ff6470d" /><Relationship Type="http://schemas.openxmlformats.org/officeDocument/2006/relationships/sharedStrings" Target="/xl/sharedStrings.xml" Id="Rd7a3120f2b824410" /><Relationship Type="http://schemas.openxmlformats.org/officeDocument/2006/relationships/worksheet" Target="/xl/worksheets/sheet1.xml" Id="R059d4d441e294a47" /><Relationship Type="http://schemas.openxmlformats.org/officeDocument/2006/relationships/worksheet" Target="/xl/worksheets/sheet2.xml" Id="R1169a7e109fa44d0" /><Relationship Type="http://schemas.openxmlformats.org/officeDocument/2006/relationships/worksheet" Target="/xl/worksheets/sheet3.xml" Id="R9d7b5ebb19da4cda" /><Relationship Type="http://schemas.openxmlformats.org/officeDocument/2006/relationships/worksheet" Target="/xl/worksheets/sheet4.xml" Id="R47929024860245f1" /><Relationship Type="http://schemas.openxmlformats.org/officeDocument/2006/relationships/worksheet" Target="/xl/worksheets/sheet5.xml" Id="R7187248893ea456f" /><Relationship Type="http://schemas.openxmlformats.org/officeDocument/2006/relationships/worksheet" Target="/xl/worksheets/sheet6.xml" Id="R645f84f48f5c451b" /></Relationships>
</file>

<file path=xl/tables/table1.xml><?xml version="1.0" encoding="utf-8"?>
<x:table xmlns:x="http://schemas.openxmlformats.org/spreadsheetml/2006/main" id="1" name="JudgmentsTable" displayName="JudgmentsTable" ref="A1:N60" headerRowCount="1" totalsRowCount="0" totalsRowShown="0">
  <x:tableColumns count="14">
    <x:tableColumn id="1" name="draft_id"/>
    <x:tableColumn id="2" name="skeleton_arguments_id"/>
    <x:tableColumn id="3" name="case_doc_id"/>
    <x:tableColumn id="4" name="input_type"/>
    <x:tableColumn id="5" name="case_title"/>
    <x:tableColumn id="6" name="appellant_filename"/>
    <x:tableColumn id="7" name="respondent_filename"/>
    <x:tableColumn id="8" name="model_used"/>
    <x:tableColumn id="9" name="generated_at"/>
    <x:tableColumn id="10" name="authority_occurrences"/>
    <x:tableColumn id="11" name="unique_authorities"/>
    <x:tableColumn id="12" name="case_authorities"/>
    <x:tableColumn id="13" name="legislation_authorities"/>
    <x:tableColumn id="14" name="other_authoriti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currencesTable" displayName="OccurrencesTable" ref="A1:S722" headerRowCount="1" totalsRowCount="0" totalsRowShown="0">
  <x:tableColumns count="19">
    <x:tableColumn id="1" name="occurrence_id"/>
    <x:tableColumn id="2" name="draft_id"/>
    <x:tableColumn id="3" name="skeleton_arguments_id"/>
    <x:tableColumn id="4" name="case_doc_id"/>
    <x:tableColumn id="5" name="input_type"/>
    <x:tableColumn id="6" name="case_title"/>
    <x:tableColumn id="7" name="generated_at"/>
    <x:tableColumn id="8" name="authority_type"/>
    <x:tableColumn id="9" name="authority_key"/>
    <x:tableColumn id="10" name="authority_name"/>
    <x:tableColumn id="11" name="citation_raw"/>
    <x:tableColumn id="12" name="case_id"/>
    <x:tableColumn id="13" name="provision"/>
    <x:tableColumn id="14" name="source_path"/>
    <x:tableColumn id="15" name="extraction_method"/>
    <x:tableColumn id="16" name="binding_authority"/>
    <x:tableColumn id="17" name="usage_type"/>
    <x:tableColumn id="18" name="principle_or_relevance"/>
    <x:tableColumn id="19" name="source_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queAuthoritiesTable" displayName="UniqueAuthoritiesTable" ref="A1:N474" headerRowCount="1" totalsRowCount="0" totalsRowShown="0">
  <x:tableColumns count="14">
    <x:tableColumn id="1" name="unique_id"/>
    <x:tableColumn id="2" name="draft_id"/>
    <x:tableColumn id="3" name="case_doc_id"/>
    <x:tableColumn id="4" name="input_type"/>
    <x:tableColumn id="5" name="case_title"/>
    <x:tableColumn id="6" name="generated_at"/>
    <x:tableColumn id="7" name="authority_type"/>
    <x:tableColumn id="8" name="authority_key"/>
    <x:tableColumn id="9" name="authority_name"/>
    <x:tableColumn id="10" name="citation_raw"/>
    <x:tableColumn id="11" name="case_id"/>
    <x:tableColumn id="12" name="provision"/>
    <x:tableColumn id="13" name="occurrence_count"/>
    <x:tableColumn id="14" name="source_path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thorityIndexTable" displayName="AuthorityIndexTable" ref="A1:I281" headerRowCount="1" totalsRowCount="0" totalsRowShown="0">
  <x:tableColumns count="9">
    <x:tableColumn id="1" name="authority_key"/>
    <x:tableColumn id="2" name="authority_type"/>
    <x:tableColumn id="3" name="representative_name"/>
    <x:tableColumn id="4" name="representative_citation"/>
    <x:tableColumn id="5" name="cited_in_drafts"/>
    <x:tableColumn id="6" name="total_occurrences"/>
    <x:tableColumn id="7" name="real_input_drafts"/>
    <x:tableColumn id="8" name="synthetic_input_drafts"/>
    <x:tableColumn id="9" name="draft_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hodTable" displayName="MethodTable" ref="A1:B10" headerRowCount="1" totalsRowCount="0" totalsRowShown="0">
  <x:tableColumns count="2">
    <x:tableColumn id="1" name="Field"/>
    <x:tableColumn id="2" name="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a670b418241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35bc4f1d884f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92c36e36f94b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c15245dee747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b7776fb0e84c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72.22000122070312" hidden="0" customWidth="1"/>
  </x:cols>
  <x:sheetData>
    <x:row r="1">
      <x:c r="A1" s="10" t="str">
        <x:v>Hercules citation extraction</x:v>
      </x:c>
      <x:c r="B1" s="10" t="str">
        <x:v>Value</x:v>
      </x:c>
    </x:row>
    <x:row r="2">
      <x:c r="A2" s="11" t="str">
        <x:v>Source export</x:v>
      </x:c>
      <x:c r="B2" s="11" t="str">
        <x:v>draft_decisions_59_2026-08-14.json</x:v>
      </x:c>
    </x:row>
    <x:row r="3">
      <x:c r="A3" s="11" t="str">
        <x:v>Generated judgments</x:v>
      </x:c>
      <x:c r="B3" s="13" t="n">
        <x:f>COUNTA('Judgments'!$A$2:$A$60)</x:f>
        <x:v>59</x:v>
      </x:c>
    </x:row>
    <x:row r="4">
      <x:c r="A4" s="11" t="str">
        <x:v>Real-input judgments</x:v>
      </x:c>
      <x:c r="B4" s="13" t="n">
        <x:f>COUNTIF('Judgments'!$D$2:$D$60,"real")</x:f>
        <x:v>32</x:v>
      </x:c>
    </x:row>
    <x:row r="5">
      <x:c r="A5" s="11" t="str">
        <x:v>Synthetic-input judgments</x:v>
      </x:c>
      <x:c r="B5" s="13" t="n">
        <x:f>COUNTIF('Judgments'!$D$2:$D$60,"synthetic")</x:f>
        <x:v>27</x:v>
      </x:c>
    </x:row>
    <x:row r="6">
      <x:c r="A6" s="11" t="str">
        <x:v>Structured authority occurrences</x:v>
      </x:c>
      <x:c r="B6" s="13" t="n">
        <x:f>COUNTA('Occurrences'!$A$2:$A$722)</x:f>
        <x:v>721</x:v>
      </x:c>
    </x:row>
    <x:row r="7">
      <x:c r="A7" s="11" t="str">
        <x:v>Case occurrences</x:v>
      </x:c>
      <x:c r="B7" s="13" t="n">
        <x:f>COUNTIF('Occurrences'!$H$2:$H$722,"case")</x:f>
        <x:v>496</x:v>
      </x:c>
    </x:row>
    <x:row r="8">
      <x:c r="A8" s="11" t="str">
        <x:v>Legislation occurrences</x:v>
      </x:c>
      <x:c r="B8" s="13" t="n">
        <x:f>COUNTIF('Occurrences'!$H$2:$H$722,"legislation")</x:f>
        <x:v>206</x:v>
      </x:c>
    </x:row>
    <x:row r="9">
      <x:c r="A9" s="11" t="str">
        <x:v>Other authority occurrences</x:v>
      </x:c>
      <x:c r="B9" s="13" t="n">
        <x:f>COUNTIF('Occurrences'!$H$2:$H$722,"other")</x:f>
        <x:v>19</x:v>
      </x:c>
    </x:row>
    <x:row r="10">
      <x:c r="A10" s="11" t="str">
        <x:v>Unique draft-authority pairs</x:v>
      </x:c>
      <x:c r="B10" s="13" t="n">
        <x:f>COUNTA('Unique per draft'!$A$2:$A$474)</x:f>
        <x:v>473</x:v>
      </x:c>
    </x:row>
    <x:row r="11">
      <x:c r="A11" s="11" t="str">
        <x:v>Distinct normalized authorities</x:v>
      </x:c>
      <x:c r="B11" s="13" t="n">
        <x:f>COUNTA('Authority index'!$A$2:$A$281)</x:f>
        <x:v>280</x:v>
      </x:c>
    </x:row>
    <x:row r="12">
      <x:c r="A12" s="11"/>
      <x:c r="B12" s="11"/>
    </x:row>
    <x:row r="13">
      <x:c r="A13" s="9" t="str">
        <x:v>Important interpretation</x:v>
      </x:c>
      <x:c r="B13" s="9" t="str"/>
    </x:row>
    <x:row r="14" ht="31.5" customHeight="1">
      <x:c r="A14" s="12" t="str">
        <x:v>Input labels</x:v>
      </x:c>
      <x:c r="B14" s="12" t="str">
        <x:v>Real/synthetic labels describe the appellant/respondent input documents. Every judgment in this dataset is AI-generated.</x:v>
      </x:c>
    </x:row>
    <x:row r="15" ht="31.5" customHeight="1">
      <x:c r="A15" s="12" t="str">
        <x:v>Extraction scope</x:v>
      </x:c>
      <x:c r="B15" s="12" t="str">
        <x:v>Authorities were extracted from structured JSON citation fields, sourceCases, statutory provisions, interest statutory bases, and legal-test sourceAuthority fields.</x:v>
      </x:c>
    </x:row>
    <x:row r="16" ht="31.5" customHeight="1">
      <x:c r="A16" s="12" t="str">
        <x:v>Not yet verified</x:v>
      </x:c>
      <x:c r="B16" s="12" t="str">
        <x:v>Presence in this workbook does not establish that an authority exists, was retrieved, supports the proposition, or was cited accurately.</x:v>
      </x:c>
    </x:row>
    <x:row r="17" ht="31.5" customHeight="1">
      <x:c r="A17" s="12" t="str">
        <x:v>Next stage</x:v>
      </x:c>
      <x:c r="B17" s="12" t="str">
        <x:v>Link each unique authority to semantic retrieval results and the Hercules/Qdrant corpus, then perform legal-source verification.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21.670000076293945" hidden="0" customWidth="1"/>
    <x:col min="3" max="3" width="33.33000183105469" hidden="0" customWidth="1"/>
    <x:col min="4" max="4" width="9.4399995803833" hidden="0" customWidth="1"/>
    <x:col min="5" max="5" width="35.560001373291016" hidden="0" customWidth="1"/>
    <x:col min="6" max="6" width="33.33000183105469" hidden="0" customWidth="1"/>
    <x:col min="7" max="7" width="33.33000183105469" hidden="0" customWidth="1"/>
    <x:col min="8" max="8" width="11.109999656677246" hidden="0" customWidth="1"/>
    <x:col min="9" max="9" width="16.110000610351562" hidden="0" customWidth="1"/>
    <x:col min="10" max="10" width="12.220000267028809" hidden="0" customWidth="1"/>
    <x:col min="11" max="11" width="11.670000076293945" hidden="0" customWidth="1"/>
    <x:col min="12" max="12" width="11.109999656677246" hidden="0" customWidth="1"/>
    <x:col min="13" max="13" width="12.779999732971191" hidden="0" customWidth="1"/>
    <x:col min="14" max="14" width="10.5600004196167" hidden="0" customWidth="1"/>
  </x:cols>
  <x:sheetData>
    <x:row r="1">
      <x:c r="A1" s="5" t="str">
        <x:v>draft_id</x:v>
      </x:c>
      <x:c r="B1" s="5" t="str">
        <x:v>skeleton_arguments_id</x:v>
      </x:c>
      <x:c r="C1" s="5" t="str">
        <x:v>case_doc_id</x:v>
      </x:c>
      <x:c r="D1" s="5" t="str">
        <x:v>input_type</x:v>
      </x:c>
      <x:c r="E1" s="5" t="str">
        <x:v>case_title</x:v>
      </x:c>
      <x:c r="F1" s="5" t="str">
        <x:v>appellant_filename</x:v>
      </x:c>
      <x:c r="G1" s="5" t="str">
        <x:v>respondent_filename</x:v>
      </x:c>
      <x:c r="H1" s="5" t="str">
        <x:v>model_used</x:v>
      </x:c>
      <x:c r="I1" s="5" t="str">
        <x:v>generated_at</x:v>
      </x:c>
      <x:c r="J1" s="5" t="str">
        <x:v>authority_occurrences</x:v>
      </x:c>
      <x:c r="K1" s="5" t="str">
        <x:v>unique_authorities</x:v>
      </x:c>
      <x:c r="L1" s="5" t="str">
        <x:v>case_authorities</x:v>
      </x:c>
      <x:c r="M1" s="5" t="str">
        <x:v>legislation_authorities</x:v>
      </x:c>
      <x:c r="N1" s="5" t="str">
        <x:v>other_authorities</x:v>
      </x:c>
    </x:row>
    <x:row r="2">
      <x:c r="A2" s="1" t="str">
        <x:v>cmlzpblc7000304jv62ixuvp8</x:v>
      </x:c>
      <x:c r="B2" s="1" t="str">
        <x:v>cmlzon435000504jsyulxanb5</x:v>
      </x:c>
      <x:c r="C2" s="1" t="str">
        <x:v>skeleton-args-ca2022002088-9a827e5fc9cfa270</x:v>
      </x:c>
      <x:c r="D2" s="1" t="str">
        <x:v>synthetic</x:v>
      </x:c>
      <x:c r="E2" s="1" t="str">
        <x:v>HMRC v Dolphin Drilling Ltd</x:v>
      </x:c>
      <x:c r="F2" s="1" t="str">
        <x:v>HMRC_v_Dolphin_Appellant.xml</x:v>
      </x:c>
      <x:c r="G2" s="1" t="str">
        <x:v>HMRC_v_Dolphin_Respondent.xml</x:v>
      </x:c>
      <x:c r="H2" s="1" t="str">
        <x:v>gpt-4o-mini</x:v>
      </x:c>
      <x:c r="I2" s="14" t="n">
        <x:v>46076.9037800463</x:v>
      </x:c>
      <x:c r="J2" s="1" t="n">
        <x:f>COUNTIF('Occurrences'!$B$2:$B$722,A2)</x:f>
        <x:v>11</x:v>
      </x:c>
      <x:c r="K2" s="1" t="n">
        <x:f>COUNTIF('Unique per draft'!$B$2:$B$474,A2)</x:f>
        <x:v>8</x:v>
      </x:c>
      <x:c r="L2" s="1" t="n">
        <x:f>COUNTIFS('Unique per draft'!$B$2:$B$474,A2,'Unique per draft'!$G$2:$G$474,"case")</x:f>
        <x:v>5</x:v>
      </x:c>
      <x:c r="M2" s="1" t="n">
        <x:f>COUNTIFS('Unique per draft'!$B$2:$B$474,A2,'Unique per draft'!$G$2:$G$474,"legislation")</x:f>
        <x:v>3</x:v>
      </x:c>
      <x:c r="N2" s="1" t="n">
        <x:f>COUNTIFS('Unique per draft'!$B$2:$B$474,A2,'Unique per draft'!$G$2:$G$474,"other")</x:f>
        <x:v>0</x:v>
      </x:c>
    </x:row>
    <x:row r="3">
      <x:c r="A3" s="1" t="str">
        <x:v>cmlzphr57000h04jtqrwbfiyf</x:v>
      </x:c>
      <x:c r="B3" s="1" t="str">
        <x:v>cmlzo9g9l000204l26mhyhchv</x:v>
      </x:c>
      <x:c r="C3" s="1" t="str">
        <x:v>skeleton-args-ca2022008247-6c5b4a1058f7a82b</x:v>
      </x:c>
      <x:c r="D3" s="1" t="str">
        <x:v>synthetic</x:v>
      </x:c>
      <x:c r="E3" s="1" t="str">
        <x:v>Aldridge v Crawford</x:v>
      </x:c>
      <x:c r="F3" s="1" t="str">
        <x:v>Aldridge_v_Crawford_Appellant.xml</x:v>
      </x:c>
      <x:c r="G3" s="1" t="str">
        <x:v>Aldridge_v_Crawford_Respondent.xml</x:v>
      </x:c>
      <x:c r="H3" s="1" t="str">
        <x:v>gpt-4o-mini</x:v>
      </x:c>
      <x:c r="I3" s="14" t="n">
        <x:v>46076.9071071412</x:v>
      </x:c>
      <x:c r="J3" s="1" t="n">
        <x:f>COUNTIF('Occurrences'!$B$2:$B$722,A3)</x:f>
        <x:v>10</x:v>
      </x:c>
      <x:c r="K3" s="1" t="n">
        <x:f>COUNTIF('Unique per draft'!$B$2:$B$474,A3)</x:f>
        <x:v>8</x:v>
      </x:c>
      <x:c r="L3" s="1" t="n">
        <x:f>COUNTIFS('Unique per draft'!$B$2:$B$474,A3,'Unique per draft'!$G$2:$G$474,"case")</x:f>
        <x:v>5</x:v>
      </x:c>
      <x:c r="M3" s="1" t="n">
        <x:f>COUNTIFS('Unique per draft'!$B$2:$B$474,A3,'Unique per draft'!$G$2:$G$474,"legislation")</x:f>
        <x:v>3</x:v>
      </x:c>
      <x:c r="N3" s="1" t="n">
        <x:f>COUNTIFS('Unique per draft'!$B$2:$B$474,A3,'Unique per draft'!$G$2:$G$474,"other")</x:f>
        <x:v>0</x:v>
      </x:c>
    </x:row>
    <x:row r="4">
      <x:c r="A4" s="1" t="str">
        <x:v>cmlzrzxca000304l2qk1vevzx</x:v>
      </x:c>
      <x:c r="B4" s="1" t="str">
        <x:v>cmlzrw1vp000204latdth8ikx</x:v>
      </x:c>
      <x:c r="C4" s="1" t="str">
        <x:v>skeleton-args-ca2023002207-ce0aafdf6d7e5716</x:v>
      </x:c>
      <x:c r="D4" s="1" t="str">
        <x:v>synthetic</x:v>
      </x:c>
      <x:c r="E4" s="1" t="str">
        <x:v>Karpasitis v Hertfordshire County Council</x:v>
      </x:c>
      <x:c r="F4" s="1" t="str">
        <x:v>Karpasitis_v_Hertfordshire_CC_Appellant.xml</x:v>
      </x:c>
      <x:c r="G4" s="1" t="str">
        <x:v>Karpasitis_v_Hertfordshire_CC_Respondent.xml</x:v>
      </x:c>
      <x:c r="H4" s="1" t="str">
        <x:v>gpt-4o-mini</x:v>
      </x:c>
      <x:c r="I4" s="14" t="n">
        <x:v>46076.95580008102</x:v>
      </x:c>
      <x:c r="J4" s="1" t="n">
        <x:f>COUNTIF('Occurrences'!$B$2:$B$722,A4)</x:f>
        <x:v>16</x:v>
      </x:c>
      <x:c r="K4" s="1" t="n">
        <x:f>COUNTIF('Unique per draft'!$B$2:$B$474,A4)</x:f>
        <x:v>9</x:v>
      </x:c>
      <x:c r="L4" s="1" t="n">
        <x:f>COUNTIFS('Unique per draft'!$B$2:$B$474,A4,'Unique per draft'!$G$2:$G$474,"case")</x:f>
        <x:v>4</x:v>
      </x:c>
      <x:c r="M4" s="1" t="n">
        <x:f>COUNTIFS('Unique per draft'!$B$2:$B$474,A4,'Unique per draft'!$G$2:$G$474,"legislation")</x:f>
        <x:v>4</x:v>
      </x:c>
      <x:c r="N4" s="1" t="n">
        <x:f>COUNTIFS('Unique per draft'!$B$2:$B$474,A4,'Unique per draft'!$G$2:$G$474,"other")</x:f>
        <x:v>1</x:v>
      </x:c>
    </x:row>
    <x:row r="5">
      <x:c r="A5" s="1" t="str">
        <x:v>cmlzy9ss300fz04i80p2yfbg1</x:v>
      </x:c>
      <x:c r="B5" s="1" t="str">
        <x:v>cmlzy4fu700fk04i8kn66k5jp</x:v>
      </x:c>
      <x:c r="C5" s="1" t="str">
        <x:v>skeleton-args-ca2024001234-346b2d683b5c2099</x:v>
      </x:c>
      <x:c r="D5" s="1" t="str">
        <x:v>synthetic</x:v>
      </x:c>
      <x:c r="E5" s="1" t="str">
        <x:v>Transport Action Network Limited v Secretary of State for Transport</x:v>
      </x:c>
      <x:c r="F5" s="1" t="str">
        <x:v>Synthetic_TAN-v-SST-Appellant-Skeleton-Argument_Appellant.xml</x:v>
      </x:c>
      <x:c r="G5" s="1" t="str">
        <x:v>Synthetic_TAN-v-SST-Respondent-Skeleton-Argument_Respondent.xml</x:v>
      </x:c>
      <x:c r="H5" s="1" t="str">
        <x:v>gpt-4o-mini</x:v>
      </x:c>
      <x:c r="I5" s="14" t="n">
        <x:v>46077.07777166666</x:v>
      </x:c>
      <x:c r="J5" s="1" t="n">
        <x:f>COUNTIF('Occurrences'!$B$2:$B$722,A5)</x:f>
        <x:v>19</x:v>
      </x:c>
      <x:c r="K5" s="1" t="n">
        <x:f>COUNTIF('Unique per draft'!$B$2:$B$474,A5)</x:f>
        <x:v>12</x:v>
      </x:c>
      <x:c r="L5" s="1" t="n">
        <x:f>COUNTIFS('Unique per draft'!$B$2:$B$474,A5,'Unique per draft'!$G$2:$G$474,"case")</x:f>
        <x:v>5</x:v>
      </x:c>
      <x:c r="M5" s="1" t="n">
        <x:f>COUNTIFS('Unique per draft'!$B$2:$B$474,A5,'Unique per draft'!$G$2:$G$474,"legislation")</x:f>
        <x:v>6</x:v>
      </x:c>
      <x:c r="N5" s="1" t="n">
        <x:f>COUNTIFS('Unique per draft'!$B$2:$B$474,A5,'Unique per draft'!$G$2:$G$474,"other")</x:f>
        <x:v>1</x:v>
      </x:c>
    </x:row>
    <x:row r="6">
      <x:c r="A6" s="1" t="str">
        <x:v>cmm0bebet000404jvmcxyqo4x</x:v>
      </x:c>
      <x:c r="B6" s="1" t="str">
        <x:v>cmm0b5xup000504ibqdrxvam6</x:v>
      </x:c>
      <x:c r="C6" s="1" t="str">
        <x:v>skeleton-args-ca2016009836-d5eefd60a70a11d6</x:v>
      </x:c>
      <x:c r="D6" s="1" t="str">
        <x:v>synthetic</x:v>
      </x:c>
      <x:c r="E6" s="1" t="str">
        <x:v>Beacon Manufacturing Ltd v Alliance Insurance Plc</x:v>
      </x:c>
      <x:c r="F6" s="1" t="str">
        <x:v>Beacon_Manufacturing_Ltd_v_Alliance_Insurance_Plc_Appellant.xml</x:v>
      </x:c>
      <x:c r="G6" s="1" t="str">
        <x:v>Beacon_Manufacturing_Ltd_v_Alliance_Insurance_Plc_Respondent.xml</x:v>
      </x:c>
      <x:c r="H6" s="1" t="str">
        <x:v>gpt-4o-mini</x:v>
      </x:c>
      <x:c r="I6" s="14" t="n">
        <x:v>46077.33293114584</x:v>
      </x:c>
      <x:c r="J6" s="1" t="n">
        <x:f>COUNTIF('Occurrences'!$B$2:$B$722,A6)</x:f>
        <x:v>13</x:v>
      </x:c>
      <x:c r="K6" s="1" t="n">
        <x:f>COUNTIF('Unique per draft'!$B$2:$B$474,A6)</x:f>
        <x:v>6</x:v>
      </x:c>
      <x:c r="L6" s="1" t="n">
        <x:f>COUNTIFS('Unique per draft'!$B$2:$B$474,A6,'Unique per draft'!$G$2:$G$474,"case")</x:f>
        <x:v>3</x:v>
      </x:c>
      <x:c r="M6" s="1" t="n">
        <x:f>COUNTIFS('Unique per draft'!$B$2:$B$474,A6,'Unique per draft'!$G$2:$G$474,"legislation")</x:f>
        <x:v>3</x:v>
      </x:c>
      <x:c r="N6" s="1" t="n">
        <x:f>COUNTIFS('Unique per draft'!$B$2:$B$474,A6,'Unique per draft'!$G$2:$G$474,"other")</x:f>
        <x:v>0</x:v>
      </x:c>
    </x:row>
    <x:row r="7">
      <x:c r="A7" s="1" t="str">
        <x:v>cmm0ckscr000t04i312fc6edg</x:v>
      </x:c>
      <x:c r="B7" s="1" t="str">
        <x:v>cmlzojkzd000204l5u8akkk6q</x:v>
      </x:c>
      <x:c r="C7" s="1" t="str">
        <x:v>skeleton-args-ca2018006090-aa90566cb5f6b5de</x:v>
      </x:c>
      <x:c r="D7" s="1" t="str">
        <x:v>synthetic</x:v>
      </x:c>
      <x:c r="E7" s="1" t="str">
        <x:v>Blackwood v Blackwood</x:v>
      </x:c>
      <x:c r="F7" s="1" t="str">
        <x:v>Blackwood_v_Blackwood_Appellant.xml</x:v>
      </x:c>
      <x:c r="G7" s="1" t="str">
        <x:v>Blackwood_v_Blackwood_Respondent.xml</x:v>
      </x:c>
      <x:c r="H7" s="1" t="str">
        <x:v>gpt-4o-mini</x:v>
      </x:c>
      <x:c r="I7" s="14" t="n">
        <x:v>46077.355865300924</x:v>
      </x:c>
      <x:c r="J7" s="1" t="n">
        <x:f>COUNTIF('Occurrences'!$B$2:$B$722,A7)</x:f>
        <x:v>13</x:v>
      </x:c>
      <x:c r="K7" s="1" t="n">
        <x:f>COUNTIF('Unique per draft'!$B$2:$B$474,A7)</x:f>
        <x:v>9</x:v>
      </x:c>
      <x:c r="L7" s="1" t="n">
        <x:f>COUNTIFS('Unique per draft'!$B$2:$B$474,A7,'Unique per draft'!$G$2:$G$474,"case")</x:f>
        <x:v>4</x:v>
      </x:c>
      <x:c r="M7" s="1" t="n">
        <x:f>COUNTIFS('Unique per draft'!$B$2:$B$474,A7,'Unique per draft'!$G$2:$G$474,"legislation")</x:f>
        <x:v>5</x:v>
      </x:c>
      <x:c r="N7" s="1" t="n">
        <x:f>COUNTIFS('Unique per draft'!$B$2:$B$474,A7,'Unique per draft'!$G$2:$G$474,"other")</x:f>
        <x:v>0</x:v>
      </x:c>
    </x:row>
    <x:row r="8">
      <x:c r="A8" s="1" t="str">
        <x:v>cmm0ct5sl001504i3x6g18pvd</x:v>
      </x:c>
      <x:c r="B8" s="1" t="str">
        <x:v>cmlzojkzd000204l5u8akkk6q</x:v>
      </x:c>
      <x:c r="C8" s="1" t="str">
        <x:v>skeleton-args-ca2018006090-aa90566cb5f6b5de</x:v>
      </x:c>
      <x:c r="D8" s="1" t="str">
        <x:v>synthetic</x:v>
      </x:c>
      <x:c r="E8" s="1" t="str">
        <x:v>Blackwood v Blackwood</x:v>
      </x:c>
      <x:c r="F8" s="1" t="str">
        <x:v>Blackwood_v_Blackwood_Appellant.xml</x:v>
      </x:c>
      <x:c r="G8" s="1" t="str">
        <x:v>Blackwood_v_Blackwood_Respondent.xml</x:v>
      </x:c>
      <x:c r="H8" s="1" t="str">
        <x:v>gpt-4o-mini</x:v>
      </x:c>
      <x:c r="I8" s="14" t="n">
        <x:v>46077.36038689815</x:v>
      </x:c>
      <x:c r="J8" s="1" t="n">
        <x:f>COUNTIF('Occurrences'!$B$2:$B$722,A8)</x:f>
        <x:v>12</x:v>
      </x:c>
      <x:c r="K8" s="1" t="n">
        <x:f>COUNTIF('Unique per draft'!$B$2:$B$474,A8)</x:f>
        <x:v>7</x:v>
      </x:c>
      <x:c r="L8" s="1" t="n">
        <x:f>COUNTIFS('Unique per draft'!$B$2:$B$474,A8,'Unique per draft'!$G$2:$G$474,"case")</x:f>
        <x:v>4</x:v>
      </x:c>
      <x:c r="M8" s="1" t="n">
        <x:f>COUNTIFS('Unique per draft'!$B$2:$B$474,A8,'Unique per draft'!$G$2:$G$474,"legislation")</x:f>
        <x:v>3</x:v>
      </x:c>
      <x:c r="N8" s="1" t="n">
        <x:f>COUNTIFS('Unique per draft'!$B$2:$B$474,A8,'Unique per draft'!$G$2:$G$474,"other")</x:f>
        <x:v>0</x:v>
      </x:c>
    </x:row>
    <x:row r="9">
      <x:c r="A9" s="1" t="str">
        <x:v>cmm0k3nj8000h04l412ruhfxj</x:v>
      </x:c>
      <x:c r="B9" s="1" t="str">
        <x:v>cmlzy4fu700fk04i8kn66k5jp</x:v>
      </x:c>
      <x:c r="C9" s="1" t="str">
        <x:v>skeleton-args-ca2024001234-346b2d683b5c2099</x:v>
      </x:c>
      <x:c r="D9" s="1" t="str">
        <x:v>synthetic</x:v>
      </x:c>
      <x:c r="E9" s="1" t="str">
        <x:v>Transport Action Network Limited v Secretary of State for Transport</x:v>
      </x:c>
      <x:c r="F9" s="1" t="str">
        <x:v>Synthetic_TAN-v-SST-Appellant-Skeleton-Argument_Appellant.xml</x:v>
      </x:c>
      <x:c r="G9" s="1" t="str">
        <x:v>Synthetic_TAN-v-SST-Respondent-Skeleton-Argument_Respondent.xml</x:v>
      </x:c>
      <x:c r="H9" s="1" t="str">
        <x:v>gpt-4o-mini</x:v>
      </x:c>
      <x:c r="I9" s="14" t="n">
        <x:v>46077.50213298611</x:v>
      </x:c>
      <x:c r="J9" s="1" t="n">
        <x:f>COUNTIF('Occurrences'!$B$2:$B$722,A9)</x:f>
        <x:v>9</x:v>
      </x:c>
      <x:c r="K9" s="1" t="n">
        <x:f>COUNTIF('Unique per draft'!$B$2:$B$474,A9)</x:f>
        <x:v>9</x:v>
      </x:c>
      <x:c r="L9" s="1" t="n">
        <x:f>COUNTIFS('Unique per draft'!$B$2:$B$474,A9,'Unique per draft'!$G$2:$G$474,"case")</x:f>
        <x:v>4</x:v>
      </x:c>
      <x:c r="M9" s="1" t="n">
        <x:f>COUNTIFS('Unique per draft'!$B$2:$B$474,A9,'Unique per draft'!$G$2:$G$474,"legislation")</x:f>
        <x:v>4</x:v>
      </x:c>
      <x:c r="N9" s="1" t="n">
        <x:f>COUNTIFS('Unique per draft'!$B$2:$B$474,A9,'Unique per draft'!$G$2:$G$474,"other")</x:f>
        <x:v>1</x:v>
      </x:c>
    </x:row>
    <x:row r="10">
      <x:c r="A10" s="1" t="str">
        <x:v>cmm3b1g6j000j04jt8w2u9z6w</x:v>
      </x:c>
      <x:c r="B10" s="1" t="str">
        <x:v>cmm3awy72000404jtfbucs83q</x:v>
      </x:c>
      <x:c r="C10" s="1" t="str">
        <x:v>skeleton-args-ca2025000412-e17d5e10793fe216</x:v>
      </x:c>
      <x:c r="D10" s="1" t="str">
        <x:v>synthetic</x:v>
      </x:c>
      <x:c r="E10" s="1" t="str">
        <x:v>R (Harrison) v Secretary of State for Justice</x:v>
      </x:c>
      <x:c r="F10" s="1" t="str">
        <x:v>Harrison_v_SSJ_Appellant.xml</x:v>
      </x:c>
      <x:c r="G10" s="1" t="str">
        <x:v>Harrison_v_SSJ_Respondent.xml</x:v>
      </x:c>
      <x:c r="H10" s="1" t="str">
        <x:v>gpt-4o-mini</x:v>
      </x:c>
      <x:c r="I10" s="14" t="n">
        <x:v>46079.42550269676</x:v>
      </x:c>
      <x:c r="J10" s="1" t="n">
        <x:f>COUNTIF('Occurrences'!$B$2:$B$722,A10)</x:f>
        <x:v>9</x:v>
      </x:c>
      <x:c r="K10" s="1" t="n">
        <x:f>COUNTIF('Unique per draft'!$B$2:$B$474,A10)</x:f>
        <x:v>8</x:v>
      </x:c>
      <x:c r="L10" s="1" t="n">
        <x:f>COUNTIFS('Unique per draft'!$B$2:$B$474,A10,'Unique per draft'!$G$2:$G$474,"case")</x:f>
        <x:v>5</x:v>
      </x:c>
      <x:c r="M10" s="1" t="n">
        <x:f>COUNTIFS('Unique per draft'!$B$2:$B$474,A10,'Unique per draft'!$G$2:$G$474,"legislation")</x:f>
        <x:v>3</x:v>
      </x:c>
      <x:c r="N10" s="1" t="n">
        <x:f>COUNTIFS('Unique per draft'!$B$2:$B$474,A10,'Unique per draft'!$G$2:$G$474,"other")</x:f>
        <x:v>0</x:v>
      </x:c>
    </x:row>
    <x:row r="11">
      <x:c r="A11" s="1" t="str">
        <x:v>cmm920v38000b04ib8ug7hazg</x:v>
      </x:c>
      <x:c r="B11" s="1" t="str">
        <x:v>cmlzojkzd000204l5u8akkk6q</x:v>
      </x:c>
      <x:c r="C11" s="1" t="str">
        <x:v>skeleton-args-ca2018006090-aa90566cb5f6b5de</x:v>
      </x:c>
      <x:c r="D11" s="1" t="str">
        <x:v>synthetic</x:v>
      </x:c>
      <x:c r="E11" s="1" t="str">
        <x:v>Blackwood v Blackwood</x:v>
      </x:c>
      <x:c r="F11" s="1" t="str">
        <x:v>Blackwood_v_Blackwood_Appellant.xml</x:v>
      </x:c>
      <x:c r="G11" s="1" t="str">
        <x:v>Blackwood_v_Blackwood_Respondent.xml</x:v>
      </x:c>
      <x:c r="H11" s="1" t="str">
        <x:v>gpt-4o-mini</x:v>
      </x:c>
      <x:c r="I11" s="14" t="n">
        <x:v>46083.44926630787</x:v>
      </x:c>
      <x:c r="J11" s="1" t="n">
        <x:f>COUNTIF('Occurrences'!$B$2:$B$722,A11)</x:f>
        <x:v>11</x:v>
      </x:c>
      <x:c r="K11" s="1" t="n">
        <x:f>COUNTIF('Unique per draft'!$B$2:$B$474,A11)</x:f>
        <x:v>7</x:v>
      </x:c>
      <x:c r="L11" s="1" t="n">
        <x:f>COUNTIFS('Unique per draft'!$B$2:$B$474,A11,'Unique per draft'!$G$2:$G$474,"case")</x:f>
        <x:v>4</x:v>
      </x:c>
      <x:c r="M11" s="1" t="n">
        <x:f>COUNTIFS('Unique per draft'!$B$2:$B$474,A11,'Unique per draft'!$G$2:$G$474,"legislation")</x:f>
        <x:v>3</x:v>
      </x:c>
      <x:c r="N11" s="1" t="n">
        <x:f>COUNTIFS('Unique per draft'!$B$2:$B$474,A11,'Unique per draft'!$G$2:$G$474,"other")</x:f>
        <x:v>0</x:v>
      </x:c>
    </x:row>
    <x:row r="12">
      <x:c r="A12" s="1" t="str">
        <x:v>cmm927sxp000304jp8fpwf2ew</x:v>
      </x:c>
      <x:c r="B12" s="1" t="str">
        <x:v>cmlzojkzd000204l5u8akkk6q</x:v>
      </x:c>
      <x:c r="C12" s="1" t="str">
        <x:v>skeleton-args-ca2018006090-aa90566cb5f6b5de</x:v>
      </x:c>
      <x:c r="D12" s="1" t="str">
        <x:v>synthetic</x:v>
      </x:c>
      <x:c r="E12" s="1" t="str">
        <x:v>Blackwood v Blackwood</x:v>
      </x:c>
      <x:c r="F12" s="1" t="str">
        <x:v>Blackwood_v_Blackwood_Appellant.xml</x:v>
      </x:c>
      <x:c r="G12" s="1" t="str">
        <x:v>Blackwood_v_Blackwood_Respondent.xml</x:v>
      </x:c>
      <x:c r="H12" s="1" t="str">
        <x:v>gpt-4o-mini</x:v>
      </x:c>
      <x:c r="I12" s="14" t="n">
        <x:v>46083.45301398148</x:v>
      </x:c>
      <x:c r="J12" s="1" t="n">
        <x:f>COUNTIF('Occurrences'!$B$2:$B$722,A12)</x:f>
        <x:v>17</x:v>
      </x:c>
      <x:c r="K12" s="1" t="n">
        <x:f>COUNTIF('Unique per draft'!$B$2:$B$474,A12)</x:f>
        <x:v>9</x:v>
      </x:c>
      <x:c r="L12" s="1" t="n">
        <x:f>COUNTIFS('Unique per draft'!$B$2:$B$474,A12,'Unique per draft'!$G$2:$G$474,"case")</x:f>
        <x:v>5</x:v>
      </x:c>
      <x:c r="M12" s="1" t="n">
        <x:f>COUNTIFS('Unique per draft'!$B$2:$B$474,A12,'Unique per draft'!$G$2:$G$474,"legislation")</x:f>
        <x:v>4</x:v>
      </x:c>
      <x:c r="N12" s="1" t="n">
        <x:f>COUNTIFS('Unique per draft'!$B$2:$B$474,A12,'Unique per draft'!$G$2:$G$474,"other")</x:f>
        <x:v>0</x:v>
      </x:c>
    </x:row>
    <x:row r="13">
      <x:c r="A13" s="1" t="str">
        <x:v>cmm93eoww000904l4jttzk880</x:v>
      </x:c>
      <x:c r="B13" s="1" t="str">
        <x:v>cmm91vpkv000204ibt9h7gspj</x:v>
      </x:c>
      <x:c r="C13" s="1" t="str">
        <x:v>skeleton-args-ca2019004792-59f1ed0831f20944</x:v>
      </x:c>
      <x:c r="D13" s="1" t="str">
        <x:v>synthetic</x:v>
      </x:c>
      <x:c r="E13" s="1" t="str">
        <x:v>Collins v North Thames NHS Foundation Trust</x:v>
      </x:c>
      <x:c r="F13" s="1" t="str">
        <x:v>Collins_v_North_Thames_NHS_Foundation_Trust_Appellant.xml</x:v>
      </x:c>
      <x:c r="G13" s="1" t="str">
        <x:v>Collins_v_North_Thames_NHS_Foundation_Trust_Respondent.xml</x:v>
      </x:c>
      <x:c r="H13" s="1" t="str">
        <x:v>gpt-4o-mini</x:v>
      </x:c>
      <x:c r="I13" s="14" t="n">
        <x:v>46083.47617366898</x:v>
      </x:c>
      <x:c r="J13" s="1" t="n">
        <x:f>COUNTIF('Occurrences'!$B$2:$B$722,A13)</x:f>
        <x:v>6</x:v>
      </x:c>
      <x:c r="K13" s="1" t="n">
        <x:f>COUNTIF('Unique per draft'!$B$2:$B$474,A13)</x:f>
        <x:v>6</x:v>
      </x:c>
      <x:c r="L13" s="1" t="n">
        <x:f>COUNTIFS('Unique per draft'!$B$2:$B$474,A13,'Unique per draft'!$G$2:$G$474,"case")</x:f>
        <x:v>2</x:v>
      </x:c>
      <x:c r="M13" s="1" t="n">
        <x:f>COUNTIFS('Unique per draft'!$B$2:$B$474,A13,'Unique per draft'!$G$2:$G$474,"legislation")</x:f>
        <x:v>3</x:v>
      </x:c>
      <x:c r="N13" s="1" t="n">
        <x:f>COUNTIFS('Unique per draft'!$B$2:$B$474,A13,'Unique per draft'!$G$2:$G$474,"other")</x:f>
        <x:v>1</x:v>
      </x:c>
    </x:row>
    <x:row r="14">
      <x:c r="A14" s="1" t="str">
        <x:v>cmmafut12000904l4kjskwky4</x:v>
      </x:c>
      <x:c r="B14" s="1" t="str">
        <x:v>cmm3awy72000404jtfbucs83q</x:v>
      </x:c>
      <x:c r="C14" s="1" t="str">
        <x:v>skeleton-args-ca2025000412-e17d5e10793fe216</x:v>
      </x:c>
      <x:c r="D14" s="1" t="str">
        <x:v>synthetic</x:v>
      </x:c>
      <x:c r="E14" s="1" t="str">
        <x:v>R (Harrison) v Secretary of State for Justice</x:v>
      </x:c>
      <x:c r="F14" s="1" t="str">
        <x:v>Harrison_v_SSJ_Appellant.xml</x:v>
      </x:c>
      <x:c r="G14" s="1" t="str">
        <x:v>Harrison_v_SSJ_Respondent.xml</x:v>
      </x:c>
      <x:c r="H14" s="1" t="str">
        <x:v>gpt-4o-mini</x:v>
      </x:c>
      <x:c r="I14" s="14" t="n">
        <x:v>46084.41799541667</x:v>
      </x:c>
      <x:c r="J14" s="1" t="n">
        <x:f>COUNTIF('Occurrences'!$B$2:$B$722,A14)</x:f>
        <x:v>6</x:v>
      </x:c>
      <x:c r="K14" s="1" t="n">
        <x:f>COUNTIF('Unique per draft'!$B$2:$B$474,A14)</x:f>
        <x:v>6</x:v>
      </x:c>
      <x:c r="L14" s="1" t="n">
        <x:f>COUNTIFS('Unique per draft'!$B$2:$B$474,A14,'Unique per draft'!$G$2:$G$474,"case")</x:f>
        <x:v>5</x:v>
      </x:c>
      <x:c r="M14" s="1" t="n">
        <x:f>COUNTIFS('Unique per draft'!$B$2:$B$474,A14,'Unique per draft'!$G$2:$G$474,"legislation")</x:f>
        <x:v>1</x:v>
      </x:c>
      <x:c r="N14" s="1" t="n">
        <x:f>COUNTIFS('Unique per draft'!$B$2:$B$474,A14,'Unique per draft'!$G$2:$G$474,"other")</x:f>
        <x:v>0</x:v>
      </x:c>
    </x:row>
    <x:row r="15">
      <x:c r="A15" s="1" t="str">
        <x:v>cmmc2zaji000h04l23a3cp61p</x:v>
      </x:c>
      <x:c r="B15" s="1" t="str">
        <x:v>cmlzon435000504jsyulxanb5</x:v>
      </x:c>
      <x:c r="C15" s="1" t="str">
        <x:v>skeleton-args-ca2022002088-9a827e5fc9cfa270</x:v>
      </x:c>
      <x:c r="D15" s="1" t="str">
        <x:v>synthetic</x:v>
      </x:c>
      <x:c r="E15" s="1" t="str">
        <x:v>HMRC v Dolphin Drilling Ltd</x:v>
      </x:c>
      <x:c r="F15" s="1" t="str">
        <x:v>HMRC_v_Dolphin_Appellant.xml</x:v>
      </x:c>
      <x:c r="G15" s="1" t="str">
        <x:v>HMRC_v_Dolphin_Respondent.xml</x:v>
      </x:c>
      <x:c r="H15" s="1" t="str">
        <x:v>gpt-4o-mini</x:v>
      </x:c>
      <x:c r="I15" s="14" t="n">
        <x:v>46085.56737810185</x:v>
      </x:c>
      <x:c r="J15" s="1" t="n">
        <x:f>COUNTIF('Occurrences'!$B$2:$B$722,A15)</x:f>
        <x:v>14</x:v>
      </x:c>
      <x:c r="K15" s="1" t="n">
        <x:f>COUNTIF('Unique per draft'!$B$2:$B$474,A15)</x:f>
        <x:v>8</x:v>
      </x:c>
      <x:c r="L15" s="1" t="n">
        <x:f>COUNTIFS('Unique per draft'!$B$2:$B$474,A15,'Unique per draft'!$G$2:$G$474,"case")</x:f>
        <x:v>4</x:v>
      </x:c>
      <x:c r="M15" s="1" t="n">
        <x:f>COUNTIFS('Unique per draft'!$B$2:$B$474,A15,'Unique per draft'!$G$2:$G$474,"legislation")</x:f>
        <x:v>4</x:v>
      </x:c>
      <x:c r="N15" s="1" t="n">
        <x:f>COUNTIFS('Unique per draft'!$B$2:$B$474,A15,'Unique per draft'!$G$2:$G$474,"other")</x:f>
        <x:v>0</x:v>
      </x:c>
    </x:row>
    <x:row r="16">
      <x:c r="A16" s="1" t="str">
        <x:v>cmmc4a8zu000h04jx2w3r0hzo</x:v>
      </x:c>
      <x:c r="B16" s="1" t="str">
        <x:v>cmmc45761000204jx6bd5kxqk</x:v>
      </x:c>
      <x:c r="C16" s="1" t="str">
        <x:v>ca-2024-000255-ellis-v-ssj-appellant-skeleton</x:v>
      </x:c>
      <x:c r="D16" s="1" t="str">
        <x:v>real</x:v>
      </x:c>
      <x:c r="E16" s="1" t="str">
        <x:v>R (Fajr Ellis) v Secretary of State for Justice</x:v>
      </x:c>
      <x:c r="F16" s="1" t="str">
        <x:v>Ellis_Appellant_Skeleton_Argument(2).xml</x:v>
      </x:c>
      <x:c r="G16" s="1" t="str">
        <x:v>Ellis_Respondent_Skeleton_Argument(2).xml</x:v>
      </x:c>
      <x:c r="H16" s="1" t="str">
        <x:v>gpt-4o-mini</x:v>
      </x:c>
      <x:c r="I16" s="14" t="n">
        <x:v>46085.592734907405</x:v>
      </x:c>
      <x:c r="J16" s="1" t="n">
        <x:f>COUNTIF('Occurrences'!$B$2:$B$722,A16)</x:f>
        <x:v>14</x:v>
      </x:c>
      <x:c r="K16" s="1" t="n">
        <x:f>COUNTIF('Unique per draft'!$B$2:$B$474,A16)</x:f>
        <x:v>10</x:v>
      </x:c>
      <x:c r="L16" s="1" t="n">
        <x:f>COUNTIFS('Unique per draft'!$B$2:$B$474,A16,'Unique per draft'!$G$2:$G$474,"case")</x:f>
        <x:v>5</x:v>
      </x:c>
      <x:c r="M16" s="1" t="n">
        <x:f>COUNTIFS('Unique per draft'!$B$2:$B$474,A16,'Unique per draft'!$G$2:$G$474,"legislation")</x:f>
        <x:v>5</x:v>
      </x:c>
      <x:c r="N16" s="1" t="n">
        <x:f>COUNTIFS('Unique per draft'!$B$2:$B$474,A16,'Unique per draft'!$G$2:$G$474,"other")</x:f>
        <x:v>0</x:v>
      </x:c>
    </x:row>
    <x:row r="17">
      <x:c r="A17" s="1" t="str">
        <x:v>cmmcal70d000h04k3e11w997v</x:v>
      </x:c>
      <x:c r="B17" s="1" t="str">
        <x:v>cmmcafz4s000204k31uew4nq3</x:v>
      </x:c>
      <x:c r="C17" s="1" t="str">
        <x:v>ew-cases-EWCA-Civ-2024-1110</x:v>
      </x:c>
      <x:c r="D17" s="1" t="str">
        <x:v>synthetic</x:v>
      </x:c>
      <x:c r="E17" s="1" t="str">
        <x:v>UnipolSai Assicurazioni S.p.A. v Covéa Insurance Plc</x:v>
      </x:c>
      <x:c r="F17" s="1" t="str">
        <x:v>UnipolSai_v_Covea_Appellant.xml</x:v>
      </x:c>
      <x:c r="G17" s="1" t="str">
        <x:v>UnipolSai_v_Covea_Respondent.xml</x:v>
      </x:c>
      <x:c r="H17" s="1" t="str">
        <x:v>gpt-4o-mini</x:v>
      </x:c>
      <x:c r="I17" s="14" t="n">
        <x:v>46085.71528512731</x:v>
      </x:c>
      <x:c r="J17" s="1" t="n">
        <x:f>COUNTIF('Occurrences'!$B$2:$B$722,A17)</x:f>
        <x:v>13</x:v>
      </x:c>
      <x:c r="K17" s="1" t="n">
        <x:f>COUNTIF('Unique per draft'!$B$2:$B$474,A17)</x:f>
        <x:v>7</x:v>
      </x:c>
      <x:c r="L17" s="1" t="n">
        <x:f>COUNTIFS('Unique per draft'!$B$2:$B$474,A17,'Unique per draft'!$G$2:$G$474,"case")</x:f>
        <x:v>4</x:v>
      </x:c>
      <x:c r="M17" s="1" t="n">
        <x:f>COUNTIFS('Unique per draft'!$B$2:$B$474,A17,'Unique per draft'!$G$2:$G$474,"legislation")</x:f>
        <x:v>2</x:v>
      </x:c>
      <x:c r="N17" s="1" t="n">
        <x:f>COUNTIFS('Unique per draft'!$B$2:$B$474,A17,'Unique per draft'!$G$2:$G$474,"other")</x:f>
        <x:v>1</x:v>
      </x:c>
    </x:row>
    <x:row r="18">
      <x:c r="A18" s="1" t="str">
        <x:v>cmmdjqxh3000304kvs37yorn3</x:v>
      </x:c>
      <x:c r="B18" s="1" t="str">
        <x:v>cmmdjkfi7000204jsunevvuvv</x:v>
      </x:c>
      <x:c r="C18" s="1" t="str">
        <x:v>skeleton-args-ca2023004634-299a4a730fe1f43a</x:v>
      </x:c>
      <x:c r="D18" s="1" t="str">
        <x:v>synthetic</x:v>
      </x:c>
      <x:c r="E18" s="1" t="str">
        <x:v>Metropolitan Property Holdings Ltd v Artisan Coffee Co Ltd</x:v>
      </x:c>
      <x:c r="F18" s="1" t="str">
        <x:v>Metropolitan_Property_Holdings_Ltd_v_Artisan_Coffe_Appellant.xml</x:v>
      </x:c>
      <x:c r="G18" s="1" t="str">
        <x:v>Metropolitan_Property_Holdings_Ltd_v_Artisan_Coffe_Respondent.xml</x:v>
      </x:c>
      <x:c r="H18" s="1" t="str">
        <x:v>gpt-4o-mini</x:v>
      </x:c>
      <x:c r="I18" s="14" t="n">
        <x:v>46086.59318206018</x:v>
      </x:c>
      <x:c r="J18" s="1" t="n">
        <x:f>COUNTIF('Occurrences'!$B$2:$B$722,A18)</x:f>
        <x:v>12</x:v>
      </x:c>
      <x:c r="K18" s="1" t="n">
        <x:f>COUNTIF('Unique per draft'!$B$2:$B$474,A18)</x:f>
        <x:v>9</x:v>
      </x:c>
      <x:c r="L18" s="1" t="n">
        <x:f>COUNTIFS('Unique per draft'!$B$2:$B$474,A18,'Unique per draft'!$G$2:$G$474,"case")</x:f>
        <x:v>6</x:v>
      </x:c>
      <x:c r="M18" s="1" t="n">
        <x:f>COUNTIFS('Unique per draft'!$B$2:$B$474,A18,'Unique per draft'!$G$2:$G$474,"legislation")</x:f>
        <x:v>3</x:v>
      </x:c>
      <x:c r="N18" s="1" t="n">
        <x:f>COUNTIFS('Unique per draft'!$B$2:$B$474,A18,'Unique per draft'!$G$2:$G$474,"other")</x:f>
        <x:v>0</x:v>
      </x:c>
    </x:row>
    <x:row r="19">
      <x:c r="A19" s="1" t="str">
        <x:v>cmmdkjytd000304jl24cdxqvp</x:v>
      </x:c>
      <x:c r="B19" s="1" t="str">
        <x:v>cmmdjkfi7000204jsunevvuvv</x:v>
      </x:c>
      <x:c r="C19" s="1" t="str">
        <x:v>skeleton-args-ca2023004634-299a4a730fe1f43a</x:v>
      </x:c>
      <x:c r="D19" s="1" t="str">
        <x:v>synthetic</x:v>
      </x:c>
      <x:c r="E19" s="1" t="str">
        <x:v>Metropolitan Property Holdings Ltd v Artisan Coffee Co Ltd</x:v>
      </x:c>
      <x:c r="F19" s="1" t="str">
        <x:v>Metropolitan_Property_Holdings_Ltd_v_Artisan_Coffe_Appellant.xml</x:v>
      </x:c>
      <x:c r="G19" s="1" t="str">
        <x:v>Metropolitan_Property_Holdings_Ltd_v_Artisan_Coffe_Respondent.xml</x:v>
      </x:c>
      <x:c r="H19" s="1" t="str">
        <x:v>gpt-4o-mini</x:v>
      </x:c>
      <x:c r="I19" s="14" t="n">
        <x:v>46086.60886219907</x:v>
      </x:c>
      <x:c r="J19" s="1" t="n">
        <x:f>COUNTIF('Occurrences'!$B$2:$B$722,A19)</x:f>
        <x:v>10</x:v>
      </x:c>
      <x:c r="K19" s="1" t="n">
        <x:f>COUNTIF('Unique per draft'!$B$2:$B$474,A19)</x:f>
        <x:v>8</x:v>
      </x:c>
      <x:c r="L19" s="1" t="n">
        <x:f>COUNTIFS('Unique per draft'!$B$2:$B$474,A19,'Unique per draft'!$G$2:$G$474,"case")</x:f>
        <x:v>4</x:v>
      </x:c>
      <x:c r="M19" s="1" t="n">
        <x:f>COUNTIFS('Unique per draft'!$B$2:$B$474,A19,'Unique per draft'!$G$2:$G$474,"legislation")</x:f>
        <x:v>4</x:v>
      </x:c>
      <x:c r="N19" s="1" t="n">
        <x:f>COUNTIFS('Unique per draft'!$B$2:$B$474,A19,'Unique per draft'!$G$2:$G$474,"other")</x:f>
        <x:v>0</x:v>
      </x:c>
    </x:row>
    <x:row r="20">
      <x:c r="A20" s="1" t="str">
        <x:v>cmmf22axa000h04jxcpnnecs0</x:v>
      </x:c>
      <x:c r="B20" s="1" t="str">
        <x:v>cmlzne5ed000204ju2xa40q49</x:v>
      </x:c>
      <x:c r="C20" s="1" t="str">
        <x:v>ew-cases-EWCA-Civ-2024-1</x:v>
      </x:c>
      <x:c r="D20" s="1" t="str">
        <x:v>synthetic</x:v>
      </x:c>
      <x:c r="E20" s="1" t="str">
        <x:v>HMRC v Dolphin Drilling Ltd</x:v>
      </x:c>
      <x:c r="F20" s="1" t="str">
        <x:v>HMRC_v_Dolphin_Appellant.xml</x:v>
      </x:c>
      <x:c r="G20" s="1" t="str">
        <x:v>HMRC_v_Dolphin_Respondent.xml</x:v>
      </x:c>
      <x:c r="H20" s="1" t="str">
        <x:v>gpt-4o-mini</x:v>
      </x:c>
      <x:c r="I20" s="14" t="n">
        <x:v>46087.649083854165</x:v>
      </x:c>
      <x:c r="J20" s="1" t="n">
        <x:f>COUNTIF('Occurrences'!$B$2:$B$722,A20)</x:f>
        <x:v>7</x:v>
      </x:c>
      <x:c r="K20" s="1" t="n">
        <x:f>COUNTIF('Unique per draft'!$B$2:$B$474,A20)</x:f>
        <x:v>5</x:v>
      </x:c>
      <x:c r="L20" s="1" t="n">
        <x:f>COUNTIFS('Unique per draft'!$B$2:$B$474,A20,'Unique per draft'!$G$2:$G$474,"case")</x:f>
        <x:v>4</x:v>
      </x:c>
      <x:c r="M20" s="1" t="n">
        <x:f>COUNTIFS('Unique per draft'!$B$2:$B$474,A20,'Unique per draft'!$G$2:$G$474,"legislation")</x:f>
        <x:v>1</x:v>
      </x:c>
      <x:c r="N20" s="1" t="n">
        <x:f>COUNTIFS('Unique per draft'!$B$2:$B$474,A20,'Unique per draft'!$G$2:$G$474,"other")</x:f>
        <x:v>0</x:v>
      </x:c>
    </x:row>
    <x:row r="21">
      <x:c r="A21" s="1" t="str">
        <x:v>cmmjsmua2000q04jstd4i8p7c</x:v>
      </x:c>
      <x:c r="B21" s="1" t="str">
        <x:v>cmmc45761000204jx6bd5kxqk</x:v>
      </x:c>
      <x:c r="C21" s="1" t="str">
        <x:v>ca-2024-000255-ellis-v-ssj-appellant-skeleton</x:v>
      </x:c>
      <x:c r="D21" s="1" t="str">
        <x:v>real</x:v>
      </x:c>
      <x:c r="E21" s="1" t="str">
        <x:v>R (Fajr Ellis) v Secretary of State for Justice</x:v>
      </x:c>
      <x:c r="F21" s="1" t="str">
        <x:v>Ellis_Appellant_Skeleton_Argument(2).xml</x:v>
      </x:c>
      <x:c r="G21" s="1" t="str">
        <x:v>Ellis_Respondent_Skeleton_Argument(2).xml</x:v>
      </x:c>
      <x:c r="H21" s="1" t="str">
        <x:v>gpt-4o-mini</x:v>
      </x:c>
      <x:c r="I21" s="14" t="n">
        <x:v>46090.96497417824</x:v>
      </x:c>
      <x:c r="J21" s="1" t="n">
        <x:f>COUNTIF('Occurrences'!$B$2:$B$722,A21)</x:f>
        <x:v>14</x:v>
      </x:c>
      <x:c r="K21" s="1" t="n">
        <x:f>COUNTIF('Unique per draft'!$B$2:$B$474,A21)</x:f>
        <x:v>9</x:v>
      </x:c>
      <x:c r="L21" s="1" t="n">
        <x:f>COUNTIFS('Unique per draft'!$B$2:$B$474,A21,'Unique per draft'!$G$2:$G$474,"case")</x:f>
        <x:v>6</x:v>
      </x:c>
      <x:c r="M21" s="1" t="n">
        <x:f>COUNTIFS('Unique per draft'!$B$2:$B$474,A21,'Unique per draft'!$G$2:$G$474,"legislation")</x:f>
        <x:v>3</x:v>
      </x:c>
      <x:c r="N21" s="1" t="n">
        <x:f>COUNTIFS('Unique per draft'!$B$2:$B$474,A21,'Unique per draft'!$G$2:$G$474,"other")</x:f>
        <x:v>0</x:v>
      </x:c>
    </x:row>
    <x:row r="22">
      <x:c r="A22" s="1" t="str">
        <x:v>cmmjtnsdx000904l4vhap8xwc</x:v>
      </x:c>
      <x:c r="B22" s="1" t="str">
        <x:v>cmmc45761000204jx6bd5kxqk</x:v>
      </x:c>
      <x:c r="C22" s="1" t="str">
        <x:v>ca-2024-000255-ellis-v-ssj-appellant-skeleton</x:v>
      </x:c>
      <x:c r="D22" s="1" t="str">
        <x:v>real</x:v>
      </x:c>
      <x:c r="E22" s="1" t="str">
        <x:v>R (Fajr Ellis) v Secretary of State for Justice</x:v>
      </x:c>
      <x:c r="F22" s="1" t="str">
        <x:v>Ellis_Appellant_Skeleton_Argument(2).xml</x:v>
      </x:c>
      <x:c r="G22" s="1" t="str">
        <x:v>Ellis_Respondent_Skeleton_Argument(2).xml</x:v>
      </x:c>
      <x:c r="H22" s="1" t="str">
        <x:v>gpt-4o-mini</x:v>
      </x:c>
      <x:c r="I22" s="14" t="n">
        <x:v>46090.98492577546</x:v>
      </x:c>
      <x:c r="J22" s="1" t="n">
        <x:f>COUNTIF('Occurrences'!$B$2:$B$722,A22)</x:f>
        <x:v>10</x:v>
      </x:c>
      <x:c r="K22" s="1" t="n">
        <x:f>COUNTIF('Unique per draft'!$B$2:$B$474,A22)</x:f>
        <x:v>10</x:v>
      </x:c>
      <x:c r="L22" s="1" t="n">
        <x:f>COUNTIFS('Unique per draft'!$B$2:$B$474,A22,'Unique per draft'!$G$2:$G$474,"case")</x:f>
        <x:v>5</x:v>
      </x:c>
      <x:c r="M22" s="1" t="n">
        <x:f>COUNTIFS('Unique per draft'!$B$2:$B$474,A22,'Unique per draft'!$G$2:$G$474,"legislation")</x:f>
        <x:v>4</x:v>
      </x:c>
      <x:c r="N22" s="1" t="n">
        <x:f>COUNTIFS('Unique per draft'!$B$2:$B$474,A22,'Unique per draft'!$G$2:$G$474,"other")</x:f>
        <x:v>1</x:v>
      </x:c>
    </x:row>
    <x:row r="23">
      <x:c r="A23" s="1" t="str">
        <x:v>cmmls2r93000304jme0bpsul9</x:v>
      </x:c>
      <x:c r="B23" s="1" t="str">
        <x:v>cmmdjkfi7000204jsunevvuvv</x:v>
      </x:c>
      <x:c r="C23" s="1" t="str">
        <x:v>skeleton-args-ca2023004634-299a4a730fe1f43a</x:v>
      </x:c>
      <x:c r="D23" s="1" t="str">
        <x:v>synthetic</x:v>
      </x:c>
      <x:c r="E23" s="1" t="str">
        <x:v>Metropolitan Property Holdings Ltd v Artisan Coffee Co Ltd</x:v>
      </x:c>
      <x:c r="F23" s="1" t="str">
        <x:v>Metropolitan_Property_Holdings_Ltd_v_Artisan_Coffe_Appellant.xml</x:v>
      </x:c>
      <x:c r="G23" s="1" t="str">
        <x:v>Metropolitan_Property_Holdings_Ltd_v_Artisan_Coffe_Respondent.xml</x:v>
      </x:c>
      <x:c r="H23" s="1" t="str">
        <x:v>gpt-4o-mini</x:v>
      </x:c>
      <x:c r="I23" s="14" t="n">
        <x:v>46092.35380873843</x:v>
      </x:c>
      <x:c r="J23" s="1" t="n">
        <x:f>COUNTIF('Occurrences'!$B$2:$B$722,A23)</x:f>
        <x:v>12</x:v>
      </x:c>
      <x:c r="K23" s="1" t="n">
        <x:f>COUNTIF('Unique per draft'!$B$2:$B$474,A23)</x:f>
        <x:v>10</x:v>
      </x:c>
      <x:c r="L23" s="1" t="n">
        <x:f>COUNTIFS('Unique per draft'!$B$2:$B$474,A23,'Unique per draft'!$G$2:$G$474,"case")</x:f>
        <x:v>8</x:v>
      </x:c>
      <x:c r="M23" s="1" t="n">
        <x:f>COUNTIFS('Unique per draft'!$B$2:$B$474,A23,'Unique per draft'!$G$2:$G$474,"legislation")</x:f>
        <x:v>2</x:v>
      </x:c>
      <x:c r="N23" s="1" t="n">
        <x:f>COUNTIFS('Unique per draft'!$B$2:$B$474,A23,'Unique per draft'!$G$2:$G$474,"other")</x:f>
        <x:v>0</x:v>
      </x:c>
    </x:row>
    <x:row r="24">
      <x:c r="A24" s="1" t="str">
        <x:v>cmmmudwct000304kzc6d15a3r</x:v>
      </x:c>
      <x:c r="B24" s="1" t="str">
        <x:v>cmmmua3z1000204l47czkacss</x:v>
      </x:c>
      <x:c r="C24" s="1" t="str">
        <x:v>skeleton-args-ca2021006069-a7200646d94c4a22</x:v>
      </x:c>
      <x:c r="D24" s="1" t="str">
        <x:v>synthetic</x:v>
      </x:c>
      <x:c r="E24" s="1" t="str">
        <x:v>Sunrise Hospitality Group Ltd v Grant Morrison &amp; Co LLP</x:v>
      </x:c>
      <x:c r="F24" s="1" t="str">
        <x:v>Sunrise_Hospitality_Group_Ltd_v_Grant_Morrison_and_Appellant.xml</x:v>
      </x:c>
      <x:c r="G24" s="1" t="str">
        <x:v>Sunrise_Hospitality_Group_Ltd_v_Grant_Morrison_and_Respondent.xml</x:v>
      </x:c>
      <x:c r="H24" s="1" t="str">
        <x:v>gpt-4o-mini</x:v>
      </x:c>
      <x:c r="I24" s="14" t="n">
        <x:v>46093.09854530093</x:v>
      </x:c>
      <x:c r="J24" s="1" t="n">
        <x:f>COUNTIF('Occurrences'!$B$2:$B$722,A24)</x:f>
        <x:v>13</x:v>
      </x:c>
      <x:c r="K24" s="1" t="n">
        <x:f>COUNTIF('Unique per draft'!$B$2:$B$474,A24)</x:f>
        <x:v>8</x:v>
      </x:c>
      <x:c r="L24" s="1" t="n">
        <x:f>COUNTIFS('Unique per draft'!$B$2:$B$474,A24,'Unique per draft'!$G$2:$G$474,"case")</x:f>
        <x:v>6</x:v>
      </x:c>
      <x:c r="M24" s="1" t="n">
        <x:f>COUNTIFS('Unique per draft'!$B$2:$B$474,A24,'Unique per draft'!$G$2:$G$474,"legislation")</x:f>
        <x:v>2</x:v>
      </x:c>
      <x:c r="N24" s="1" t="n">
        <x:f>COUNTIFS('Unique per draft'!$B$2:$B$474,A24,'Unique per draft'!$G$2:$G$474,"other")</x:f>
        <x:v>0</x:v>
      </x:c>
    </x:row>
    <x:row r="25">
      <x:c r="A25" s="1" t="str">
        <x:v>cmmrr64va000h04jvzuquhz2y</x:v>
      </x:c>
      <x:c r="B25" s="1" t="str">
        <x:v>cmmc45761000204jx6bd5kxqk</x:v>
      </x:c>
      <x:c r="C25" s="1" t="str">
        <x:v>ca-2024-000255-ellis-v-ssj-appellant-skeleton</x:v>
      </x:c>
      <x:c r="D25" s="1" t="str">
        <x:v>real</x:v>
      </x:c>
      <x:c r="E25" s="1" t="str">
        <x:v>R (Fajr Ellis) v Secretary of State for Justice</x:v>
      </x:c>
      <x:c r="F25" s="1" t="str">
        <x:v>Ellis_Appellant_Skeleton_Argument(2).xml</x:v>
      </x:c>
      <x:c r="G25" s="1" t="str">
        <x:v>Ellis_Respondent_Skeleton_Argument(2).xml</x:v>
      </x:c>
      <x:c r="H25" s="1" t="str">
        <x:v>gpt-4o-mini</x:v>
      </x:c>
      <x:c r="I25" s="14" t="n">
        <x:v>46096.53523300926</x:v>
      </x:c>
      <x:c r="J25" s="1" t="n">
        <x:f>COUNTIF('Occurrences'!$B$2:$B$722,A25)</x:f>
        <x:v>13</x:v>
      </x:c>
      <x:c r="K25" s="1" t="n">
        <x:f>COUNTIF('Unique per draft'!$B$2:$B$474,A25)</x:f>
        <x:v>7</x:v>
      </x:c>
      <x:c r="L25" s="1" t="n">
        <x:f>COUNTIFS('Unique per draft'!$B$2:$B$474,A25,'Unique per draft'!$G$2:$G$474,"case")</x:f>
        <x:v>3</x:v>
      </x:c>
      <x:c r="M25" s="1" t="n">
        <x:f>COUNTIFS('Unique per draft'!$B$2:$B$474,A25,'Unique per draft'!$G$2:$G$474,"legislation")</x:f>
        <x:v>3</x:v>
      </x:c>
      <x:c r="N25" s="1" t="n">
        <x:f>COUNTIFS('Unique per draft'!$B$2:$B$474,A25,'Unique per draft'!$G$2:$G$474,"other")</x:f>
        <x:v>1</x:v>
      </x:c>
    </x:row>
    <x:row r="26">
      <x:c r="A26" s="1" t="str">
        <x:v>cmmsi1xqb000h04jsef3v6skf</x:v>
      </x:c>
      <x:c r="B26" s="1" t="str">
        <x:v>cmmshtbz8000204jsdrli49qe</x:v>
      </x:c>
      <x:c r="C26" s="1" t="str">
        <x:v>karpasitis-v-hertfordshire-county-council</x:v>
      </x:c>
      <x:c r="D26" s="1" t="str">
        <x:v>real</x:v>
      </x:c>
      <x:c r="E26" s="1" t="str">
        <x:v>Karpasitis v Hertfordshire County Council</x:v>
      </x:c>
      <x:c r="F26" s="1" t="str">
        <x:v>Karpasitis-v-Hertfordshire-CC-Appellant-Skeleton-Argument.xml</x:v>
      </x:c>
      <x:c r="G26" s="1" t="str">
        <x:v>Karpasitis-v-Hertfordshire-CC-Respondent-Skeleton-Argument.xml</x:v>
      </x:c>
      <x:c r="H26" s="1" t="str">
        <x:v>gpt-4o-mini</x:v>
      </x:c>
      <x:c r="I26" s="14" t="n">
        <x:v>46097.0578459375</x:v>
      </x:c>
      <x:c r="J26" s="1" t="n">
        <x:f>COUNTIF('Occurrences'!$B$2:$B$722,A26)</x:f>
        <x:v>18</x:v>
      </x:c>
      <x:c r="K26" s="1" t="n">
        <x:f>COUNTIF('Unique per draft'!$B$2:$B$474,A26)</x:f>
        <x:v>11</x:v>
      </x:c>
      <x:c r="L26" s="1" t="n">
        <x:f>COUNTIFS('Unique per draft'!$B$2:$B$474,A26,'Unique per draft'!$G$2:$G$474,"case")</x:f>
        <x:v>6</x:v>
      </x:c>
      <x:c r="M26" s="1" t="n">
        <x:f>COUNTIFS('Unique per draft'!$B$2:$B$474,A26,'Unique per draft'!$G$2:$G$474,"legislation")</x:f>
        <x:v>5</x:v>
      </x:c>
      <x:c r="N26" s="1" t="n">
        <x:f>COUNTIFS('Unique per draft'!$B$2:$B$474,A26,'Unique per draft'!$G$2:$G$474,"other")</x:f>
        <x:v>0</x:v>
      </x:c>
    </x:row>
    <x:row r="27">
      <x:c r="A27" s="1" t="str">
        <x:v>cmmsiews2000304lgc3ooyg67</x:v>
      </x:c>
      <x:c r="B27" s="1" t="str">
        <x:v>cmmshtbz8000204jsdrli49qe</x:v>
      </x:c>
      <x:c r="C27" s="1" t="str">
        <x:v>karpasitis-v-hertfordshire-county-council</x:v>
      </x:c>
      <x:c r="D27" s="1" t="str">
        <x:v>real</x:v>
      </x:c>
      <x:c r="E27" s="1" t="str">
        <x:v>Karpasitis v Hertfordshire County Council</x:v>
      </x:c>
      <x:c r="F27" s="1" t="str">
        <x:v>Karpasitis-v-Hertfordshire-CC-Appellant-Skeleton-Argument.xml</x:v>
      </x:c>
      <x:c r="G27" s="1" t="str">
        <x:v>Karpasitis-v-Hertfordshire-CC-Respondent-Skeleton-Argument.xml</x:v>
      </x:c>
      <x:c r="H27" s="1" t="str">
        <x:v>gpt-4o-mini</x:v>
      </x:c>
      <x:c r="I27" s="14" t="n">
        <x:v>46097.06485164352</x:v>
      </x:c>
      <x:c r="J27" s="1" t="n">
        <x:f>COUNTIF('Occurrences'!$B$2:$B$722,A27)</x:f>
        <x:v>12</x:v>
      </x:c>
      <x:c r="K27" s="1" t="n">
        <x:f>COUNTIF('Unique per draft'!$B$2:$B$474,A27)</x:f>
        <x:v>7</x:v>
      </x:c>
      <x:c r="L27" s="1" t="n">
        <x:f>COUNTIFS('Unique per draft'!$B$2:$B$474,A27,'Unique per draft'!$G$2:$G$474,"case")</x:f>
        <x:v>4</x:v>
      </x:c>
      <x:c r="M27" s="1" t="n">
        <x:f>COUNTIFS('Unique per draft'!$B$2:$B$474,A27,'Unique per draft'!$G$2:$G$474,"legislation")</x:f>
        <x:v>2</x:v>
      </x:c>
      <x:c r="N27" s="1" t="n">
        <x:f>COUNTIFS('Unique per draft'!$B$2:$B$474,A27,'Unique per draft'!$G$2:$G$474,"other")</x:f>
        <x:v>1</x:v>
      </x:c>
    </x:row>
    <x:row r="28">
      <x:c r="A28" s="1" t="str">
        <x:v>cmmxgyd9z000h04kttryogau2</x:v>
      </x:c>
      <x:c r="B28" s="1" t="str">
        <x:v>cmmshtbz8000204jsdrli49qe</x:v>
      </x:c>
      <x:c r="C28" s="1" t="str">
        <x:v>karpasitis-v-hertfordshire-county-council</x:v>
      </x:c>
      <x:c r="D28" s="1" t="str">
        <x:v>real</x:v>
      </x:c>
      <x:c r="E28" s="1" t="str">
        <x:v>Karpasitis v Hertfordshire County Council</x:v>
      </x:c>
      <x:c r="F28" s="1" t="str">
        <x:v>Karpasitis-v-Hertfordshire-CC-Appellant-Skeleton-Argument.xml</x:v>
      </x:c>
      <x:c r="G28" s="1" t="str">
        <x:v>Karpasitis-v-Hertfordshire-CC-Respondent-Skeleton-Argument.xml</x:v>
      </x:c>
      <x:c r="H28" s="1" t="str">
        <x:v>gpt-4o-mini</x:v>
      </x:c>
      <x:c r="I28" s="14" t="n">
        <x:v>46100.53567913194</x:v>
      </x:c>
      <x:c r="J28" s="1" t="n">
        <x:f>COUNTIF('Occurrences'!$B$2:$B$722,A28)</x:f>
        <x:v>18</x:v>
      </x:c>
      <x:c r="K28" s="1" t="n">
        <x:f>COUNTIF('Unique per draft'!$B$2:$B$474,A28)</x:f>
        <x:v>11</x:v>
      </x:c>
      <x:c r="L28" s="1" t="n">
        <x:f>COUNTIFS('Unique per draft'!$B$2:$B$474,A28,'Unique per draft'!$G$2:$G$474,"case")</x:f>
        <x:v>5</x:v>
      </x:c>
      <x:c r="M28" s="1" t="n">
        <x:f>COUNTIFS('Unique per draft'!$B$2:$B$474,A28,'Unique per draft'!$G$2:$G$474,"legislation")</x:f>
        <x:v>3</x:v>
      </x:c>
      <x:c r="N28" s="1" t="n">
        <x:f>COUNTIFS('Unique per draft'!$B$2:$B$474,A28,'Unique per draft'!$G$2:$G$474,"other")</x:f>
        <x:v>3</x:v>
      </x:c>
    </x:row>
    <x:row r="29">
      <x:c r="A29" s="1" t="str">
        <x:v>cmmxi2xkc000t04l8hsscxyvl</x:v>
      </x:c>
      <x:c r="B29" s="1" t="str">
        <x:v>cmmxhx487000e04l8w5bketmq</x:v>
      </x:c>
      <x:c r="C29" s="1" t="str">
        <x:v>ksy-juice-blends-uk-limited-v-citrosuco-gmbh</x:v>
      </x:c>
      <x:c r="D29" s="1" t="str">
        <x:v>real</x:v>
      </x:c>
      <x:c r="E29" s="1" t="str">
        <x:v>KSY Juice Blends UK Limited v Citrosuco GmbH</x:v>
      </x:c>
      <x:c r="F29" s="1" t="str">
        <x:v>KSY-Juice-Blends-v-Citrosuco-GMBH-Appellant-Skeleton-Argument.xml</x:v>
      </x:c>
      <x:c r="G29" s="1" t="str">
        <x:v>KSY-Juice-Blends-v-Citrosuco-GMBH-Respondent-Skeleton-Argument-FINAL_.xml</x:v>
      </x:c>
      <x:c r="H29" s="1" t="str">
        <x:v>gpt-4o-mini</x:v>
      </x:c>
      <x:c r="I29" s="14" t="n">
        <x:v>46100.55758346065</x:v>
      </x:c>
      <x:c r="J29" s="1" t="n">
        <x:f>COUNTIF('Occurrences'!$B$2:$B$722,A29)</x:f>
        <x:v>13</x:v>
      </x:c>
      <x:c r="K29" s="1" t="n">
        <x:f>COUNTIF('Unique per draft'!$B$2:$B$474,A29)</x:f>
        <x:v>6</x:v>
      </x:c>
      <x:c r="L29" s="1" t="n">
        <x:f>COUNTIFS('Unique per draft'!$B$2:$B$474,A29,'Unique per draft'!$G$2:$G$474,"case")</x:f>
        <x:v>4</x:v>
      </x:c>
      <x:c r="M29" s="1" t="n">
        <x:f>COUNTIFS('Unique per draft'!$B$2:$B$474,A29,'Unique per draft'!$G$2:$G$474,"legislation")</x:f>
        <x:v>2</x:v>
      </x:c>
      <x:c r="N29" s="1" t="n">
        <x:f>COUNTIFS('Unique per draft'!$B$2:$B$474,A29,'Unique per draft'!$G$2:$G$474,"other")</x:f>
        <x:v>0</x:v>
      </x:c>
    </x:row>
    <x:row r="30">
      <x:c r="A30" s="1" t="str">
        <x:v>cmmxktfx8000904johoqmmfkm</x:v>
      </x:c>
      <x:c r="B30" s="1" t="str">
        <x:v>cmmshtbz8000204jsdrli49qe</x:v>
      </x:c>
      <x:c r="C30" s="1" t="str">
        <x:v>karpasitis-v-hertfordshire-county-council</x:v>
      </x:c>
      <x:c r="D30" s="1" t="str">
        <x:v>real</x:v>
      </x:c>
      <x:c r="E30" s="1" t="str">
        <x:v>Karpasitis v Hertfordshire County Council</x:v>
      </x:c>
      <x:c r="F30" s="1" t="str">
        <x:v>Karpasitis-v-Hertfordshire-CC-Appellant-Skeleton-Argument.xml</x:v>
      </x:c>
      <x:c r="G30" s="1" t="str">
        <x:v>Karpasitis-v-Hertfordshire-CC-Respondent-Skeleton-Argument.xml</x:v>
      </x:c>
      <x:c r="H30" s="1" t="str">
        <x:v>gpt-4o-mini</x:v>
      </x:c>
      <x:c r="I30" s="14" t="n">
        <x:v>46100.61077880787</x:v>
      </x:c>
      <x:c r="J30" s="1" t="n">
        <x:f>COUNTIF('Occurrences'!$B$2:$B$722,A30)</x:f>
        <x:v>19</x:v>
      </x:c>
      <x:c r="K30" s="1" t="n">
        <x:f>COUNTIF('Unique per draft'!$B$2:$B$474,A30)</x:f>
        <x:v>11</x:v>
      </x:c>
      <x:c r="L30" s="1" t="n">
        <x:f>COUNTIFS('Unique per draft'!$B$2:$B$474,A30,'Unique per draft'!$G$2:$G$474,"case")</x:f>
        <x:v>7</x:v>
      </x:c>
      <x:c r="M30" s="1" t="n">
        <x:f>COUNTIFS('Unique per draft'!$B$2:$B$474,A30,'Unique per draft'!$G$2:$G$474,"legislation")</x:f>
        <x:v>4</x:v>
      </x:c>
      <x:c r="N30" s="1" t="n">
        <x:f>COUNTIFS('Unique per draft'!$B$2:$B$474,A30,'Unique per draft'!$G$2:$G$474,"other")</x:f>
        <x:v>0</x:v>
      </x:c>
    </x:row>
    <x:row r="31">
      <x:c r="A31" s="1" t="str">
        <x:v>cmmxpdot1000h04i8q3aleh7a</x:v>
      </x:c>
      <x:c r="B31" s="1" t="str">
        <x:v>cmmshtbz8000204jsdrli49qe</x:v>
      </x:c>
      <x:c r="C31" s="1" t="str">
        <x:v>karpasitis-v-hertfordshire-county-council</x:v>
      </x:c>
      <x:c r="D31" s="1" t="str">
        <x:v>real</x:v>
      </x:c>
      <x:c r="E31" s="1" t="str">
        <x:v>Karpasitis v Hertfordshire County Council</x:v>
      </x:c>
      <x:c r="F31" s="1" t="str">
        <x:v>Karpasitis-v-Hertfordshire-CC-Appellant-Skeleton-Argument.xml</x:v>
      </x:c>
      <x:c r="G31" s="1" t="str">
        <x:v>Karpasitis-v-Hertfordshire-CC-Respondent-Skeleton-Argument.xml</x:v>
      </x:c>
      <x:c r="H31" s="1" t="str">
        <x:v>gpt-4o-mini</x:v>
      </x:c>
      <x:c r="I31" s="14" t="n">
        <x:v>46100.69947208333</x:v>
      </x:c>
      <x:c r="J31" s="1" t="n">
        <x:f>COUNTIF('Occurrences'!$B$2:$B$722,A31)</x:f>
        <x:v>10</x:v>
      </x:c>
      <x:c r="K31" s="1" t="n">
        <x:f>COUNTIF('Unique per draft'!$B$2:$B$474,A31)</x:f>
        <x:v>6</x:v>
      </x:c>
      <x:c r="L31" s="1" t="n">
        <x:f>COUNTIFS('Unique per draft'!$B$2:$B$474,A31,'Unique per draft'!$G$2:$G$474,"case")</x:f>
        <x:v>3</x:v>
      </x:c>
      <x:c r="M31" s="1" t="n">
        <x:f>COUNTIFS('Unique per draft'!$B$2:$B$474,A31,'Unique per draft'!$G$2:$G$474,"legislation")</x:f>
        <x:v>3</x:v>
      </x:c>
      <x:c r="N31" s="1" t="n">
        <x:f>COUNTIFS('Unique per draft'!$B$2:$B$474,A31,'Unique per draft'!$G$2:$G$474,"other")</x:f>
        <x:v>0</x:v>
      </x:c>
    </x:row>
    <x:row r="32">
      <x:c r="A32" s="1" t="str">
        <x:v>cmmxsk5kn000h04ldd570wr09</x:v>
      </x:c>
      <x:c r="B32" s="1" t="str">
        <x:v>cmmxhmaji000604l8iyhbwnn1</x:v>
      </x:c>
      <x:c r="C32" s="1" t="str">
        <x:v>greenfields--iow--limited-v-isle-of-wight-council---westridge-village-limited</x:v>
      </x:c>
      <x:c r="D32" s="1" t="str">
        <x:v>real</x:v>
      </x:c>
      <x:c r="E32" s="1" t="str">
        <x:v>Greenfields (IOW) Limited v Isle of Wight Council &amp; Westridge Village Limited</x:v>
      </x:c>
      <x:c r="F32" s="1" t="str">
        <x:v>Appellant-Skeleton-Argument.xml</x:v>
      </x:c>
      <x:c r="G32" s="1" t="str">
        <x:v>First-Respondent-Skeleton-Argument.xml</x:v>
      </x:c>
      <x:c r="H32" s="1" t="str">
        <x:v>gpt-4o-mini</x:v>
      </x:c>
      <x:c r="I32" s="14" t="n">
        <x:v>46100.76128357639</x:v>
      </x:c>
      <x:c r="J32" s="1" t="n">
        <x:f>COUNTIF('Occurrences'!$B$2:$B$722,A32)</x:f>
        <x:v>7</x:v>
      </x:c>
      <x:c r="K32" s="1" t="n">
        <x:f>COUNTIF('Unique per draft'!$B$2:$B$474,A32)</x:f>
        <x:v>5</x:v>
      </x:c>
      <x:c r="L32" s="1" t="n">
        <x:f>COUNTIFS('Unique per draft'!$B$2:$B$474,A32,'Unique per draft'!$G$2:$G$474,"case")</x:f>
        <x:v>3</x:v>
      </x:c>
      <x:c r="M32" s="1" t="n">
        <x:f>COUNTIFS('Unique per draft'!$B$2:$B$474,A32,'Unique per draft'!$G$2:$G$474,"legislation")</x:f>
        <x:v>2</x:v>
      </x:c>
      <x:c r="N32" s="1" t="n">
        <x:f>COUNTIFS('Unique per draft'!$B$2:$B$474,A32,'Unique per draft'!$G$2:$G$474,"other")</x:f>
        <x:v>0</x:v>
      </x:c>
    </x:row>
    <x:row r="33">
      <x:c r="A33" s="1" t="str">
        <x:v>cmmxtzd4o000904jrjc2hdwrx</x:v>
      </x:c>
      <x:c r="B33" s="1" t="str">
        <x:v>cmmxhmaji000604l8iyhbwnn1</x:v>
      </x:c>
      <x:c r="C33" s="1" t="str">
        <x:v>greenfields--iow--limited-v-isle-of-wight-council---westridge-village-limited</x:v>
      </x:c>
      <x:c r="D33" s="1" t="str">
        <x:v>real</x:v>
      </x:c>
      <x:c r="E33" s="1" t="str">
        <x:v>Greenfields (IOW) Limited v Isle of Wight Council &amp; Westridge Village Limited</x:v>
      </x:c>
      <x:c r="F33" s="1" t="str">
        <x:v>Appellant-Skeleton-Argument.xml</x:v>
      </x:c>
      <x:c r="G33" s="1" t="str">
        <x:v>First-Respondent-Skeleton-Argument.xml</x:v>
      </x:c>
      <x:c r="H33" s="1" t="str">
        <x:v>gpt-4o-mini</x:v>
      </x:c>
      <x:c r="I33" s="14" t="n">
        <x:v>46100.78893692129</x:v>
      </x:c>
      <x:c r="J33" s="1" t="n">
        <x:f>COUNTIF('Occurrences'!$B$2:$B$722,A33)</x:f>
        <x:v>13</x:v>
      </x:c>
      <x:c r="K33" s="1" t="n">
        <x:f>COUNTIF('Unique per draft'!$B$2:$B$474,A33)</x:f>
        <x:v>5</x:v>
      </x:c>
      <x:c r="L33" s="1" t="n">
        <x:f>COUNTIFS('Unique per draft'!$B$2:$B$474,A33,'Unique per draft'!$G$2:$G$474,"case")</x:f>
        <x:v>3</x:v>
      </x:c>
      <x:c r="M33" s="1" t="n">
        <x:f>COUNTIFS('Unique per draft'!$B$2:$B$474,A33,'Unique per draft'!$G$2:$G$474,"legislation")</x:f>
        <x:v>2</x:v>
      </x:c>
      <x:c r="N33" s="1" t="n">
        <x:f>COUNTIFS('Unique per draft'!$B$2:$B$474,A33,'Unique per draft'!$G$2:$G$474,"other")</x:f>
        <x:v>0</x:v>
      </x:c>
    </x:row>
    <x:row r="34">
      <x:c r="A34" s="1" t="str">
        <x:v>cmomnx9nj000304jkyxxg2b0k</x:v>
      </x:c>
      <x:c r="B34" s="1" t="str">
        <x:v>cmmxhmaji000604l8iyhbwnn1</x:v>
      </x:c>
      <x:c r="C34" s="1" t="str">
        <x:v>greenfields--iow--limited-v-isle-of-wight-council---westridge-village-limited</x:v>
      </x:c>
      <x:c r="D34" s="1" t="str">
        <x:v>real</x:v>
      </x:c>
      <x:c r="E34" s="1" t="str">
        <x:v>Greenfields (IOW) Limited v Isle of Wight Council &amp; Westridge Village Limited</x:v>
      </x:c>
      <x:c r="F34" s="1" t="str">
        <x:v>Appellant-Skeleton-Argument.xml</x:v>
      </x:c>
      <x:c r="G34" s="1" t="str">
        <x:v>First-Respondent-Skeleton-Argument.xml</x:v>
      </x:c>
      <x:c r="H34" s="1" t="str">
        <x:v>gpt-4o-mini</x:v>
      </x:c>
      <x:c r="I34" s="14" t="n">
        <x:v>46143.36140475694</x:v>
      </x:c>
      <x:c r="J34" s="1" t="n">
        <x:f>COUNTIF('Occurrences'!$B$2:$B$722,A34)</x:f>
        <x:v>10</x:v>
      </x:c>
      <x:c r="K34" s="1" t="n">
        <x:f>COUNTIF('Unique per draft'!$B$2:$B$474,A34)</x:f>
        <x:v>6</x:v>
      </x:c>
      <x:c r="L34" s="1" t="n">
        <x:f>COUNTIFS('Unique per draft'!$B$2:$B$474,A34,'Unique per draft'!$G$2:$G$474,"case")</x:f>
        <x:v>4</x:v>
      </x:c>
      <x:c r="M34" s="1" t="n">
        <x:f>COUNTIFS('Unique per draft'!$B$2:$B$474,A34,'Unique per draft'!$G$2:$G$474,"legislation")</x:f>
        <x:v>2</x:v>
      </x:c>
      <x:c r="N34" s="1" t="n">
        <x:f>COUNTIFS('Unique per draft'!$B$2:$B$474,A34,'Unique per draft'!$G$2:$G$474,"other")</x:f>
        <x:v>0</x:v>
      </x:c>
    </x:row>
    <x:row r="35">
      <x:c r="A35" s="1" t="str">
        <x:v>cms1ps00j000j04jsbxrn9wrj</x:v>
      </x:c>
      <x:c r="B35" s="1" t="str">
        <x:v>cms1pp04x000404jswgoarvrt</x:v>
      </x:c>
      <x:c r="C35" s="1" t="str">
        <x:v>ca-2024-001541-the-king-on-the-application-of-respondent-skeleton</x:v>
      </x:c>
      <x:c r="D35" s="1" t="str">
        <x:v>real</x:v>
      </x:c>
      <x:c r="E35" s="1" t="str">
        <x:v>The King (on the application of Transport Action Network Limited) v Secretary of State for Transport</x:v>
      </x:c>
      <x:c r="F35" s="1" t="str">
        <x:v>TAN_v_SST_Appellant_Skeleton_Argument.xml</x:v>
      </x:c>
      <x:c r="G35" s="1" t="str">
        <x:v>TAN_v_SST_Respondent_Skeleton_Argument.xml</x:v>
      </x:c>
      <x:c r="H35" s="1" t="str">
        <x:v>gpt-4o-mini</x:v>
      </x:c>
      <x:c r="I35" s="14" t="n">
        <x:v>46229.47776018518</x:v>
      </x:c>
      <x:c r="J35" s="1" t="n">
        <x:f>COUNTIF('Occurrences'!$B$2:$B$722,A35)</x:f>
        <x:v>16</x:v>
      </x:c>
      <x:c r="K35" s="1" t="n">
        <x:f>COUNTIF('Unique per draft'!$B$2:$B$474,A35)</x:f>
        <x:v>10</x:v>
      </x:c>
      <x:c r="L35" s="1" t="n">
        <x:f>COUNTIFS('Unique per draft'!$B$2:$B$474,A35,'Unique per draft'!$G$2:$G$474,"case")</x:f>
        <x:v>7</x:v>
      </x:c>
      <x:c r="M35" s="1" t="n">
        <x:f>COUNTIFS('Unique per draft'!$B$2:$B$474,A35,'Unique per draft'!$G$2:$G$474,"legislation")</x:f>
        <x:v>3</x:v>
      </x:c>
      <x:c r="N35" s="1" t="n">
        <x:f>COUNTIFS('Unique per draft'!$B$2:$B$474,A35,'Unique per draft'!$G$2:$G$474,"other")</x:f>
        <x:v>0</x:v>
      </x:c>
    </x:row>
    <x:row r="36">
      <x:c r="A36" s="1" t="str">
        <x:v>cms1u865i000904jxu5huyjg5</x:v>
      </x:c>
      <x:c r="B36" s="1" t="str">
        <x:v>cms1pp04x000404jswgoarvrt</x:v>
      </x:c>
      <x:c r="C36" s="1" t="str">
        <x:v>ca-2024-001541-the-king-on-the-application-of-respondent-skeleton</x:v>
      </x:c>
      <x:c r="D36" s="1" t="str">
        <x:v>real</x:v>
      </x:c>
      <x:c r="E36" s="1" t="str">
        <x:v>The King (on the application of Transport Action Network Limited) v Secretary of State for Transport</x:v>
      </x:c>
      <x:c r="F36" s="1" t="str">
        <x:v>TAN_v_SST_Appellant_Skeleton_Argument.xml</x:v>
      </x:c>
      <x:c r="G36" s="1" t="str">
        <x:v>TAN_v_SST_Respondent_Skeleton_Argument.xml</x:v>
      </x:c>
      <x:c r="H36" s="1" t="str">
        <x:v>gpt-4o-mini</x:v>
      </x:c>
      <x:c r="I36" s="14" t="n">
        <x:v>46229.564252268516</x:v>
      </x:c>
      <x:c r="J36" s="1" t="n">
        <x:f>COUNTIF('Occurrences'!$B$2:$B$722,A36)</x:f>
        <x:v>9</x:v>
      </x:c>
      <x:c r="K36" s="1" t="n">
        <x:f>COUNTIF('Unique per draft'!$B$2:$B$474,A36)</x:f>
        <x:v>9</x:v>
      </x:c>
      <x:c r="L36" s="1" t="n">
        <x:f>COUNTIFS('Unique per draft'!$B$2:$B$474,A36,'Unique per draft'!$G$2:$G$474,"case")</x:f>
        <x:v>5</x:v>
      </x:c>
      <x:c r="M36" s="1" t="n">
        <x:f>COUNTIFS('Unique per draft'!$B$2:$B$474,A36,'Unique per draft'!$G$2:$G$474,"legislation")</x:f>
        <x:v>3</x:v>
      </x:c>
      <x:c r="N36" s="1" t="n">
        <x:f>COUNTIFS('Unique per draft'!$B$2:$B$474,A36,'Unique per draft'!$G$2:$G$474,"other")</x:f>
        <x:v>1</x:v>
      </x:c>
    </x:row>
    <x:row r="37">
      <x:c r="A37" s="1" t="str">
        <x:v>cmsbj40n7000h04jwpx41ia5n</x:v>
      </x:c>
      <x:c r="B37" s="1" t="str">
        <x:v>cms1pp04x000404jswgoarvrt</x:v>
      </x:c>
      <x:c r="C37" s="1" t="str">
        <x:v>ca-2024-001541-the-king-on-the-application-of-respondent-skeleton</x:v>
      </x:c>
      <x:c r="D37" s="1" t="str">
        <x:v>real</x:v>
      </x:c>
      <x:c r="E37" s="1" t="str">
        <x:v>The King (on the application of Transport Action Network Limited) v Secretary of State for Transport</x:v>
      </x:c>
      <x:c r="F37" s="1" t="str">
        <x:v>TAN_v_SST_Appellant_Skeleton_Argument.xml</x:v>
      </x:c>
      <x:c r="G37" s="1" t="str">
        <x:v>TAN_v_SST_Respondent_Skeleton_Argument.xml</x:v>
      </x:c>
      <x:c r="H37" s="1" t="str">
        <x:v>gpt-4o-mini</x:v>
      </x:c>
      <x:c r="I37" s="14" t="n">
        <x:v>46236.3465696412</x:v>
      </x:c>
      <x:c r="J37" s="1" t="n">
        <x:f>COUNTIF('Occurrences'!$B$2:$B$722,A37)</x:f>
        <x:v>12</x:v>
      </x:c>
      <x:c r="K37" s="1" t="n">
        <x:f>COUNTIF('Unique per draft'!$B$2:$B$474,A37)</x:f>
        <x:v>6</x:v>
      </x:c>
      <x:c r="L37" s="1" t="n">
        <x:f>COUNTIFS('Unique per draft'!$B$2:$B$474,A37,'Unique per draft'!$G$2:$G$474,"case")</x:f>
        <x:v>4</x:v>
      </x:c>
      <x:c r="M37" s="1" t="n">
        <x:f>COUNTIFS('Unique per draft'!$B$2:$B$474,A37,'Unique per draft'!$G$2:$G$474,"legislation")</x:f>
        <x:v>2</x:v>
      </x:c>
      <x:c r="N37" s="1" t="n">
        <x:f>COUNTIFS('Unique per draft'!$B$2:$B$474,A37,'Unique per draft'!$G$2:$G$474,"other")</x:f>
        <x:v>0</x:v>
      </x:c>
    </x:row>
    <x:row r="38">
      <x:c r="A38" s="1" t="str">
        <x:v>cmsbqvqsj000h04jnb8tn656h</x:v>
      </x:c>
      <x:c r="B38" s="1" t="str">
        <x:v>cmsbqtxwq000204jnp11i99l8</x:v>
      </x:c>
      <x:c r="C38" s="1" t="str">
        <x:v>ca-2024-000255-the-king-on-the-application-of-appellant-skeleton</x:v>
      </x:c>
      <x:c r="D38" s="1" t="str">
        <x:v>real</x:v>
      </x:c>
      <x:c r="E38" s="1" t="str">
        <x:v>The King, on the application of Fajr Ellis v (1) The Secretary of State for Education and (2) The Secretary of State for Justice</x:v>
      </x:c>
      <x:c r="F38" s="1" t="str">
        <x:v>Ellis_v_SSJ_Appellant_Skeleton_Argument.xml</x:v>
      </x:c>
      <x:c r="G38" s="1" t="str">
        <x:v>Ellis_v_SSJ_Respondent_Skeleton_Argument.xml</x:v>
      </x:c>
      <x:c r="H38" s="1" t="str">
        <x:v>gpt-4o-mini</x:v>
      </x:c>
      <x:c r="I38" s="14" t="n">
        <x:v>46236.497621863426</x:v>
      </x:c>
      <x:c r="J38" s="1" t="n">
        <x:f>COUNTIF('Occurrences'!$B$2:$B$722,A38)</x:f>
        <x:v>11</x:v>
      </x:c>
      <x:c r="K38" s="1" t="n">
        <x:f>COUNTIF('Unique per draft'!$B$2:$B$474,A38)</x:f>
        <x:v>8</x:v>
      </x:c>
      <x:c r="L38" s="1" t="n">
        <x:f>COUNTIFS('Unique per draft'!$B$2:$B$474,A38,'Unique per draft'!$G$2:$G$474,"case")</x:f>
        <x:v>6</x:v>
      </x:c>
      <x:c r="M38" s="1" t="n">
        <x:f>COUNTIFS('Unique per draft'!$B$2:$B$474,A38,'Unique per draft'!$G$2:$G$474,"legislation")</x:f>
        <x:v>2</x:v>
      </x:c>
      <x:c r="N38" s="1" t="n">
        <x:f>COUNTIFS('Unique per draft'!$B$2:$B$474,A38,'Unique per draft'!$G$2:$G$474,"other")</x:f>
        <x:v>0</x:v>
      </x:c>
    </x:row>
    <x:row r="39">
      <x:c r="A39" s="1" t="str">
        <x:v>cmsbr021t001104jndbjo02xo</x:v>
      </x:c>
      <x:c r="B39" s="1" t="str">
        <x:v>cmsbqxnek000m04jn4kqpqi6q</x:v>
      </x:c>
      <x:c r="C39" s="1" t="str">
        <x:v>ca-2024-002003-greenfields-iow-limited-v-isle-of-appellant-skeleton</x:v>
      </x:c>
      <x:c r="D39" s="1" t="str">
        <x:v>real</x:v>
      </x:c>
      <x:c r="E39" s="1" t="str">
        <x:v>Greenfields (IOW) Limited v Isle of Wight Council &amp; Westridge Village Limited</x:v>
      </x:c>
      <x:c r="F39" s="1" t="str">
        <x:v>Greenfields_Appellant_Skeleton_Argument.xml</x:v>
      </x:c>
      <x:c r="G39" s="1" t="str">
        <x:v>Greenfields_Respondent_Skeleton_Argument.xml</x:v>
      </x:c>
      <x:c r="H39" s="1" t="str">
        <x:v>gpt-4o-mini</x:v>
      </x:c>
      <x:c r="I39" s="14" t="n">
        <x:v>46236.49995074074</x:v>
      </x:c>
      <x:c r="J39" s="1" t="n">
        <x:f>COUNTIF('Occurrences'!$B$2:$B$722,A39)</x:f>
        <x:v>9</x:v>
      </x:c>
      <x:c r="K39" s="1" t="n">
        <x:f>COUNTIF('Unique per draft'!$B$2:$B$474,A39)</x:f>
        <x:v>8</x:v>
      </x:c>
      <x:c r="L39" s="1" t="n">
        <x:f>COUNTIFS('Unique per draft'!$B$2:$B$474,A39,'Unique per draft'!$G$2:$G$474,"case")</x:f>
        <x:v>6</x:v>
      </x:c>
      <x:c r="M39" s="1" t="n">
        <x:f>COUNTIFS('Unique per draft'!$B$2:$B$474,A39,'Unique per draft'!$G$2:$G$474,"legislation")</x:f>
        <x:v>2</x:v>
      </x:c>
      <x:c r="N39" s="1" t="n">
        <x:f>COUNTIFS('Unique per draft'!$B$2:$B$474,A39,'Unique per draft'!$G$2:$G$474,"other")</x:f>
        <x:v>0</x:v>
      </x:c>
    </x:row>
    <x:row r="40">
      <x:c r="A40" s="1" t="str">
        <x:v>cmsbr3045000j04l4tkps7ymp</x:v>
      </x:c>
      <x:c r="B40" s="1" t="str">
        <x:v>cmsbr0keh000404l4bbqhy2a0</x:v>
      </x:c>
      <x:c r="C40" s="1" t="str">
        <x:v>ca-2024-000806-hippodrome-casino-ltd-v-hmrc-appellant-skeleton</x:v>
      </x:c>
      <x:c r="D40" s="1" t="str">
        <x:v>real</x:v>
      </x:c>
      <x:c r="E40" s="1" t="str">
        <x:v>Hippodrome Casino Ltd v HMRC</x:v>
      </x:c>
      <x:c r="F40" s="1" t="str">
        <x:v>Hippodrome_Casino_Ltd_v_HMRC_Appellant_Skeleton_Argument.xml</x:v>
      </x:c>
      <x:c r="G40" s="1" t="str">
        <x:v>Hippodrome_Casino_Ltd_v_HMRC_Respondent_Skeleton_Argument.xml</x:v>
      </x:c>
      <x:c r="H40" s="1" t="str">
        <x:v>gpt-4o-mini</x:v>
      </x:c>
      <x:c r="I40" s="14" t="n">
        <x:v>46236.501541701386</x:v>
      </x:c>
      <x:c r="J40" s="1" t="n">
        <x:f>COUNTIF('Occurrences'!$B$2:$B$722,A40)</x:f>
        <x:v>13</x:v>
      </x:c>
      <x:c r="K40" s="1" t="n">
        <x:f>COUNTIF('Unique per draft'!$B$2:$B$474,A40)</x:f>
        <x:v>10</x:v>
      </x:c>
      <x:c r="L40" s="1" t="n">
        <x:f>COUNTIFS('Unique per draft'!$B$2:$B$474,A40,'Unique per draft'!$G$2:$G$474,"case")</x:f>
        <x:v>7</x:v>
      </x:c>
      <x:c r="M40" s="1" t="n">
        <x:f>COUNTIFS('Unique per draft'!$B$2:$B$474,A40,'Unique per draft'!$G$2:$G$474,"legislation")</x:f>
        <x:v>3</x:v>
      </x:c>
      <x:c r="N40" s="1" t="n">
        <x:f>COUNTIFS('Unique per draft'!$B$2:$B$474,A40,'Unique per draft'!$G$2:$G$474,"other")</x:f>
        <x:v>0</x:v>
      </x:c>
    </x:row>
    <x:row r="41">
      <x:c r="A41" s="1" t="str">
        <x:v>cmsbr4fhb000v04l4mgwtz5x1</x:v>
      </x:c>
      <x:c r="B41" s="1" t="str">
        <x:v>cmsbr0keh000404l4bbqhy2a0</x:v>
      </x:c>
      <x:c r="C41" s="1" t="str">
        <x:v>ca-2024-000806-hippodrome-casino-ltd-v-hmrc-appellant-skeleton</x:v>
      </x:c>
      <x:c r="D41" s="1" t="str">
        <x:v>real</x:v>
      </x:c>
      <x:c r="E41" s="1" t="str">
        <x:v>Hippodrome Casino Ltd v HMRC</x:v>
      </x:c>
      <x:c r="F41" s="1" t="str">
        <x:v>Hippodrome_Casino_Ltd_v_HMRC_Appellant_Skeleton_Argument.xml</x:v>
      </x:c>
      <x:c r="G41" s="1" t="str">
        <x:v>Hippodrome_Casino_Ltd_v_HMRC_Respondent_Skeleton_Argument.xml</x:v>
      </x:c>
      <x:c r="H41" s="1" t="str">
        <x:v>gpt-4o-mini</x:v>
      </x:c>
      <x:c r="I41" s="14" t="n">
        <x:v>46236.502312199074</x:v>
      </x:c>
      <x:c r="J41" s="1" t="n">
        <x:f>COUNTIF('Occurrences'!$B$2:$B$722,A41)</x:f>
        <x:v>11</x:v>
      </x:c>
      <x:c r="K41" s="1" t="n">
        <x:f>COUNTIF('Unique per draft'!$B$2:$B$474,A41)</x:f>
        <x:v>9</x:v>
      </x:c>
      <x:c r="L41" s="1" t="n">
        <x:f>COUNTIFS('Unique per draft'!$B$2:$B$474,A41,'Unique per draft'!$G$2:$G$474,"case")</x:f>
        <x:v>6</x:v>
      </x:c>
      <x:c r="M41" s="1" t="n">
        <x:f>COUNTIFS('Unique per draft'!$B$2:$B$474,A41,'Unique per draft'!$G$2:$G$474,"legislation")</x:f>
        <x:v>2</x:v>
      </x:c>
      <x:c r="N41" s="1" t="n">
        <x:f>COUNTIFS('Unique per draft'!$B$2:$B$474,A41,'Unique per draft'!$G$2:$G$474,"other")</x:f>
        <x:v>1</x:v>
      </x:c>
    </x:row>
    <x:row r="42">
      <x:c r="A42" s="1" t="str">
        <x:v>cmsbr6p4p001704l4z7u6108h</x:v>
      </x:c>
      <x:c r="B42" s="1" t="str">
        <x:v>cmsbr0keh000404l4bbqhy2a0</x:v>
      </x:c>
      <x:c r="C42" s="1" t="str">
        <x:v>ca-2024-000806-hippodrome-casino-ltd-v-hmrc-appellant-skeleton</x:v>
      </x:c>
      <x:c r="D42" s="1" t="str">
        <x:v>real</x:v>
      </x:c>
      <x:c r="E42" s="1" t="str">
        <x:v>Hippodrome Casino Ltd v HMRC</x:v>
      </x:c>
      <x:c r="F42" s="1" t="str">
        <x:v>Hippodrome_Casino_Ltd_v_HMRC_Appellant_Skeleton_Argument.xml</x:v>
      </x:c>
      <x:c r="G42" s="1" t="str">
        <x:v>Hippodrome_Casino_Ltd_v_HMRC_Respondent_Skeleton_Argument.xml</x:v>
      </x:c>
      <x:c r="H42" s="1" t="str">
        <x:v>gpt-4o-mini</x:v>
      </x:c>
      <x:c r="I42" s="14" t="n">
        <x:v>46236.503536944445</x:v>
      </x:c>
      <x:c r="J42" s="1" t="n">
        <x:f>COUNTIF('Occurrences'!$B$2:$B$722,A42)</x:f>
        <x:v>7</x:v>
      </x:c>
      <x:c r="K42" s="1" t="n">
        <x:f>COUNTIF('Unique per draft'!$B$2:$B$474,A42)</x:f>
        <x:v>7</x:v>
      </x:c>
      <x:c r="L42" s="1" t="n">
        <x:f>COUNTIFS('Unique per draft'!$B$2:$B$474,A42,'Unique per draft'!$G$2:$G$474,"case")</x:f>
        <x:v>4</x:v>
      </x:c>
      <x:c r="M42" s="1" t="n">
        <x:f>COUNTIFS('Unique per draft'!$B$2:$B$474,A42,'Unique per draft'!$G$2:$G$474,"legislation")</x:f>
        <x:v>3</x:v>
      </x:c>
      <x:c r="N42" s="1" t="n">
        <x:f>COUNTIFS('Unique per draft'!$B$2:$B$474,A42,'Unique per draft'!$G$2:$G$474,"other")</x:f>
        <x:v>0</x:v>
      </x:c>
    </x:row>
    <x:row r="43">
      <x:c r="A43" s="1" t="str">
        <x:v>cmsbracw1001r04l4az8ukhd1</x:v>
      </x:c>
      <x:c r="B43" s="1" t="str">
        <x:v>cmsbr7e7h001c04l4kn40wun3</x:v>
      </x:c>
      <x:c r="C43" s="1" t="str">
        <x:v>ca-2023-002207-mr-demetrios-karpasitis-v-hertfordshire-county-appellant-skeleton</x:v>
      </x:c>
      <x:c r="D43" s="1" t="str">
        <x:v>real</x:v>
      </x:c>
      <x:c r="E43" s="1" t="str">
        <x:v>Mr Demetrios Karpasitis v Hertfordshire County Council</x:v>
      </x:c>
      <x:c r="F43" s="1" t="str">
        <x:v>Karpasitis_v_Hertfordshire_CC_Appellant_Skeleton_Argument.xml</x:v>
      </x:c>
      <x:c r="G43" s="1" t="str">
        <x:v>Karpasitis_v_Hertfordshire_CC_Respondent_Skeleton_Argument.xml</x:v>
      </x:c>
      <x:c r="H43" s="1" t="str">
        <x:v>gpt-4o-mini</x:v>
      </x:c>
      <x:c r="I43" s="14" t="n">
        <x:v>46236.50551333333</x:v>
      </x:c>
      <x:c r="J43" s="1" t="n">
        <x:f>COUNTIF('Occurrences'!$B$2:$B$722,A43)</x:f>
        <x:v>16</x:v>
      </x:c>
      <x:c r="K43" s="1" t="n">
        <x:f>COUNTIF('Unique per draft'!$B$2:$B$474,A43)</x:f>
        <x:v>9</x:v>
      </x:c>
      <x:c r="L43" s="1" t="n">
        <x:f>COUNTIFS('Unique per draft'!$B$2:$B$474,A43,'Unique per draft'!$G$2:$G$474,"case")</x:f>
        <x:v>6</x:v>
      </x:c>
      <x:c r="M43" s="1" t="n">
        <x:f>COUNTIFS('Unique per draft'!$B$2:$B$474,A43,'Unique per draft'!$G$2:$G$474,"legislation")</x:f>
        <x:v>3</x:v>
      </x:c>
      <x:c r="N43" s="1" t="n">
        <x:f>COUNTIFS('Unique per draft'!$B$2:$B$474,A43,'Unique per draft'!$G$2:$G$474,"other")</x:f>
        <x:v>0</x:v>
      </x:c>
    </x:row>
    <x:row r="44">
      <x:c r="A44" s="1" t="str">
        <x:v>cmsbrc37v001x04l4t7r77h89</x:v>
      </x:c>
      <x:c r="B44" s="1" t="str">
        <x:v>cmsbr7e7h001c04l4kn40wun3</x:v>
      </x:c>
      <x:c r="C44" s="1" t="str">
        <x:v>ca-2023-002207-mr-demetrios-karpasitis-v-hertfordshire-county-appellant-skeleton</x:v>
      </x:c>
      <x:c r="D44" s="1" t="str">
        <x:v>real</x:v>
      </x:c>
      <x:c r="E44" s="1" t="str">
        <x:v>Mr Demetrios Karpasitis v Hertfordshire County Council</x:v>
      </x:c>
      <x:c r="F44" s="1" t="str">
        <x:v>Karpasitis_v_Hertfordshire_CC_Appellant_Skeleton_Argument.xml</x:v>
      </x:c>
      <x:c r="G44" s="1" t="str">
        <x:v>Karpasitis_v_Hertfordshire_CC_Respondent_Skeleton_Argument.xml</x:v>
      </x:c>
      <x:c r="H44" s="1" t="str">
        <x:v>gpt-4o-mini</x:v>
      </x:c>
      <x:c r="I44" s="14" t="n">
        <x:v>46236.506448252316</x:v>
      </x:c>
      <x:c r="J44" s="1" t="n">
        <x:f>COUNTIF('Occurrences'!$B$2:$B$722,A44)</x:f>
        <x:v>11</x:v>
      </x:c>
      <x:c r="K44" s="1" t="n">
        <x:f>COUNTIF('Unique per draft'!$B$2:$B$474,A44)</x:f>
        <x:v>8</x:v>
      </x:c>
      <x:c r="L44" s="1" t="n">
        <x:f>COUNTIFS('Unique per draft'!$B$2:$B$474,A44,'Unique per draft'!$G$2:$G$474,"case")</x:f>
        <x:v>5</x:v>
      </x:c>
      <x:c r="M44" s="1" t="n">
        <x:f>COUNTIFS('Unique per draft'!$B$2:$B$474,A44,'Unique per draft'!$G$2:$G$474,"legislation")</x:f>
        <x:v>3</x:v>
      </x:c>
      <x:c r="N44" s="1" t="n">
        <x:f>COUNTIFS('Unique per draft'!$B$2:$B$474,A44,'Unique per draft'!$G$2:$G$474,"other")</x:f>
        <x:v>0</x:v>
      </x:c>
    </x:row>
    <x:row r="45">
      <x:c r="A45" s="1" t="str">
        <x:v>cmsbrqmhv000j04jp78i2n3gf</x:v>
      </x:c>
      <x:c r="B45" s="1" t="str">
        <x:v>cmsbrohcb000404jpvqnmrx27</x:v>
      </x:c>
      <x:c r="C45" s="1" t="str">
        <x:v>ca-2024-001951-ksy-juice-blends-uk-limited-v-skeleton</x:v>
      </x:c>
      <x:c r="D45" s="1" t="str">
        <x:v>real</x:v>
      </x:c>
      <x:c r="E45" s="1" t="str">
        <x:v>KSY Juice Blends UK Limited v Citrusuco GmbH</x:v>
      </x:c>
      <x:c r="F45" s="1" t="str">
        <x:v>KSY_Juice_Blends_v_Citrosuco_GMBH_Appellant_Skeleton_Argument.xml</x:v>
      </x:c>
      <x:c r="G45" s="1" t="str">
        <x:v>KSY_Juice_Blends_v_Citrosuco_GMBH_Respondent_Skeleton_Argument_FINAL_.xml</x:v>
      </x:c>
      <x:c r="H45" s="1" t="str">
        <x:v>gpt-4o-mini</x:v>
      </x:c>
      <x:c r="I45" s="14" t="n">
        <x:v>46236.51429741898</x:v>
      </x:c>
      <x:c r="J45" s="1" t="n">
        <x:f>COUNTIF('Occurrences'!$B$2:$B$722,A45)</x:f>
        <x:v>13</x:v>
      </x:c>
      <x:c r="K45" s="1" t="n">
        <x:f>COUNTIF('Unique per draft'!$B$2:$B$474,A45)</x:f>
        <x:v>9</x:v>
      </x:c>
      <x:c r="L45" s="1" t="n">
        <x:f>COUNTIFS('Unique per draft'!$B$2:$B$474,A45,'Unique per draft'!$G$2:$G$474,"case")</x:f>
        <x:v>6</x:v>
      </x:c>
      <x:c r="M45" s="1" t="n">
        <x:f>COUNTIFS('Unique per draft'!$B$2:$B$474,A45,'Unique per draft'!$G$2:$G$474,"legislation")</x:f>
        <x:v>2</x:v>
      </x:c>
      <x:c r="N45" s="1" t="n">
        <x:f>COUNTIFS('Unique per draft'!$B$2:$B$474,A45,'Unique per draft'!$G$2:$G$474,"other")</x:f>
        <x:v>1</x:v>
      </x:c>
    </x:row>
    <x:row r="46">
      <x:c r="A46" s="1" t="str">
        <x:v>cmsbrvtc4001304jp5e4691on</x:v>
      </x:c>
      <x:c r="B46" s="1" t="str">
        <x:v>cmsbru14c000o04jpyaa0uar7</x:v>
      </x:c>
      <x:c r="C46" s="1" t="str">
        <x:v>2023-002546-ryanair-dac-v-jason-lutz-appellant-skeleton</x:v>
      </x:c>
      <x:c r="D46" s="1" t="str">
        <x:v>real</x:v>
      </x:c>
      <x:c r="E46" s="1" t="str">
        <x:v>Ryanair DAC &amp; Storm Global Limited v Jason Lutz</x:v>
      </x:c>
      <x:c r="F46" s="1" t="str">
        <x:v>Lutz_Ryanair_appellant_skeleton_argument.xml</x:v>
      </x:c>
      <x:c r="G46" s="1" t="str">
        <x:v>Lutz_Ryanair_respondent_skeleton_argument.xml</x:v>
      </x:c>
      <x:c r="H46" s="1" t="str">
        <x:v>gpt-4o-mini</x:v>
      </x:c>
      <x:c r="I46" s="14" t="n">
        <x:v>46236.517100034725</x:v>
      </x:c>
      <x:c r="J46" s="1" t="n">
        <x:f>COUNTIF('Occurrences'!$B$2:$B$722,A46)</x:f>
        <x:v>10</x:v>
      </x:c>
      <x:c r="K46" s="1" t="n">
        <x:f>COUNTIF('Unique per draft'!$B$2:$B$474,A46)</x:f>
        <x:v>8</x:v>
      </x:c>
      <x:c r="L46" s="1" t="n">
        <x:f>COUNTIFS('Unique per draft'!$B$2:$B$474,A46,'Unique per draft'!$G$2:$G$474,"case")</x:f>
        <x:v>6</x:v>
      </x:c>
      <x:c r="M46" s="1" t="n">
        <x:f>COUNTIFS('Unique per draft'!$B$2:$B$474,A46,'Unique per draft'!$G$2:$G$474,"legislation")</x:f>
        <x:v>2</x:v>
      </x:c>
      <x:c r="N46" s="1" t="n">
        <x:f>COUNTIFS('Unique per draft'!$B$2:$B$474,A46,'Unique per draft'!$G$2:$G$474,"other")</x:f>
        <x:v>0</x:v>
      </x:c>
    </x:row>
    <x:row r="47">
      <x:c r="A47" s="1" t="str">
        <x:v>cmsbskr86000h04ji5a4thcht</x:v>
      </x:c>
      <x:c r="B47" s="1" t="str">
        <x:v>cmsbsfl20000204jilg9k8ism</x:v>
      </x:c>
      <x:c r="C47" s="1" t="str">
        <x:v>ca-2023-002537-storm-global-limited-v-jason-lutz-appellant-skeleton</x:v>
      </x:c>
      <x:c r="D47" s="1" t="str">
        <x:v>real</x:v>
      </x:c>
      <x:c r="E47" s="1" t="str">
        <x:v>Storm Global Limited v Jason Lutz</x:v>
      </x:c>
      <x:c r="F47" s="1" t="str">
        <x:v>Lutz_Storm_Global_appellant_skeleton_argument.xml</x:v>
      </x:c>
      <x:c r="G47" s="1" t="str">
        <x:v>Lutz_Storm_Global_respondent_skeleton_argument.xml</x:v>
      </x:c>
      <x:c r="H47" s="1" t="str">
        <x:v>gpt-4o-mini</x:v>
      </x:c>
      <x:c r="I47" s="14" t="n">
        <x:v>46236.53056837963</x:v>
      </x:c>
      <x:c r="J47" s="1" t="n">
        <x:f>COUNTIF('Occurrences'!$B$2:$B$722,A47)</x:f>
        <x:v>11</x:v>
      </x:c>
      <x:c r="K47" s="1" t="n">
        <x:f>COUNTIF('Unique per draft'!$B$2:$B$474,A47)</x:f>
        <x:v>8</x:v>
      </x:c>
      <x:c r="L47" s="1" t="n">
        <x:f>COUNTIFS('Unique per draft'!$B$2:$B$474,A47,'Unique per draft'!$G$2:$G$474,"case")</x:f>
        <x:v>4</x:v>
      </x:c>
      <x:c r="M47" s="1" t="n">
        <x:f>COUNTIFS('Unique per draft'!$B$2:$B$474,A47,'Unique per draft'!$G$2:$G$474,"legislation")</x:f>
        <x:v>4</x:v>
      </x:c>
      <x:c r="N47" s="1" t="n">
        <x:f>COUNTIFS('Unique per draft'!$B$2:$B$474,A47,'Unique per draft'!$G$2:$G$474,"other")</x:f>
        <x:v>0</x:v>
      </x:c>
    </x:row>
    <x:row r="48">
      <x:c r="A48" s="1" t="str">
        <x:v>cmsbsp3em001104ji2u62id7q</x:v>
      </x:c>
      <x:c r="B48" s="1" t="str">
        <x:v>cmsbsln8v000m04jihjbo4vud</x:v>
      </x:c>
      <x:c r="C48" s="1" t="str">
        <x:v>ca-2024-000624 and ca-2024-000625-the-royal-embassy-of-saudi-arabia-appellant-skeleton</x:v>
      </x:c>
      <x:c r="D48" s="1" t="str">
        <x:v>real</x:v>
      </x:c>
      <x:c r="E48" s="1" t="str">
        <x:v>The Royal Embassy of Saudi Arabia (Cultural Bureau) v Abir Alhayali</x:v>
      </x:c>
      <x:c r="F48" s="1" t="str">
        <x:v>Royal_Embassy_of_Saudi_Arabia_v_Alhayali_Claimant_Skeleton_Argument.xml</x:v>
      </x:c>
      <x:c r="G48" s="1" t="str">
        <x:v>Royal_Embassy_of_Saudi_Arabia_v_Alhayali_Defendant_Skeleton_Argument.xml</x:v>
      </x:c>
      <x:c r="H48" s="1" t="str">
        <x:v>gpt-4o-mini</x:v>
      </x:c>
      <x:c r="I48" s="14" t="n">
        <x:v>46236.53291107639</x:v>
      </x:c>
      <x:c r="J48" s="1" t="n">
        <x:f>COUNTIF('Occurrences'!$B$2:$B$722,A48)</x:f>
        <x:v>17</x:v>
      </x:c>
      <x:c r="K48" s="1" t="n">
        <x:f>COUNTIF('Unique per draft'!$B$2:$B$474,A48)</x:f>
        <x:v>10</x:v>
      </x:c>
      <x:c r="L48" s="1" t="n">
        <x:f>COUNTIFS('Unique per draft'!$B$2:$B$474,A48,'Unique per draft'!$G$2:$G$474,"case")</x:f>
        <x:v>4</x:v>
      </x:c>
      <x:c r="M48" s="1" t="n">
        <x:f>COUNTIFS('Unique per draft'!$B$2:$B$474,A48,'Unique per draft'!$G$2:$G$474,"legislation")</x:f>
        <x:v>5</x:v>
      </x:c>
      <x:c r="N48" s="1" t="n">
        <x:f>COUNTIFS('Unique per draft'!$B$2:$B$474,A48,'Unique per draft'!$G$2:$G$474,"other")</x:f>
        <x:v>1</x:v>
      </x:c>
    </x:row>
    <x:row r="49">
      <x:c r="A49" s="1" t="str">
        <x:v>cmsbsqcqm001d04ji3ses9ih9</x:v>
      </x:c>
      <x:c r="B49" s="1" t="str">
        <x:v>cmsbsln8v000m04jihjbo4vud</x:v>
      </x:c>
      <x:c r="C49" s="1" t="str">
        <x:v>ca-2024-000624 and ca-2024-000625-the-royal-embassy-of-saudi-arabia-appellant-skeleton</x:v>
      </x:c>
      <x:c r="D49" s="1" t="str">
        <x:v>real</x:v>
      </x:c>
      <x:c r="E49" s="1" t="str">
        <x:v>The Royal Embassy of Saudi Arabia (Cultural Bureau) v Abir Alhayali</x:v>
      </x:c>
      <x:c r="F49" s="1" t="str">
        <x:v>Royal_Embassy_of_Saudi_Arabia_v_Alhayali_Claimant_Skeleton_Argument.xml</x:v>
      </x:c>
      <x:c r="G49" s="1" t="str">
        <x:v>Royal_Embassy_of_Saudi_Arabia_v_Alhayali_Defendant_Skeleton_Argument.xml</x:v>
      </x:c>
      <x:c r="H49" s="1" t="str">
        <x:v>gpt-4o-mini</x:v>
      </x:c>
      <x:c r="I49" s="14" t="n">
        <x:v>46236.53359107639</x:v>
      </x:c>
      <x:c r="J49" s="1" t="n">
        <x:f>COUNTIF('Occurrences'!$B$2:$B$722,A49)</x:f>
        <x:v>13</x:v>
      </x:c>
      <x:c r="K49" s="1" t="n">
        <x:f>COUNTIF('Unique per draft'!$B$2:$B$474,A49)</x:f>
        <x:v>8</x:v>
      </x:c>
      <x:c r="L49" s="1" t="n">
        <x:f>COUNTIFS('Unique per draft'!$B$2:$B$474,A49,'Unique per draft'!$G$2:$G$474,"case")</x:f>
        <x:v>5</x:v>
      </x:c>
      <x:c r="M49" s="1" t="n">
        <x:f>COUNTIFS('Unique per draft'!$B$2:$B$474,A49,'Unique per draft'!$G$2:$G$474,"legislation")</x:f>
        <x:v>3</x:v>
      </x:c>
      <x:c r="N49" s="1" t="n">
        <x:f>COUNTIFS('Unique per draft'!$B$2:$B$474,A49,'Unique per draft'!$G$2:$G$474,"other")</x:f>
        <x:v>0</x:v>
      </x:c>
    </x:row>
    <x:row r="50">
      <x:c r="A50" s="1" t="str">
        <x:v>cmsbsvvmu001x04jittsrlhz0</x:v>
      </x:c>
      <x:c r="B50" s="1" t="str">
        <x:v>cmsbsrsen001i04jiiqlepl3x</x:v>
      </x:c>
      <x:c r="C50" s="1" t="str">
        <x:v>ca-2024-0023525 &amp; ca-2024-002295-modernatx-inc-v-pfizer-limited-others-respondent-skeleton</x:v>
      </x:c>
      <x:c r="D50" s="1" t="str">
        <x:v>real</x:v>
      </x:c>
      <x:c r="E50" s="1" t="str">
        <x:v>Modernatx, Inc. v Pfizer Limited &amp; Others</x:v>
      </x:c>
      <x:c r="F50" s="1" t="str">
        <x:v>Moderna_appellant_Skeleton_Argument.xml</x:v>
      </x:c>
      <x:c r="G50" s="1" t="str">
        <x:v>Moderna_Respondents_Notice_Skeleton_Argument.xml</x:v>
      </x:c>
      <x:c r="H50" s="1" t="str">
        <x:v>gpt-4o-mini</x:v>
      </x:c>
      <x:c r="I50" s="14" t="n">
        <x:v>46236.536574502315</x:v>
      </x:c>
      <x:c r="J50" s="1" t="n">
        <x:f>COUNTIF('Occurrences'!$B$2:$B$722,A50)</x:f>
        <x:v>10</x:v>
      </x:c>
      <x:c r="K50" s="1" t="n">
        <x:f>COUNTIF('Unique per draft'!$B$2:$B$474,A50)</x:f>
        <x:v>5</x:v>
      </x:c>
      <x:c r="L50" s="1" t="n">
        <x:f>COUNTIFS('Unique per draft'!$B$2:$B$474,A50,'Unique per draft'!$G$2:$G$474,"case")</x:f>
        <x:v>4</x:v>
      </x:c>
      <x:c r="M50" s="1" t="n">
        <x:f>COUNTIFS('Unique per draft'!$B$2:$B$474,A50,'Unique per draft'!$G$2:$G$474,"legislation")</x:f>
        <x:v>1</x:v>
      </x:c>
      <x:c r="N50" s="1" t="n">
        <x:f>COUNTIFS('Unique per draft'!$B$2:$B$474,A50,'Unique per draft'!$G$2:$G$474,"other")</x:f>
        <x:v>0</x:v>
      </x:c>
    </x:row>
    <x:row r="51">
      <x:c r="A51" s="1" t="str">
        <x:v>cmsbszs77002304ji6ldkbjce</x:v>
      </x:c>
      <x:c r="B51" s="1" t="str">
        <x:v>cmsbsrsen001i04jiiqlepl3x</x:v>
      </x:c>
      <x:c r="C51" s="1" t="str">
        <x:v>ca-2024-0023525 &amp; ca-2024-002295-modernatx-inc-v-pfizer-limited-others-respondent-skeleton</x:v>
      </x:c>
      <x:c r="D51" s="1" t="str">
        <x:v>real</x:v>
      </x:c>
      <x:c r="E51" s="1" t="str">
        <x:v>Modernatx, Inc. v Pfizer Limited &amp; Others</x:v>
      </x:c>
      <x:c r="F51" s="1" t="str">
        <x:v>Moderna_appellant_Skeleton_Argument.xml</x:v>
      </x:c>
      <x:c r="G51" s="1" t="str">
        <x:v>Moderna_Respondents_Notice_Skeleton_Argument.xml</x:v>
      </x:c>
      <x:c r="H51" s="1" t="str">
        <x:v>gpt-4o-mini</x:v>
      </x:c>
      <x:c r="I51" s="14" t="n">
        <x:v>46236.53868298611</x:v>
      </x:c>
      <x:c r="J51" s="1" t="n">
        <x:f>COUNTIF('Occurrences'!$B$2:$B$722,A51)</x:f>
        <x:v>8</x:v>
      </x:c>
      <x:c r="K51" s="1" t="n">
        <x:f>COUNTIF('Unique per draft'!$B$2:$B$474,A51)</x:f>
        <x:v>5</x:v>
      </x:c>
      <x:c r="L51" s="1" t="n">
        <x:f>COUNTIFS('Unique per draft'!$B$2:$B$474,A51,'Unique per draft'!$G$2:$G$474,"case")</x:f>
        <x:v>3</x:v>
      </x:c>
      <x:c r="M51" s="1" t="n">
        <x:f>COUNTIFS('Unique per draft'!$B$2:$B$474,A51,'Unique per draft'!$G$2:$G$474,"legislation")</x:f>
        <x:v>2</x:v>
      </x:c>
      <x:c r="N51" s="1" t="n">
        <x:f>COUNTIFS('Unique per draft'!$B$2:$B$474,A51,'Unique per draft'!$G$2:$G$474,"other")</x:f>
        <x:v>0</x:v>
      </x:c>
    </x:row>
    <x:row r="52">
      <x:c r="A52" s="1" t="str">
        <x:v>cmsbt3hfa002904ji8k6b026n</x:v>
      </x:c>
      <x:c r="B52" s="1" t="str">
        <x:v>cmsbsrsen001i04jiiqlepl3x</x:v>
      </x:c>
      <x:c r="C52" s="1" t="str">
        <x:v>ca-2024-0023525 &amp; ca-2024-002295-modernatx-inc-v-pfizer-limited-others-respondent-skeleton</x:v>
      </x:c>
      <x:c r="D52" s="1" t="str">
        <x:v>real</x:v>
      </x:c>
      <x:c r="E52" s="1" t="str">
        <x:v>Modernatx, Inc. v Pfizer Limited &amp; Others</x:v>
      </x:c>
      <x:c r="F52" s="1" t="str">
        <x:v>Moderna_appellant_Skeleton_Argument.xml</x:v>
      </x:c>
      <x:c r="G52" s="1" t="str">
        <x:v>Moderna_Respondents_Notice_Skeleton_Argument.xml</x:v>
      </x:c>
      <x:c r="H52" s="1" t="str">
        <x:v>gpt-4o-mini</x:v>
      </x:c>
      <x:c r="I52" s="14" t="n">
        <x:v>46236.54068135416</x:v>
      </x:c>
      <x:c r="J52" s="1" t="n">
        <x:f>COUNTIF('Occurrences'!$B$2:$B$722,A52)</x:f>
        <x:v>9</x:v>
      </x:c>
      <x:c r="K52" s="1" t="n">
        <x:f>COUNTIF('Unique per draft'!$B$2:$B$474,A52)</x:f>
        <x:v>6</x:v>
      </x:c>
      <x:c r="L52" s="1" t="n">
        <x:f>COUNTIFS('Unique per draft'!$B$2:$B$474,A52,'Unique per draft'!$G$2:$G$474,"case")</x:f>
        <x:v>4</x:v>
      </x:c>
      <x:c r="M52" s="1" t="n">
        <x:f>COUNTIFS('Unique per draft'!$B$2:$B$474,A52,'Unique per draft'!$G$2:$G$474,"legislation")</x:f>
        <x:v>2</x:v>
      </x:c>
      <x:c r="N52" s="1" t="n">
        <x:f>COUNTIFS('Unique per draft'!$B$2:$B$474,A52,'Unique per draft'!$G$2:$G$474,"other")</x:f>
        <x:v>0</x:v>
      </x:c>
    </x:row>
    <x:row r="53">
      <x:c r="A53" s="1" t="str">
        <x:v>cmsbtbxft002t04jic4baeo3l</x:v>
      </x:c>
      <x:c r="B53" s="1" t="str">
        <x:v>cmsbt9u2q002e04ji2397j8fe</x:v>
      </x:c>
      <x:c r="C53" s="1" t="str">
        <x:v>ca-2024-002325 &amp; ca-2024-002295-modernatx-inc-v-pfizer-limited-others-appellant-skeleton</x:v>
      </x:c>
      <x:c r="D53" s="1" t="str">
        <x:v>real</x:v>
      </x:c>
      <x:c r="E53" s="1" t="str">
        <x:v>Modernatx, Inc. v Pfizer Limited &amp; Others</x:v>
      </x:c>
      <x:c r="F53" s="1" t="str">
        <x:v>Pfizer_appellant_Skeleton_Argument.xml</x:v>
      </x:c>
      <x:c r="G53" s="1" t="str">
        <x:v>Pfizer_Respondent_Notice_Skeleton_Argument.xml</x:v>
      </x:c>
      <x:c r="H53" s="1" t="str">
        <x:v>gpt-4o-mini</x:v>
      </x:c>
      <x:c r="I53" s="14" t="n">
        <x:v>46236.54524157407</x:v>
      </x:c>
      <x:c r="J53" s="1" t="n">
        <x:f>COUNTIF('Occurrences'!$B$2:$B$722,A53)</x:f>
        <x:v>8</x:v>
      </x:c>
      <x:c r="K53" s="1" t="n">
        <x:f>COUNTIF('Unique per draft'!$B$2:$B$474,A53)</x:f>
        <x:v>6</x:v>
      </x:c>
      <x:c r="L53" s="1" t="n">
        <x:f>COUNTIFS('Unique per draft'!$B$2:$B$474,A53,'Unique per draft'!$G$2:$G$474,"case")</x:f>
        <x:v>5</x:v>
      </x:c>
      <x:c r="M53" s="1" t="n">
        <x:f>COUNTIFS('Unique per draft'!$B$2:$B$474,A53,'Unique per draft'!$G$2:$G$474,"legislation")</x:f>
        <x:v>1</x:v>
      </x:c>
      <x:c r="N53" s="1" t="n">
        <x:f>COUNTIFS('Unique per draft'!$B$2:$B$474,A53,'Unique per draft'!$G$2:$G$474,"other")</x:f>
        <x:v>0</x:v>
      </x:c>
    </x:row>
    <x:row r="54">
      <x:c r="A54" s="1" t="str">
        <x:v>cmst419ew000k04ladhs06s0r</x:v>
      </x:c>
      <x:c r="B54" s="1" t="str">
        <x:v>cmst3ysl5000504lad87fig4n</x:v>
      </x:c>
      <x:c r="C54" s="1" t="str">
        <x:v>skeleton-args-ca2015000120-c8bbd9c0f403a8f6</x:v>
      </x:c>
      <x:c r="D54" s="1" t="str">
        <x:v>synthetic</x:v>
      </x:c>
      <x:c r="E54" s="1" t="str">
        <x:v>Sharma v Meridian Financial Services Ltd</x:v>
      </x:c>
      <x:c r="F54" s="1" t="str">
        <x:v>Sharma_v_Meridian_Financial_Services_Ltd_Appellant.xml</x:v>
      </x:c>
      <x:c r="G54" s="1" t="str">
        <x:v>Sharma_v_Meridian_Financial_Services_Ltd_Respondent.xml</x:v>
      </x:c>
      <x:c r="H54" s="1" t="str">
        <x:v>gpt-4o-mini</x:v>
      </x:c>
      <x:c r="I54" s="14" t="n">
        <x:v>46248.650601180554</x:v>
      </x:c>
      <x:c r="J54" s="1" t="n">
        <x:f>COUNTIF('Occurrences'!$B$2:$B$722,A54)</x:f>
        <x:v>15</x:v>
      </x:c>
      <x:c r="K54" s="1" t="n">
        <x:f>COUNTIF('Unique per draft'!$B$2:$B$474,A54)</x:f>
        <x:v>10</x:v>
      </x:c>
      <x:c r="L54" s="1" t="n">
        <x:f>COUNTIFS('Unique per draft'!$B$2:$B$474,A54,'Unique per draft'!$G$2:$G$474,"case")</x:f>
        <x:v>5</x:v>
      </x:c>
      <x:c r="M54" s="1" t="n">
        <x:f>COUNTIFS('Unique per draft'!$B$2:$B$474,A54,'Unique per draft'!$G$2:$G$474,"legislation")</x:f>
        <x:v>5</x:v>
      </x:c>
      <x:c r="N54" s="1" t="n">
        <x:f>COUNTIFS('Unique per draft'!$B$2:$B$474,A54,'Unique per draft'!$G$2:$G$474,"other")</x:f>
        <x:v>0</x:v>
      </x:c>
    </x:row>
    <x:row r="55">
      <x:c r="A55" s="1" t="str">
        <x:v>cmst45vlc000h04l7f6nlqawg</x:v>
      </x:c>
      <x:c r="B55" s="1" t="str">
        <x:v>cmst42n0r000204l7soxe8xnj</x:v>
      </x:c>
      <x:c r="C55" s="1" t="str">
        <x:v>skeleton-args-ca2015008373-db13b0c8e36da3c2</x:v>
      </x:c>
      <x:c r="D55" s="1" t="str">
        <x:v>synthetic</x:v>
      </x:c>
      <x:c r="E55" s="1" t="str">
        <x:v>Crossfield Trading Ltd v Northern Commercial Bank Plc</x:v>
      </x:c>
      <x:c r="F55" s="1" t="str">
        <x:v>Crossfield_Trading_Ltd_v_Northern_Commercial_Bank__Appellant.xml</x:v>
      </x:c>
      <x:c r="G55" s="1" t="str">
        <x:v>Crossfield_Trading_Ltd_v_Northern_Commercial_Bank__Respondent.xml</x:v>
      </x:c>
      <x:c r="H55" s="1" t="str">
        <x:v>gpt-4o-mini</x:v>
      </x:c>
      <x:c r="I55" s="14" t="n">
        <x:v>46248.65309386574</x:v>
      </x:c>
      <x:c r="J55" s="1" t="n">
        <x:f>COUNTIF('Occurrences'!$B$2:$B$722,A55)</x:f>
        <x:v>16</x:v>
      </x:c>
      <x:c r="K55" s="1" t="n">
        <x:f>COUNTIF('Unique per draft'!$B$2:$B$474,A55)</x:f>
        <x:v>9</x:v>
      </x:c>
      <x:c r="L55" s="1" t="n">
        <x:f>COUNTIFS('Unique per draft'!$B$2:$B$474,A55,'Unique per draft'!$G$2:$G$474,"case")</x:f>
        <x:v>3</x:v>
      </x:c>
      <x:c r="M55" s="1" t="n">
        <x:f>COUNTIFS('Unique per draft'!$B$2:$B$474,A55,'Unique per draft'!$G$2:$G$474,"legislation")</x:f>
        <x:v>5</x:v>
      </x:c>
      <x:c r="N55" s="1" t="n">
        <x:f>COUNTIFS('Unique per draft'!$B$2:$B$474,A55,'Unique per draft'!$G$2:$G$474,"other")</x:f>
        <x:v>1</x:v>
      </x:c>
    </x:row>
    <x:row r="56">
      <x:c r="A56" s="1" t="str">
        <x:v>cmst49zw4001104l7neqlaa0v</x:v>
      </x:c>
      <x:c r="B56" s="1" t="str">
        <x:v>cmst475c6000m04l77l2dz6nu</x:v>
      </x:c>
      <x:c r="C56" s="1" t="str">
        <x:v>skeleton-args-ca2024009268-0b828a88e0027426</x:v>
      </x:c>
      <x:c r="D56" s="1" t="str">
        <x:v>synthetic</x:v>
      </x:c>
      <x:c r="E56" s="1" t="str">
        <x:v>Webb v Ashworth &amp; Partners</x:v>
      </x:c>
      <x:c r="F56" s="1" t="str">
        <x:v>Webb_v_Ashworth_and_Partners_Appellant.xml</x:v>
      </x:c>
      <x:c r="G56" s="1" t="str">
        <x:v>Webb_v_Ashworth_and_Partners_Respondent.xml</x:v>
      </x:c>
      <x:c r="H56" s="1" t="str">
        <x:v>gpt-4o-mini</x:v>
      </x:c>
      <x:c r="I56" s="14" t="n">
        <x:v>46248.65531836806</x:v>
      </x:c>
      <x:c r="J56" s="1" t="n">
        <x:f>COUNTIF('Occurrences'!$B$2:$B$722,A56)</x:f>
        <x:v>16</x:v>
      </x:c>
      <x:c r="K56" s="1" t="n">
        <x:f>COUNTIF('Unique per draft'!$B$2:$B$474,A56)</x:f>
        <x:v>10</x:v>
      </x:c>
      <x:c r="L56" s="1" t="n">
        <x:f>COUNTIFS('Unique per draft'!$B$2:$B$474,A56,'Unique per draft'!$G$2:$G$474,"case")</x:f>
        <x:v>5</x:v>
      </x:c>
      <x:c r="M56" s="1" t="n">
        <x:f>COUNTIFS('Unique per draft'!$B$2:$B$474,A56,'Unique per draft'!$G$2:$G$474,"legislation")</x:f>
        <x:v>4</x:v>
      </x:c>
      <x:c r="N56" s="1" t="n">
        <x:f>COUNTIFS('Unique per draft'!$B$2:$B$474,A56,'Unique per draft'!$G$2:$G$474,"other")</x:f>
        <x:v>1</x:v>
      </x:c>
    </x:row>
    <x:row r="57">
      <x:c r="A57" s="1" t="str">
        <x:v>cmst4fdgx001l04l7p4wrw7w7</x:v>
      </x:c>
      <x:c r="B57" s="1" t="str">
        <x:v>cmst4aoqq001604l74y839y4f</x:v>
      </x:c>
      <x:c r="C57" s="1" t="str">
        <x:v>skeleton-args-ca2025001247-4e7222cd1e12236a</x:v>
      </x:c>
      <x:c r="D57" s="1" t="str">
        <x:v>synthetic</x:v>
      </x:c>
      <x:c r="E57" s="1" t="str">
        <x:v>Thornton v GlobalTech Solutions Ltd</x:v>
      </x:c>
      <x:c r="F57" s="1" t="str">
        <x:v>Thornton_v_GlobalTech_Appellant.xml</x:v>
      </x:c>
      <x:c r="G57" s="1" t="str">
        <x:v>Thornton_v_GlobalTech_Respondent.xml</x:v>
      </x:c>
      <x:c r="H57" s="1" t="str">
        <x:v>gpt-4o-mini</x:v>
      </x:c>
      <x:c r="I57" s="14" t="n">
        <x:v>46248.658222025464</x:v>
      </x:c>
      <x:c r="J57" s="1" t="n">
        <x:f>COUNTIF('Occurrences'!$B$2:$B$722,A57)</x:f>
        <x:v>17</x:v>
      </x:c>
      <x:c r="K57" s="1" t="n">
        <x:f>COUNTIF('Unique per draft'!$B$2:$B$474,A57)</x:f>
        <x:v>7</x:v>
      </x:c>
      <x:c r="L57" s="1" t="n">
        <x:f>COUNTIFS('Unique per draft'!$B$2:$B$474,A57,'Unique per draft'!$G$2:$G$474,"case")</x:f>
        <x:v>5</x:v>
      </x:c>
      <x:c r="M57" s="1" t="n">
        <x:f>COUNTIFS('Unique per draft'!$B$2:$B$474,A57,'Unique per draft'!$G$2:$G$474,"legislation")</x:f>
        <x:v>2</x:v>
      </x:c>
      <x:c r="N57" s="1" t="n">
        <x:f>COUNTIFS('Unique per draft'!$B$2:$B$474,A57,'Unique per draft'!$G$2:$G$474,"other")</x:f>
        <x:v>0</x:v>
      </x:c>
    </x:row>
    <x:row r="58">
      <x:c r="A58" s="1" t="str">
        <x:v>cmst4kl1t000h04js7g8j67zy</x:v>
      </x:c>
      <x:c r="B58" s="1" t="str">
        <x:v>cmst4gypt000204jslfhbfuuf</x:v>
      </x:c>
      <x:c r="C58" s="1" t="str">
        <x:v>skeleton-args-ca2019005474-f7265b45a4e3f0ae</x:v>
      </x:c>
      <x:c r="D58" s="1" t="str">
        <x:v>synthetic</x:v>
      </x:c>
      <x:c r="E58" s="1" t="str">
        <x:v>Heritage Brewing Company Ltd v Traditional Ales Holdings Plc</x:v>
      </x:c>
      <x:c r="F58" s="1" t="str">
        <x:v>Heritage_Brewing_Company_Ltd_v_Traditional_Ales_Ho_Appellant.xml</x:v>
      </x:c>
      <x:c r="G58" s="1" t="str">
        <x:v>Heritage_Brewing_Company_Ltd_v_Traditional_Ales_Ho_Respondent.xml</x:v>
      </x:c>
      <x:c r="H58" s="1" t="str">
        <x:v>gpt-4o-mini</x:v>
      </x:c>
      <x:c r="I58" s="14" t="n">
        <x:v>46248.661035729165</x:v>
      </x:c>
      <x:c r="J58" s="1" t="n">
        <x:f>COUNTIF('Occurrences'!$B$2:$B$722,A58)</x:f>
        <x:v>11</x:v>
      </x:c>
      <x:c r="K58" s="1" t="n">
        <x:f>COUNTIF('Unique per draft'!$B$2:$B$474,A58)</x:f>
        <x:v>7</x:v>
      </x:c>
      <x:c r="L58" s="1" t="n">
        <x:f>COUNTIFS('Unique per draft'!$B$2:$B$474,A58,'Unique per draft'!$G$2:$G$474,"case")</x:f>
        <x:v>4</x:v>
      </x:c>
      <x:c r="M58" s="1" t="n">
        <x:f>COUNTIFS('Unique per draft'!$B$2:$B$474,A58,'Unique per draft'!$G$2:$G$474,"legislation")</x:f>
        <x:v>3</x:v>
      </x:c>
      <x:c r="N58" s="1" t="n">
        <x:f>COUNTIFS('Unique per draft'!$B$2:$B$474,A58,'Unique per draft'!$G$2:$G$474,"other")</x:f>
        <x:v>0</x:v>
      </x:c>
    </x:row>
    <x:row r="59">
      <x:c r="A59" s="1" t="str">
        <x:v>cmst7uoeu00d804l5ayb3b9q8</x:v>
      </x:c>
      <x:c r="B59" s="1" t="str">
        <x:v>cmst7mv8q00ct04l5l58ijl5a</x:v>
      </x:c>
      <x:c r="C59" s="1" t="str">
        <x:v>skeleton-args-ca2022000651-1294462417e10289</x:v>
      </x:c>
      <x:c r="D59" s="1" t="str">
        <x:v>synthetic</x:v>
      </x:c>
      <x:c r="E59" s="1" t="str">
        <x:v>Sterling Investments Ltd v Blackwood Capital Partners LLP</x:v>
      </x:c>
      <x:c r="F59" s="1" t="str">
        <x:v>Sterling_Investments_Ltd_v_Blackwood_Capital_Partn_Appellant.xml</x:v>
      </x:c>
      <x:c r="G59" s="1" t="str">
        <x:v>Sterling_Investments_Ltd_v_Blackwood_Capital_Partn_Respondent.xml</x:v>
      </x:c>
      <x:c r="H59" s="1" t="str">
        <x:v>gpt-4o-mini</x:v>
      </x:c>
      <x:c r="I59" s="14" t="n">
        <x:v>46248.72480615741</x:v>
      </x:c>
      <x:c r="J59" s="1" t="n">
        <x:f>COUNTIF('Occurrences'!$B$2:$B$722,A59)</x:f>
        <x:v>15</x:v>
      </x:c>
      <x:c r="K59" s="1" t="n">
        <x:f>COUNTIF('Unique per draft'!$B$2:$B$474,A59)</x:f>
        <x:v>10</x:v>
      </x:c>
      <x:c r="L59" s="1" t="n">
        <x:f>COUNTIFS('Unique per draft'!$B$2:$B$474,A59,'Unique per draft'!$G$2:$G$474,"case")</x:f>
        <x:v>7</x:v>
      </x:c>
      <x:c r="M59" s="1" t="n">
        <x:f>COUNTIFS('Unique per draft'!$B$2:$B$474,A59,'Unique per draft'!$G$2:$G$474,"legislation")</x:f>
        <x:v>3</x:v>
      </x:c>
      <x:c r="N59" s="1" t="n">
        <x:f>COUNTIFS('Unique per draft'!$B$2:$B$474,A59,'Unique per draft'!$G$2:$G$474,"other")</x:f>
        <x:v>0</x:v>
      </x:c>
    </x:row>
    <x:row r="60">
      <x:c r="A60" s="1" t="str">
        <x:v>cmst80ckg000h04i9rasplurj</x:v>
      </x:c>
      <x:c r="B60" s="1" t="str">
        <x:v>cmst7xl0r000204i9bv14oc5k</x:v>
      </x:c>
      <x:c r="C60" s="1" t="str">
        <x:v>skeleton-args-ca2022004921-cb64a3102cee5019</x:v>
      </x:c>
      <x:c r="D60" s="1" t="str">
        <x:v>synthetic</x:v>
      </x:c>
      <x:c r="E60" s="1" t="str">
        <x:v>Thompson v Clearview Credit Services Ltd</x:v>
      </x:c>
      <x:c r="F60" s="1" t="str">
        <x:v>Thompson_v_Clearview_Credit_Services_Ltd_Appellant.xml</x:v>
      </x:c>
      <x:c r="G60" s="1" t="str">
        <x:v>Thompson_v_Clearview_Credit_Services_Ltd_Respondent.xml</x:v>
      </x:c>
      <x:c r="H60" s="1" t="str">
        <x:v>gpt-4o-mini</x:v>
      </x:c>
      <x:c r="I60" s="14" t="n">
        <x:v>46248.727868483795</x:v>
      </x:c>
      <x:c r="J60" s="1" t="n">
        <x:f>COUNTIF('Occurrences'!$B$2:$B$722,A60)</x:f>
        <x:v>13</x:v>
      </x:c>
      <x:c r="K60" s="1" t="n">
        <x:f>COUNTIF('Unique per draft'!$B$2:$B$474,A60)</x:f>
        <x:v>8</x:v>
      </x:c>
      <x:c r="L60" s="1" t="n">
        <x:f>COUNTIFS('Unique per draft'!$B$2:$B$474,A60,'Unique per draft'!$G$2:$G$474,"case")</x:f>
        <x:v>3</x:v>
      </x:c>
      <x:c r="M60" s="1" t="n">
        <x:f>COUNTIFS('Unique per draft'!$B$2:$B$474,A60,'Unique per draft'!$G$2:$G$474,"legislation")</x:f>
        <x:v>3</x:v>
      </x:c>
      <x:c r="N60" s="1" t="n">
        <x:f>COUNTIFS('Unique per draft'!$B$2:$B$474,A60,'Unique per draft'!$G$2:$G$474,"other")</x:f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80a670b418241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1.110000610351562" hidden="0" customWidth="1"/>
    <x:col min="3" max="3" width="21.110000610351562" hidden="0" customWidth="1"/>
    <x:col min="4" max="4" width="32.220001220703125" hidden="0" customWidth="1"/>
    <x:col min="5" max="5" width="8.890000343322754" hidden="0" customWidth="1"/>
    <x:col min="6" max="6" width="31.110000610351562" hidden="0" customWidth="1"/>
    <x:col min="7" max="7" width="16.110000610351562" hidden="0" customWidth="1"/>
    <x:col min="8" max="8" width="10" hidden="0" customWidth="1"/>
    <x:col min="9" max="9" width="33.33000183105469" hidden="0" customWidth="1"/>
    <x:col min="10" max="10" width="33.33000183105469" hidden="0" customWidth="1"/>
    <x:col min="11" max="11" width="33.33000183105469" hidden="0" customWidth="1"/>
    <x:col min="12" max="12" width="27.219999313354492" hidden="0" customWidth="1"/>
    <x:col min="13" max="13" width="10" hidden="0" customWidth="1"/>
    <x:col min="14" max="14" width="34.439998626708984" hidden="0" customWidth="1"/>
    <x:col min="15" max="15" width="12.779999732971191" hidden="0" customWidth="1"/>
    <x:col min="16" max="16" width="12.220000267028809" hidden="0" customWidth="1"/>
    <x:col min="17" max="17" width="12.220000267028809" hidden="0" customWidth="1"/>
    <x:col min="18" max="18" width="40" hidden="0" customWidth="1"/>
    <x:col min="19" max="19" width="24.440000534057617" hidden="0" customWidth="1"/>
  </x:cols>
  <x:sheetData>
    <x:row r="1">
      <x:c r="A1" s="5" t="str">
        <x:v>occurrence_id</x:v>
      </x:c>
      <x:c r="B1" s="5" t="str">
        <x:v>draft_id</x:v>
      </x:c>
      <x:c r="C1" s="5" t="str">
        <x:v>skeleton_arguments_id</x:v>
      </x:c>
      <x:c r="D1" s="5" t="str">
        <x:v>case_doc_id</x:v>
      </x:c>
      <x:c r="E1" s="5" t="str">
        <x:v>input_type</x:v>
      </x:c>
      <x:c r="F1" s="5" t="str">
        <x:v>case_title</x:v>
      </x:c>
      <x:c r="G1" s="5" t="str">
        <x:v>generated_at</x:v>
      </x:c>
      <x:c r="H1" s="5" t="str">
        <x:v>authority_type</x:v>
      </x:c>
      <x:c r="I1" s="5" t="str">
        <x:v>authority_key</x:v>
      </x:c>
      <x:c r="J1" s="5" t="str">
        <x:v>authority_name</x:v>
      </x:c>
      <x:c r="K1" s="5" t="str">
        <x:v>citation_raw</x:v>
      </x:c>
      <x:c r="L1" s="5" t="str">
        <x:v>case_id</x:v>
      </x:c>
      <x:c r="M1" s="5" t="str">
        <x:v>provision</x:v>
      </x:c>
      <x:c r="N1" s="5" t="str">
        <x:v>source_path</x:v>
      </x:c>
      <x:c r="O1" s="5" t="str">
        <x:v>extraction_method</x:v>
      </x:c>
      <x:c r="P1" s="5" t="str">
        <x:v>binding_authority</x:v>
      </x:c>
      <x:c r="Q1" s="5" t="str">
        <x:v>usage_type</x:v>
      </x:c>
      <x:c r="R1" s="5" t="str">
        <x:v>principle_or_relevance</x:v>
      </x:c>
      <x:c r="S1" s="5" t="str">
        <x:v>source_link</x:v>
      </x:c>
    </x:row>
    <x:row r="2">
      <x:c r="A2" s="1" t="str">
        <x:v>O0001</x:v>
      </x:c>
      <x:c r="B2" s="1" t="str">
        <x:v>cmlzpblc7000304jv62ixuvp8</x:v>
      </x:c>
      <x:c r="C2" s="1" t="str">
        <x:v>cmlzon435000504jsyulxanb5</x:v>
      </x:c>
      <x:c r="D2" s="1" t="str">
        <x:v>skeleton-args-ca2022002088-9a827e5fc9cfa270</x:v>
      </x:c>
      <x:c r="E2" s="1" t="str">
        <x:v>synthetic</x:v>
      </x:c>
      <x:c r="F2" s="15" t="str">
        <x:v>HMRC v Dolphin Drilling Ltd</x:v>
      </x:c>
      <x:c r="G2" s="16" t="n">
        <x:v>46076.9037800463</x:v>
      </x:c>
      <x:c r="H2" s="15" t="str">
        <x:v>case</x:v>
      </x:c>
      <x:c r="I2" s="15" t="str">
        <x:v>case:2002 ewca civ 605</x:v>
      </x:c>
      <x:c r="J2" s="15" t="str">
        <x:v>English v Emery Reimbold &amp; Strick Ltd [2002] EWCA Civ 605</x:v>
      </x:c>
      <x:c r="K2" s="15" t="str">
        <x:v>English v Emery Reimbold &amp; Strick Ltd [2002] EWCA Civ 605</x:v>
      </x:c>
      <x:c r="L2" s="15" t="str"/>
      <x:c r="M2" s="15" t="str"/>
      <x:c r="N2" s="15" t="str">
        <x:v>legalFramework.precedentCitations[0]</x:v>
      </x:c>
      <x:c r="O2" s="15" t="str">
        <x:v>structured_json</x:v>
      </x:c>
      <x:c r="P2" s="15" t="str">
        <x:v>binding</x:v>
      </x:c>
      <x:c r="Q2" s="15" t="str"/>
      <x:c r="R2" s="15" t="str">
        <x:v>Adequacy of reasons in judgments must be satisfied for proper judicial analysis.</x:v>
      </x:c>
      <x:c r="S2" s="15" t="str"/>
    </x:row>
    <x:row r="3">
      <x:c r="A3" s="1" t="str">
        <x:v>O0002</x:v>
      </x:c>
      <x:c r="B3" s="1" t="str">
        <x:v>cmlzpblc7000304jv62ixuvp8</x:v>
      </x:c>
      <x:c r="C3" s="1" t="str">
        <x:v>cmlzon435000504jsyulxanb5</x:v>
      </x:c>
      <x:c r="D3" s="1" t="str">
        <x:v>skeleton-args-ca2022002088-9a827e5fc9cfa270</x:v>
      </x:c>
      <x:c r="E3" s="1" t="str">
        <x:v>synthetic</x:v>
      </x:c>
      <x:c r="F3" s="15" t="str">
        <x:v>HMRC v Dolphin Drilling Ltd</x:v>
      </x:c>
      <x:c r="G3" s="16" t="n">
        <x:v>46076.9037800463</x:v>
      </x:c>
      <x:c r="H3" s="15" t="str">
        <x:v>case</x:v>
      </x:c>
      <x:c r="I3" s="15" t="str">
        <x:v>case:2000 1 wlr 377</x:v>
      </x:c>
      <x:c r="J3" s="15" t="str">
        <x:v>Flannery v Halifax Estate Agencies Ltd [2000] 1 WLR 377</x:v>
      </x:c>
      <x:c r="K3" s="15" t="str">
        <x:v>Flannery v Halifax Estate Agencies Ltd [2000] 1 WLR 377</x:v>
      </x:c>
      <x:c r="L3" s="15" t="str"/>
      <x:c r="M3" s="15" t="str"/>
      <x:c r="N3" s="15" t="str">
        <x:v>legalFramework.precedentCitations[1]</x:v>
      </x:c>
      <x:c r="O3" s="15" t="str">
        <x:v>structured_json</x:v>
      </x:c>
      <x:c r="P3" s="15" t="str">
        <x:v>binding</x:v>
      </x:c>
      <x:c r="Q3" s="15" t="str"/>
      <x:c r="R3" s="15" t="str">
        <x:v>Judges must provide adequate reasons fulfilling the duty to give reasons in rulings.</x:v>
      </x:c>
      <x:c r="S3" s="15" t="str"/>
    </x:row>
    <x:row r="4">
      <x:c r="A4" s="1" t="str">
        <x:v>O0003</x:v>
      </x:c>
      <x:c r="B4" s="1" t="str">
        <x:v>cmlzpblc7000304jv62ixuvp8</x:v>
      </x:c>
      <x:c r="C4" s="1" t="str">
        <x:v>cmlzon435000504jsyulxanb5</x:v>
      </x:c>
      <x:c r="D4" s="1" t="str">
        <x:v>skeleton-args-ca2022002088-9a827e5fc9cfa270</x:v>
      </x:c>
      <x:c r="E4" s="1" t="str">
        <x:v>synthetic</x:v>
      </x:c>
      <x:c r="F4" s="15" t="str">
        <x:v>HMRC v Dolphin Drilling Ltd</x:v>
      </x:c>
      <x:c r="G4" s="16" t="n">
        <x:v>46076.9037800463</x:v>
      </x:c>
      <x:c r="H4" s="15" t="str">
        <x:v>legislation</x:v>
      </x:c>
      <x:c r="I4" s="15" t="str">
        <x:v>legislation:senior courts act 1981 s 35a</x:v>
      </x:c>
      <x:c r="J4" s="15" t="str">
        <x:v>Senior Courts Act 1981, s.35A</x:v>
      </x:c>
      <x:c r="K4" s="15" t="str">
        <x:v>Senior Courts Act 1981, s.35A</x:v>
      </x:c>
      <x:c r="L4" s="15" t="str"/>
      <x:c r="M4" s="15" t="str"/>
      <x:c r="N4" s="15" t="str">
        <x:v>legalFramework.precedentCitations[2]</x:v>
      </x:c>
      <x:c r="O4" s="15" t="str">
        <x:v>structured_json</x:v>
      </x:c>
      <x:c r="P4" s="15" t="str">
        <x:v>binding</x:v>
      </x:c>
      <x:c r="Q4" s="15" t="str"/>
      <x:c r="R4" s="15" t="str">
        <x:v>Allows for the granting of interest on amounts owed as part of judgments.</x:v>
      </x:c>
      <x:c r="S4" s="15" t="str"/>
    </x:row>
    <x:row r="5">
      <x:c r="A5" s="1" t="str">
        <x:v>O0004</x:v>
      </x:c>
      <x:c r="B5" s="1" t="str">
        <x:v>cmlzpblc7000304jv62ixuvp8</x:v>
      </x:c>
      <x:c r="C5" s="1" t="str">
        <x:v>cmlzon435000504jsyulxanb5</x:v>
      </x:c>
      <x:c r="D5" s="1" t="str">
        <x:v>skeleton-args-ca2022002088-9a827e5fc9cfa270</x:v>
      </x:c>
      <x:c r="E5" s="1" t="str">
        <x:v>synthetic</x:v>
      </x:c>
      <x:c r="F5" s="15" t="str">
        <x:v>HMRC v Dolphin Drilling Ltd</x:v>
      </x:c>
      <x:c r="G5" s="16" t="n">
        <x:v>46076.9037800463</x:v>
      </x:c>
      <x:c r="H5" s="15" t="str">
        <x:v>legislation</x:v>
      </x:c>
      <x:c r="I5" s="15" t="str">
        <x:v>legislation:corporation tax act 2010 s 356l</x:v>
      </x:c>
      <x:c r="J5" s="15" t="str">
        <x:v>Corporation Tax Act 2010</x:v>
      </x:c>
      <x:c r="K5" s="15" t="str">
        <x:v>Corporation Tax Act 2010 s.356L</x:v>
      </x:c>
      <x:c r="L5" s="15" t="str"/>
      <x:c r="M5" s="15" t="str">
        <x:v>s.356L</x:v>
      </x:c>
      <x:c r="N5" s="15" t="str">
        <x:v>legalFramework.statutoryProvisions[0]</x:v>
      </x:c>
      <x:c r="O5" s="15" t="str">
        <x:v>structured_json</x:v>
      </x:c>
      <x:c r="P5" s="15" t="str"/>
      <x:c r="Q5" s="15" t="str"/>
      <x:c r="R5" s="15" t="str">
        <x:v>Provides definitions relevant to asset classifications under Part 8ZA.</x:v>
      </x:c>
      <x:c r="S5" s="15" t="str"/>
    </x:row>
    <x:row r="6">
      <x:c r="A6" s="1" t="str">
        <x:v>O0005</x:v>
      </x:c>
      <x:c r="B6" s="1" t="str">
        <x:v>cmlzpblc7000304jv62ixuvp8</x:v>
      </x:c>
      <x:c r="C6" s="1" t="str">
        <x:v>cmlzon435000504jsyulxanb5</x:v>
      </x:c>
      <x:c r="D6" s="1" t="str">
        <x:v>skeleton-args-ca2022002088-9a827e5fc9cfa270</x:v>
      </x:c>
      <x:c r="E6" s="1" t="str">
        <x:v>synthetic</x:v>
      </x:c>
      <x:c r="F6" s="15" t="str">
        <x:v>HMRC v Dolphin Drilling Ltd</x:v>
      </x:c>
      <x:c r="G6" s="16" t="n">
        <x:v>46076.9037800463</x:v>
      </x:c>
      <x:c r="H6" s="15" t="str">
        <x:v>legislation</x:v>
      </x:c>
      <x:c r="I6" s="15" t="str">
        <x:v>legislation:corporation tax act 2010 s 356la</x:v>
      </x:c>
      <x:c r="J6" s="15" t="str">
        <x:v>Corporation Tax Act 2010</x:v>
      </x:c>
      <x:c r="K6" s="15" t="str">
        <x:v>Corporation Tax Act 2010 s.356LA</x:v>
      </x:c>
      <x:c r="L6" s="15" t="str"/>
      <x:c r="M6" s="15" t="str">
        <x:v>s.356LA</x:v>
      </x:c>
      <x:c r="N6" s="15" t="str">
        <x:v>legalFramework.statutoryProvisions[1]</x:v>
      </x:c>
      <x:c r="O6" s="15" t="str">
        <x:v>structured_json</x:v>
      </x:c>
      <x:c r="P6" s="15" t="str"/>
      <x:c r="Q6" s="15" t="str"/>
      <x:c r="R6" s="15" t="str">
        <x:v>Defines what constitutes a relevant asset concerning the statutory hire cap.</x:v>
      </x:c>
      <x:c r="S6" s="15" t="str"/>
    </x:row>
    <x:row r="7">
      <x:c r="A7" s="1" t="str">
        <x:v>O0006</x:v>
      </x:c>
      <x:c r="B7" s="1" t="str">
        <x:v>cmlzpblc7000304jv62ixuvp8</x:v>
      </x:c>
      <x:c r="C7" s="1" t="str">
        <x:v>cmlzon435000504jsyulxanb5</x:v>
      </x:c>
      <x:c r="D7" s="1" t="str">
        <x:v>skeleton-args-ca2022002088-9a827e5fc9cfa270</x:v>
      </x:c>
      <x:c r="E7" s="1" t="str">
        <x:v>synthetic</x:v>
      </x:c>
      <x:c r="F7" s="15" t="str">
        <x:v>HMRC v Dolphin Drilling Ltd</x:v>
      </x:c>
      <x:c r="G7" s="16" t="n">
        <x:v>46076.9037800463</x:v>
      </x:c>
      <x:c r="H7" s="15" t="str">
        <x:v>legislation</x:v>
      </x:c>
      <x:c r="I7" s="15" t="str">
        <x:v>legislation:senior courts act 1981 s 35a</x:v>
      </x:c>
      <x:c r="J7" s="15" t="str">
        <x:v>Senior Courts Act 1981, s.35A</x:v>
      </x:c>
      <x:c r="K7" s="15" t="str">
        <x:v>Senior Courts Act 1981, s.35A</x:v>
      </x:c>
      <x:c r="L7" s="15" t="str"/>
      <x:c r="M7" s="15" t="str"/>
      <x:c r="N7" s="15" t="str">
        <x:v>decisionAndDisposition.interest.statutoryBasis</x:v>
      </x:c>
      <x:c r="O7" s="15" t="str">
        <x:v>structured_json</x:v>
      </x:c>
      <x:c r="P7" s="15" t="str"/>
      <x:c r="Q7" s="15" t="str"/>
      <x:c r="R7" s="15" t="str"/>
      <x:c r="S7" s="15" t="str"/>
    </x:row>
    <x:row r="8">
      <x:c r="A8" s="1" t="str">
        <x:v>O0007</x:v>
      </x:c>
      <x:c r="B8" s="1" t="str">
        <x:v>cmlzpblc7000304jv62ixuvp8</x:v>
      </x:c>
      <x:c r="C8" s="1" t="str">
        <x:v>cmlzon435000504jsyulxanb5</x:v>
      </x:c>
      <x:c r="D8" s="1" t="str">
        <x:v>skeleton-args-ca2022002088-9a827e5fc9cfa270</x:v>
      </x:c>
      <x:c r="E8" s="1" t="str">
        <x:v>synthetic</x:v>
      </x:c>
      <x:c r="F8" s="15" t="str">
        <x:v>HMRC v Dolphin Drilling Ltd</x:v>
      </x:c>
      <x:c r="G8" s="16" t="n">
        <x:v>46076.9037800463</x:v>
      </x:c>
      <x:c r="H8" s="15" t="str">
        <x:v>case</x:v>
      </x:c>
      <x:c r="I8" s="15" t="str">
        <x:v>case:2023 ewca civ 474</x:v>
      </x:c>
      <x:c r="J8" s="15" t="str">
        <x:v>Altrad Services Ltd &amp; Anor v Commissioners for HMRC</x:v>
      </x:c>
      <x:c r="K8" s="15" t="str">
        <x:v>[2023] EWCA Civ 474</x:v>
      </x:c>
      <x:c r="L8" s="15" t="str">
        <x:v>d23d9f9f-4d0a-455a-bab1-0ce1a023b722</x:v>
      </x:c>
      <x:c r="M8" s="15" t="str"/>
      <x:c r="N8" s="15" t="str">
        <x:v>factualFindings.contestedFacts[0].sourceCases[0]</x:v>
      </x:c>
      <x:c r="O8" s="15" t="str">
        <x:v>structured_json</x:v>
      </x:c>
      <x:c r="P8" s="15" t="str"/>
      <x:c r="Q8" s="15" t="str">
        <x:v>same_proposition</x:v>
      </x:c>
      <x:c r="R8" s="15" t="str">
        <x:v>This case discusses the incidental use of assets in relation to tax classifications, which parallels the accommodation issue in this case.</x:v>
      </x:c>
      <x:c r="S8" s="15" t="str"/>
    </x:row>
    <x:row r="9">
      <x:c r="A9" s="1" t="str">
        <x:v>O0008</x:v>
      </x:c>
      <x:c r="B9" s="1" t="str">
        <x:v>cmlzpblc7000304jv62ixuvp8</x:v>
      </x:c>
      <x:c r="C9" s="1" t="str">
        <x:v>cmlzon435000504jsyulxanb5</x:v>
      </x:c>
      <x:c r="D9" s="1" t="str">
        <x:v>skeleton-args-ca2022002088-9a827e5fc9cfa270</x:v>
      </x:c>
      <x:c r="E9" s="1" t="str">
        <x:v>synthetic</x:v>
      </x:c>
      <x:c r="F9" s="15" t="str">
        <x:v>HMRC v Dolphin Drilling Ltd</x:v>
      </x:c>
      <x:c r="G9" s="16" t="n">
        <x:v>46076.9037800463</x:v>
      </x:c>
      <x:c r="H9" s="15" t="str">
        <x:v>case</x:v>
      </x:c>
      <x:c r="I9" s="15" t="str">
        <x:v>case:2016 ewca civ 1310</x:v>
      </x:c>
      <x:c r="J9" s="15" t="str">
        <x:v>Totel Limited v HM Revenue and Customs</x:v>
      </x:c>
      <x:c r="K9" s="15" t="str">
        <x:v>[2016] EWCA Civ 1310</x:v>
      </x:c>
      <x:c r="L9" s="15" t="str">
        <x:v>2f2ce488-73d0-4422-abcd-2b014a9e52d1</x:v>
      </x:c>
      <x:c r="M9" s="15" t="str"/>
      <x:c r="N9" s="15" t="str">
        <x:v>factualFindings.contestedFacts[1].sourceCases[0]</x:v>
      </x:c>
      <x:c r="O9" s="15" t="str">
        <x:v>structured_json</x:v>
      </x:c>
      <x:c r="P9" s="15" t="str"/>
      <x:c r="Q9" s="15" t="str">
        <x:v>applied_differently</x:v>
      </x:c>
      <x:c r="R9" s="15" t="str">
        <x:v>Similar case illustrates the balance between functions in asset classification which directly applies to the current issue.</x:v>
      </x:c>
      <x:c r="S9" s="15" t="str"/>
    </x:row>
    <x:row r="10">
      <x:c r="A10" s="1" t="str">
        <x:v>O0009</x:v>
      </x:c>
      <x:c r="B10" s="1" t="str">
        <x:v>cmlzpblc7000304jv62ixuvp8</x:v>
      </x:c>
      <x:c r="C10" s="1" t="str">
        <x:v>cmlzon435000504jsyulxanb5</x:v>
      </x:c>
      <x:c r="D10" s="1" t="str">
        <x:v>skeleton-args-ca2022002088-9a827e5fc9cfa270</x:v>
      </x:c>
      <x:c r="E10" s="1" t="str">
        <x:v>synthetic</x:v>
      </x:c>
      <x:c r="F10" s="15" t="str">
        <x:v>HMRC v Dolphin Drilling Ltd</x:v>
      </x:c>
      <x:c r="G10" s="16" t="n">
        <x:v>46076.9037800463</x:v>
      </x:c>
      <x:c r="H10" s="15" t="str">
        <x:v>case</x:v>
      </x:c>
      <x:c r="I10" s="15" t="str">
        <x:v>case:2023 ewca civ 474</x:v>
      </x:c>
      <x:c r="J10" s="15" t="str">
        <x:v>Altrad Services Ltd &amp; Anor v Commissioners for HMRC</x:v>
      </x:c>
      <x:c r="K10" s="15" t="str">
        <x:v>[2023] EWCA Civ 474</x:v>
      </x:c>
      <x:c r="L10" s="15" t="str">
        <x:v>d23d9f9f-4d0a-455a-bab1-0ce1a023b722</x:v>
      </x:c>
      <x:c r="M10" s="15" t="str"/>
      <x:c r="N10" s="15" t="str">
        <x:v>reasoningStructure[0].sourceCases[0]</x:v>
      </x:c>
      <x:c r="O10" s="15" t="str">
        <x:v>structured_json</x:v>
      </x:c>
      <x:c r="P10" s="15" t="str"/>
      <x:c r="Q10" s="15" t="str">
        <x:v>same_proposition</x:v>
      </x:c>
      <x:c r="R10" s="15" t="str">
        <x:v>Informs understanding of asset distinctions under Part 8ZA.</x:v>
      </x:c>
      <x:c r="S10" s="15" t="str"/>
    </x:row>
    <x:row r="11">
      <x:c r="A11" s="1" t="str">
        <x:v>O0010</x:v>
      </x:c>
      <x:c r="B11" s="1" t="str">
        <x:v>cmlzpblc7000304jv62ixuvp8</x:v>
      </x:c>
      <x:c r="C11" s="1" t="str">
        <x:v>cmlzon435000504jsyulxanb5</x:v>
      </x:c>
      <x:c r="D11" s="1" t="str">
        <x:v>skeleton-args-ca2022002088-9a827e5fc9cfa270</x:v>
      </x:c>
      <x:c r="E11" s="1" t="str">
        <x:v>synthetic</x:v>
      </x:c>
      <x:c r="F11" s="15" t="str">
        <x:v>HMRC v Dolphin Drilling Ltd</x:v>
      </x:c>
      <x:c r="G11" s="16" t="n">
        <x:v>46076.9037800463</x:v>
      </x:c>
      <x:c r="H11" s="15" t="str">
        <x:v>case</x:v>
      </x:c>
      <x:c r="I11" s="15" t="str">
        <x:v>case:2016 ewca civ 121</x:v>
      </x:c>
      <x:c r="J11" s="15" t="str">
        <x:v>BPP Holdings v Revenue And Customs</x:v>
      </x:c>
      <x:c r="K11" s="15" t="str">
        <x:v>[2016] EWCA Civ 121</x:v>
      </x:c>
      <x:c r="L11" s="15" t="str">
        <x:v>16f61521-59b6-4c57-8af3-c654be05eab0</x:v>
      </x:c>
      <x:c r="M11" s="15" t="str"/>
      <x:c r="N11" s="15" t="str">
        <x:v>issuesForDetermination.issueMatrix[0].sourceCases[0]</x:v>
      </x:c>
      <x:c r="O11" s="15" t="str">
        <x:v>structured_json</x:v>
      </x:c>
      <x:c r="P11" s="15" t="str"/>
      <x:c r="Q11" s="15" t="str">
        <x:v>distinguished</x:v>
      </x:c>
      <x:c r="R11" s="15" t="str">
        <x:v>Providing an analogue in statutory interpretation of asset functions.</x:v>
      </x:c>
      <x:c r="S11" s="15" t="str"/>
    </x:row>
    <x:row r="12">
      <x:c r="A12" s="1" t="str">
        <x:v>O0011</x:v>
      </x:c>
      <x:c r="B12" s="1" t="str">
        <x:v>cmlzpblc7000304jv62ixuvp8</x:v>
      </x:c>
      <x:c r="C12" s="1" t="str">
        <x:v>cmlzon435000504jsyulxanb5</x:v>
      </x:c>
      <x:c r="D12" s="1" t="str">
        <x:v>skeleton-args-ca2022002088-9a827e5fc9cfa270</x:v>
      </x:c>
      <x:c r="E12" s="1" t="str">
        <x:v>synthetic</x:v>
      </x:c>
      <x:c r="F12" s="15" t="str">
        <x:v>HMRC v Dolphin Drilling Ltd</x:v>
      </x:c>
      <x:c r="G12" s="16" t="n">
        <x:v>46076.9037800463</x:v>
      </x:c>
      <x:c r="H12" s="15" t="str">
        <x:v>case</x:v>
      </x:c>
      <x:c r="I12" s="15" t="str">
        <x:v>case:2016 ewca civ 1310</x:v>
      </x:c>
      <x:c r="J12" s="15" t="str">
        <x:v>Totel Limited v HM Revenue and Customs</x:v>
      </x:c>
      <x:c r="K12" s="15" t="str">
        <x:v>[2016] EWCA Civ 1310</x:v>
      </x:c>
      <x:c r="L12" s="15" t="str">
        <x:v>2f2ce488-73d0-4422-abcd-2b014a9e52d1</x:v>
      </x:c>
      <x:c r="M12" s="15" t="str"/>
      <x:c r="N12" s="15" t="str">
        <x:v>issuesForDetermination.issueMatrix[1].sourceCases[0]</x:v>
      </x:c>
      <x:c r="O12" s="15" t="str">
        <x:v>structured_json</x:v>
      </x:c>
      <x:c r="P12" s="15" t="str"/>
      <x:c r="Q12" s="15" t="str">
        <x:v>applied_differently</x:v>
      </x:c>
      <x:c r="R12" s="15" t="str">
        <x:v>Clarifies application of incidental use concepts in tax law as pertinent to asset classifications.</x:v>
      </x:c>
      <x:c r="S12" s="15" t="str"/>
    </x:row>
    <x:row r="13">
      <x:c r="A13" s="1" t="str">
        <x:v>O0012</x:v>
      </x:c>
      <x:c r="B13" s="1" t="str">
        <x:v>cmlzphr57000h04jtqrwbfiyf</x:v>
      </x:c>
      <x:c r="C13" s="1" t="str">
        <x:v>cmlzo9g9l000204l26mhyhchv</x:v>
      </x:c>
      <x:c r="D13" s="1" t="str">
        <x:v>skeleton-args-ca2022008247-6c5b4a1058f7a82b</x:v>
      </x:c>
      <x:c r="E13" s="1" t="str">
        <x:v>synthetic</x:v>
      </x:c>
      <x:c r="F13" s="15" t="str">
        <x:v>Aldridge v Crawford</x:v>
      </x:c>
      <x:c r="G13" s="16" t="n">
        <x:v>46076.9071071412</x:v>
      </x:c>
      <x:c r="H13" s="15" t="str">
        <x:v>case</x:v>
      </x:c>
      <x:c r="I13" s="15" t="str">
        <x:v>case:neilson v poole 1969 20 p&amp;cr 909</x:v>
      </x:c>
      <x:c r="J13" s="15" t="str">
        <x:v>Neilson v. Poole [1969] 20 P&amp;CR 909</x:v>
      </x:c>
      <x:c r="K13" s="15" t="str">
        <x:v>Neilson v. Poole [1969] 20 P&amp;CR 909</x:v>
      </x:c>
      <x:c r="L13" s="15" t="str"/>
      <x:c r="M13" s="15" t="str"/>
      <x:c r="N13" s="15" t="str">
        <x:v>legalFramework.precedentCitations[0]</x:v>
      </x:c>
      <x:c r="O13" s="15" t="str">
        <x:v>structured_json</x:v>
      </x:c>
      <x:c r="P13" s="15" t="str">
        <x:v>persuasive</x:v>
      </x:c>
      <x:c r="Q13" s="15" t="str"/>
      <x:c r="R13" s="15" t="str">
        <x:v>Established the importance of historical evidence in boundary disputes.</x:v>
      </x:c>
      <x:c r="S13" s="15" t="str"/>
    </x:row>
    <x:row r="14">
      <x:c r="A14" s="1" t="str">
        <x:v>O0013</x:v>
      </x:c>
      <x:c r="B14" s="1" t="str">
        <x:v>cmlzphr57000h04jtqrwbfiyf</x:v>
      </x:c>
      <x:c r="C14" s="1" t="str">
        <x:v>cmlzo9g9l000204l26mhyhchv</x:v>
      </x:c>
      <x:c r="D14" s="1" t="str">
        <x:v>skeleton-args-ca2022008247-6c5b4a1058f7a82b</x:v>
      </x:c>
      <x:c r="E14" s="1" t="str">
        <x:v>synthetic</x:v>
      </x:c>
      <x:c r="F14" s="15" t="str">
        <x:v>Aldridge v Crawford</x:v>
      </x:c>
      <x:c r="G14" s="16" t="n">
        <x:v>46076.9071071412</x:v>
      </x:c>
      <x:c r="H14" s="15" t="str">
        <x:v>case</x:v>
      </x:c>
      <x:c r="I14" s="15" t="str">
        <x:v>case:2002 ukhl 30</x:v>
      </x:c>
      <x:c r="J14" s="15" t="str">
        <x:v>J A Pye (Oxford) Ltd v. Graham [2002] UKHL 30</x:v>
      </x:c>
      <x:c r="K14" s="15" t="str">
        <x:v>J A Pye (Oxford) Ltd v. Graham [2002] UKHL 30</x:v>
      </x:c>
      <x:c r="L14" s="15" t="str"/>
      <x:c r="M14" s="15" t="str"/>
      <x:c r="N14" s="15" t="str">
        <x:v>legalFramework.precedentCitations[1]</x:v>
      </x:c>
      <x:c r="O14" s="15" t="str">
        <x:v>structured_json</x:v>
      </x:c>
      <x:c r="P14" s="15" t="str">
        <x:v>binding</x:v>
      </x:c>
      <x:c r="Q14" s="15" t="str"/>
      <x:c r="R14" s="15" t="str">
        <x:v>Recognized adverse possession as a means to attain title through long occupation.</x:v>
      </x:c>
      <x:c r="S14" s="15" t="str"/>
    </x:row>
    <x:row r="15">
      <x:c r="A15" s="1" t="str">
        <x:v>O0014</x:v>
      </x:c>
      <x:c r="B15" s="1" t="str">
        <x:v>cmlzphr57000h04jtqrwbfiyf</x:v>
      </x:c>
      <x:c r="C15" s="1" t="str">
        <x:v>cmlzo9g9l000204l26mhyhchv</x:v>
      </x:c>
      <x:c r="D15" s="1" t="str">
        <x:v>skeleton-args-ca2022008247-6c5b4a1058f7a82b</x:v>
      </x:c>
      <x:c r="E15" s="1" t="str">
        <x:v>synthetic</x:v>
      </x:c>
      <x:c r="F15" s="15" t="str">
        <x:v>Aldridge v Crawford</x:v>
      </x:c>
      <x:c r="G15" s="16" t="n">
        <x:v>46076.9071071412</x:v>
      </x:c>
      <x:c r="H15" s="15" t="str">
        <x:v>legislation</x:v>
      </x:c>
      <x:c r="I15" s="15" t="str">
        <x:v>legislation:land registration act 2002 s 60</x:v>
      </x:c>
      <x:c r="J15" s="15" t="str">
        <x:v>Land Registration Act 2002</x:v>
      </x:c>
      <x:c r="K15" s="15" t="str">
        <x:v>Land Registration Act 2002 s. 60</x:v>
      </x:c>
      <x:c r="L15" s="15" t="str"/>
      <x:c r="M15" s="15" t="str">
        <x:v>s. 60</x:v>
      </x:c>
      <x:c r="N15" s="15" t="str">
        <x:v>legalFramework.statutoryProvisions[0]</x:v>
      </x:c>
      <x:c r="O15" s="15" t="str">
        <x:v>structured_json</x:v>
      </x:c>
      <x:c r="P15" s="15" t="str"/>
      <x:c r="Q15" s="15" t="str"/>
      <x:c r="R15" s="15" t="str">
        <x:v>Defines lawful boundaries and rights under title plan.</x:v>
      </x:c>
      <x:c r="S15" s="15" t="str">
        <x:v>N/A</x:v>
      </x:c>
    </x:row>
    <x:row r="16">
      <x:c r="A16" s="1" t="str">
        <x:v>O0015</x:v>
      </x:c>
      <x:c r="B16" s="1" t="str">
        <x:v>cmlzphr57000h04jtqrwbfiyf</x:v>
      </x:c>
      <x:c r="C16" s="1" t="str">
        <x:v>cmlzo9g9l000204l26mhyhchv</x:v>
      </x:c>
      <x:c r="D16" s="1" t="str">
        <x:v>skeleton-args-ca2022008247-6c5b4a1058f7a82b</x:v>
      </x:c>
      <x:c r="E16" s="1" t="str">
        <x:v>synthetic</x:v>
      </x:c>
      <x:c r="F16" s="15" t="str">
        <x:v>Aldridge v Crawford</x:v>
      </x:c>
      <x:c r="G16" s="16" t="n">
        <x:v>46076.9071071412</x:v>
      </x:c>
      <x:c r="H16" s="15" t="str">
        <x:v>legislation</x:v>
      </x:c>
      <x:c r="I16" s="15" t="str">
        <x:v>legislation:senior courts act 1981 s 35a</x:v>
      </x:c>
      <x:c r="J16" s="15" t="str">
        <x:v>Senior Courts Act 1981, s.35A</x:v>
      </x:c>
      <x:c r="K16" s="15" t="str">
        <x:v>Senior Courts Act 1981, s.35A</x:v>
      </x:c>
      <x:c r="L16" s="15" t="str"/>
      <x:c r="M16" s="15" t="str"/>
      <x:c r="N16" s="15" t="str">
        <x:v>decisionAndDisposition.interest.statutoryBasis</x:v>
      </x:c>
      <x:c r="O16" s="15" t="str">
        <x:v>structured_json</x:v>
      </x:c>
      <x:c r="P16" s="15" t="str"/>
      <x:c r="Q16" s="15" t="str"/>
      <x:c r="R16" s="15" t="str"/>
      <x:c r="S16" s="15" t="str"/>
    </x:row>
    <x:row r="17">
      <x:c r="A17" s="1" t="str">
        <x:v>O0016</x:v>
      </x:c>
      <x:c r="B17" s="1" t="str">
        <x:v>cmlzphr57000h04jtqrwbfiyf</x:v>
      </x:c>
      <x:c r="C17" s="1" t="str">
        <x:v>cmlzo9g9l000204l26mhyhchv</x:v>
      </x:c>
      <x:c r="D17" s="1" t="str">
        <x:v>skeleton-args-ca2022008247-6c5b4a1058f7a82b</x:v>
      </x:c>
      <x:c r="E17" s="1" t="str">
        <x:v>synthetic</x:v>
      </x:c>
      <x:c r="F17" s="15" t="str">
        <x:v>Aldridge v Crawford</x:v>
      </x:c>
      <x:c r="G17" s="16" t="n">
        <x:v>46076.9071071412</x:v>
      </x:c>
      <x:c r="H17" s="15" t="str">
        <x:v>legislation</x:v>
      </x:c>
      <x:c r="I17" s="15" t="str">
        <x:v>legislation:land registration act 2002</x:v>
      </x:c>
      <x:c r="J17" s="15" t="str">
        <x:v>Land Registration Act 2002</x:v>
      </x:c>
      <x:c r="K17" s="15" t="str">
        <x:v>Land Registration Act 2002</x:v>
      </x:c>
      <x:c r="L17" s="15" t="str"/>
      <x:c r="M17" s="15" t="str"/>
      <x:c r="N17" s="15" t="str">
        <x:v>legalFramework.legalTestSummaries[0].sourceAuthority</x:v>
      </x:c>
      <x:c r="O17" s="15" t="str">
        <x:v>structured_json</x:v>
      </x:c>
      <x:c r="P17" s="15" t="str"/>
      <x:c r="Q17" s="15" t="str"/>
      <x:c r="R17" s="15" t="str"/>
      <x:c r="S17" s="15" t="str"/>
    </x:row>
    <x:row r="18">
      <x:c r="A18" s="1" t="str">
        <x:v>O0017</x:v>
      </x:c>
      <x:c r="B18" s="1" t="str">
        <x:v>cmlzphr57000h04jtqrwbfiyf</x:v>
      </x:c>
      <x:c r="C18" s="1" t="str">
        <x:v>cmlzo9g9l000204l26mhyhchv</x:v>
      </x:c>
      <x:c r="D18" s="1" t="str">
        <x:v>skeleton-args-ca2022008247-6c5b4a1058f7a82b</x:v>
      </x:c>
      <x:c r="E18" s="1" t="str">
        <x:v>synthetic</x:v>
      </x:c>
      <x:c r="F18" s="15" t="str">
        <x:v>Aldridge v Crawford</x:v>
      </x:c>
      <x:c r="G18" s="16" t="n">
        <x:v>46076.9071071412</x:v>
      </x:c>
      <x:c r="H18" s="15" t="str">
        <x:v>case</x:v>
      </x:c>
      <x:c r="I18" s="15" t="str">
        <x:v>case:2023 ewca civ 551</x:v>
      </x:c>
      <x:c r="J18" s="15" t="str">
        <x:v>Secretary of State for the Home Department v Cox &amp; Ors</x:v>
      </x:c>
      <x:c r="K18" s="15" t="str">
        <x:v>[2023] EWCA Civ 551</x:v>
      </x:c>
      <x:c r="L18" s="15" t="str">
        <x:v>6e8e988c-074c-4ab1-9e37-5c84673b441b</x:v>
      </x:c>
      <x:c r="M18" s="15" t="str"/>
      <x:c r="N18" s="15" t="str">
        <x:v>legalFramework.precedentCitations[1].sourceCases[0]</x:v>
      </x:c>
      <x:c r="O18" s="15" t="str">
        <x:v>structured_json</x:v>
      </x:c>
      <x:c r="P18" s="15" t="str"/>
      <x:c r="Q18" s="15" t="str">
        <x:v>applied_differently</x:v>
      </x:c>
      <x:c r="R18" s="15" t="str">
        <x:v>Similar adverse possession principles were assessed, which informs the Respondent's claim.</x:v>
      </x:c>
      <x:c r="S18" s="15" t="str"/>
    </x:row>
    <x:row r="19">
      <x:c r="A19" s="1" t="str">
        <x:v>O0018</x:v>
      </x:c>
      <x:c r="B19" s="1" t="str">
        <x:v>cmlzphr57000h04jtqrwbfiyf</x:v>
      </x:c>
      <x:c r="C19" s="1" t="str">
        <x:v>cmlzo9g9l000204l26mhyhchv</x:v>
      </x:c>
      <x:c r="D19" s="1" t="str">
        <x:v>skeleton-args-ca2022008247-6c5b4a1058f7a82b</x:v>
      </x:c>
      <x:c r="E19" s="1" t="str">
        <x:v>synthetic</x:v>
      </x:c>
      <x:c r="F19" s="15" t="str">
        <x:v>Aldridge v Crawford</x:v>
      </x:c>
      <x:c r="G19" s="16" t="n">
        <x:v>46076.9071071412</x:v>
      </x:c>
      <x:c r="H19" s="15" t="str">
        <x:v>case</x:v>
      </x:c>
      <x:c r="I19" s="15" t="str">
        <x:v>case:2016 ewca civ 689</x:v>
      </x:c>
      <x:c r="J19" s="15" t="str">
        <x:v>Heaney v Kirkby</x:v>
      </x:c>
      <x:c r="K19" s="15" t="str">
        <x:v>[2016] EWCA Civ 689</x:v>
      </x:c>
      <x:c r="L19" s="15" t="str">
        <x:v>4fb69c0f-f93b-4540-a62b-7db9f10a32aa</x:v>
      </x:c>
      <x:c r="M19" s="15" t="str"/>
      <x:c r="N19" s="15" t="str">
        <x:v>legalFramework.statutoryProvisions[0].sourceCases[0]</x:v>
      </x:c>
      <x:c r="O19" s="15" t="str">
        <x:v>structured_json</x:v>
      </x:c>
      <x:c r="P19" s="15" t="str"/>
      <x:c r="Q19" s="15" t="str">
        <x:v>applied_differently</x:v>
      </x:c>
      <x:c r="R19" s="15" t="str">
        <x:v>Interpreted statutory provisions concerning registered titles in similar boundary disputes.</x:v>
      </x:c>
      <x:c r="S19" s="15" t="str"/>
    </x:row>
    <x:row r="20">
      <x:c r="A20" s="1" t="str">
        <x:v>O0019</x:v>
      </x:c>
      <x:c r="B20" s="1" t="str">
        <x:v>cmlzphr57000h04jtqrwbfiyf</x:v>
      </x:c>
      <x:c r="C20" s="1" t="str">
        <x:v>cmlzo9g9l000204l26mhyhchv</x:v>
      </x:c>
      <x:c r="D20" s="1" t="str">
        <x:v>skeleton-args-ca2022008247-6c5b4a1058f7a82b</x:v>
      </x:c>
      <x:c r="E20" s="1" t="str">
        <x:v>synthetic</x:v>
      </x:c>
      <x:c r="F20" s="15" t="str">
        <x:v>Aldridge v Crawford</x:v>
      </x:c>
      <x:c r="G20" s="16" t="n">
        <x:v>46076.9071071412</x:v>
      </x:c>
      <x:c r="H20" s="15" t="str">
        <x:v>case</x:v>
      </x:c>
      <x:c r="I20" s="15" t="str">
        <x:v>case:2023 ewca civ 549</x:v>
      </x:c>
      <x:c r="J20" s="15" t="str">
        <x:v>Healey v Fraine &amp; Ors</x:v>
      </x:c>
      <x:c r="K20" s="15" t="str">
        <x:v>[2023] EWCA Civ 549</x:v>
      </x:c>
      <x:c r="L20" s="15" t="str">
        <x:v>f4d639ad-f27c-47ba-a62c-bfc0c4c9430e</x:v>
      </x:c>
      <x:c r="M20" s="15" t="str"/>
      <x:c r="N20" s="15" t="str">
        <x:v>factualFindings.contestedFacts[0].sourceCases[0]</x:v>
      </x:c>
      <x:c r="O20" s="15" t="str">
        <x:v>structured_json</x:v>
      </x:c>
      <x:c r="P20" s="15" t="str"/>
      <x:c r="Q20" s="15" t="str">
        <x:v>applied_differently</x:v>
      </x:c>
      <x:c r="R20" s="15" t="str">
        <x:v>Similar boundary dispute where encroachment was proven by survey evidence.</x:v>
      </x:c>
      <x:c r="S20" s="15" t="str"/>
    </x:row>
    <x:row r="21">
      <x:c r="A21" s="1" t="str">
        <x:v>O0020</x:v>
      </x:c>
      <x:c r="B21" s="1" t="str">
        <x:v>cmlzphr57000h04jtqrwbfiyf</x:v>
      </x:c>
      <x:c r="C21" s="1" t="str">
        <x:v>cmlzo9g9l000204l26mhyhchv</x:v>
      </x:c>
      <x:c r="D21" s="1" t="str">
        <x:v>skeleton-args-ca2022008247-6c5b4a1058f7a82b</x:v>
      </x:c>
      <x:c r="E21" s="1" t="str">
        <x:v>synthetic</x:v>
      </x:c>
      <x:c r="F21" s="15" t="str">
        <x:v>Aldridge v Crawford</x:v>
      </x:c>
      <x:c r="G21" s="16" t="n">
        <x:v>46076.9071071412</x:v>
      </x:c>
      <x:c r="H21" s="15" t="str">
        <x:v>case</x:v>
      </x:c>
      <x:c r="I21" s="15" t="str">
        <x:v>case:2016 ewca civ 689</x:v>
      </x:c>
      <x:c r="J21" s="15" t="str">
        <x:v>Heaney v Kirkby</x:v>
      </x:c>
      <x:c r="K21" s="15" t="str">
        <x:v>[2016] EWCA Civ 689</x:v>
      </x:c>
      <x:c r="L21" s="15" t="str">
        <x:v>4fb69c0f-f93b-4540-a62b-7db9f10a32aa</x:v>
      </x:c>
      <x:c r="M21" s="15" t="str"/>
      <x:c r="N21" s="15" t="str">
        <x:v>reasoningStructure[0].sourceCases[0]</x:v>
      </x:c>
      <x:c r="O21" s="15" t="str">
        <x:v>structured_json</x:v>
      </x:c>
      <x:c r="P21" s="15" t="str"/>
      <x:c r="Q21" s="15" t="str">
        <x:v>distinguished</x:v>
      </x:c>
      <x:c r="R21" s="15" t="str">
        <x:v>Informative precedent in interpreting statutory definitions surrounding registered titles.</x:v>
      </x:c>
      <x:c r="S21" s="15" t="str"/>
    </x:row>
    <x:row r="22">
      <x:c r="A22" s="1" t="str">
        <x:v>O0021</x:v>
      </x:c>
      <x:c r="B22" s="1" t="str">
        <x:v>cmlzphr57000h04jtqrwbfiyf</x:v>
      </x:c>
      <x:c r="C22" s="1" t="str">
        <x:v>cmlzo9g9l000204l26mhyhchv</x:v>
      </x:c>
      <x:c r="D22" s="1" t="str">
        <x:v>skeleton-args-ca2022008247-6c5b4a1058f7a82b</x:v>
      </x:c>
      <x:c r="E22" s="1" t="str">
        <x:v>synthetic</x:v>
      </x:c>
      <x:c r="F22" s="15" t="str">
        <x:v>Aldridge v Crawford</x:v>
      </x:c>
      <x:c r="G22" s="16" t="n">
        <x:v>46076.9071071412</x:v>
      </x:c>
      <x:c r="H22" s="15" t="str">
        <x:v>case</x:v>
      </x:c>
      <x:c r="I22" s="15" t="str">
        <x:v>case:2023 ewca civ 551</x:v>
      </x:c>
      <x:c r="J22" s="15" t="str">
        <x:v>Secretary of State for the Home Department v Cox &amp; Ors</x:v>
      </x:c>
      <x:c r="K22" s="15" t="str">
        <x:v>[2023] EWCA Civ 551</x:v>
      </x:c>
      <x:c r="L22" s="15" t="str">
        <x:v>6e8e988c-074c-4ab1-9e37-5c84673b441b</x:v>
      </x:c>
      <x:c r="M22" s="15" t="str"/>
      <x:c r="N22" s="15" t="str">
        <x:v>issuesForDetermination.issueMatrix[0].sourceCases[0]</x:v>
      </x:c>
      <x:c r="O22" s="15" t="str">
        <x:v>structured_json</x:v>
      </x:c>
      <x:c r="P22" s="15" t="str"/>
      <x:c r="Q22" s="15" t="str">
        <x:v>distinguished</x:v>
      </x:c>
      <x:c r="R22" s="15" t="str">
        <x:v>Informed analysis on title law principles which directly addresses boundary clarifications.</x:v>
      </x:c>
      <x:c r="S22" s="15" t="str"/>
    </x:row>
    <x:row r="23">
      <x:c r="A23" s="1" t="str">
        <x:v>O0022</x:v>
      </x:c>
      <x:c r="B23" s="1" t="str">
        <x:v>cmlzrzxca000304l2qk1vevzx</x:v>
      </x:c>
      <x:c r="C23" s="1" t="str">
        <x:v>cmlzrw1vp000204latdth8ikx</x:v>
      </x:c>
      <x:c r="D23" s="1" t="str">
        <x:v>skeleton-args-ca2023002207-ce0aafdf6d7e5716</x:v>
      </x:c>
      <x:c r="E23" s="1" t="str">
        <x:v>synthetic</x:v>
      </x:c>
      <x:c r="F23" s="15" t="str">
        <x:v>Karpasitis v Hertfordshire County Council</x:v>
      </x:c>
      <x:c r="G23" s="16" t="n">
        <x:v>46076.95580008102</x:v>
      </x:c>
      <x:c r="H23" s="15" t="str">
        <x:v>other</x:v>
      </x:c>
      <x:c r="I23" s="15" t="str">
        <x:v>other:2004 1 wlr 1057</x:v>
      </x:c>
      <x:c r="J23" s="15" t="str">
        <x:v>[2004] 1 WLR 1057</x:v>
      </x:c>
      <x:c r="K23" s="15" t="str">
        <x:v>[2004] 1 WLR 1057</x:v>
      </x:c>
      <x:c r="L23" s="15" t="str"/>
      <x:c r="M23" s="15" t="str"/>
      <x:c r="N23" s="15" t="str">
        <x:v>legalFramework.precedentCitations[0]</x:v>
      </x:c>
      <x:c r="O23" s="15" t="str">
        <x:v>structured_json</x:v>
      </x:c>
      <x:c r="P23" s="15" t="str">
        <x:v>binding</x:v>
      </x:c>
      <x:c r="Q23" s="15" t="str"/>
      <x:c r="R23" s="15" t="str">
        <x:v>Duty of care in highway maintenance and inspections evaluated.</x:v>
      </x:c>
      <x:c r="S23" s="15" t="str"/>
    </x:row>
    <x:row r="24">
      <x:c r="A24" s="1" t="str">
        <x:v>O0023</x:v>
      </x:c>
      <x:c r="B24" s="1" t="str">
        <x:v>cmlzrzxca000304l2qk1vevzx</x:v>
      </x:c>
      <x:c r="C24" s="1" t="str">
        <x:v>cmlzrw1vp000204latdth8ikx</x:v>
      </x:c>
      <x:c r="D24" s="1" t="str">
        <x:v>skeleton-args-ca2023002207-ce0aafdf6d7e5716</x:v>
      </x:c>
      <x:c r="E24" s="1" t="str">
        <x:v>synthetic</x:v>
      </x:c>
      <x:c r="F24" s="15" t="str">
        <x:v>Karpasitis v Hertfordshire County Council</x:v>
      </x:c>
      <x:c r="G24" s="16" t="n">
        <x:v>46076.95580008102</x:v>
      </x:c>
      <x:c r="H24" s="15" t="str">
        <x:v>case</x:v>
      </x:c>
      <x:c r="I24" s="15" t="str">
        <x:v>case:2015 uksc 5</x:v>
      </x:c>
      <x:c r="J24" s="15" t="str">
        <x:v>[2015] UKSC 5</x:v>
      </x:c>
      <x:c r="K24" s="15" t="str">
        <x:v>[2015] UKSC 5</x:v>
      </x:c>
      <x:c r="L24" s="15" t="str"/>
      <x:c r="M24" s="15" t="str"/>
      <x:c r="N24" s="15" t="str">
        <x:v>legalFramework.precedentCitations[1]</x:v>
      </x:c>
      <x:c r="O24" s="15" t="str">
        <x:v>structured_json</x:v>
      </x:c>
      <x:c r="P24" s="15" t="str">
        <x:v>binding</x:v>
      </x:c>
      <x:c r="Q24" s="15" t="str"/>
      <x:c r="R24" s="15" t="str">
        <x:v>Contributory negligence principles delineated in examining claimant's actions prior to incidents.</x:v>
      </x:c>
      <x:c r="S24" s="15" t="str"/>
    </x:row>
    <x:row r="25">
      <x:c r="A25" s="1" t="str">
        <x:v>O0024</x:v>
      </x:c>
      <x:c r="B25" s="1" t="str">
        <x:v>cmlzrzxca000304l2qk1vevzx</x:v>
      </x:c>
      <x:c r="C25" s="1" t="str">
        <x:v>cmlzrw1vp000204latdth8ikx</x:v>
      </x:c>
      <x:c r="D25" s="1" t="str">
        <x:v>skeleton-args-ca2023002207-ce0aafdf6d7e5716</x:v>
      </x:c>
      <x:c r="E25" s="1" t="str">
        <x:v>synthetic</x:v>
      </x:c>
      <x:c r="F25" s="15" t="str">
        <x:v>Karpasitis v Hertfordshire County Council</x:v>
      </x:c>
      <x:c r="G25" s="16" t="n">
        <x:v>46076.95580008102</x:v>
      </x:c>
      <x:c r="H25" s="15" t="str">
        <x:v>legislation</x:v>
      </x:c>
      <x:c r="I25" s="15" t="str">
        <x:v>legislation:highways act 1980 58</x:v>
      </x:c>
      <x:c r="J25" s="15" t="str">
        <x:v>Highways Act 1980</x:v>
      </x:c>
      <x:c r="K25" s="15" t="str">
        <x:v>Highways Act 1980 58</x:v>
      </x:c>
      <x:c r="L25" s="15" t="str"/>
      <x:c r="M25" s="15" t="str">
        <x:v>58</x:v>
      </x:c>
      <x:c r="N25" s="15" t="str">
        <x:v>legalFramework.statutoryProvisions[0]</x:v>
      </x:c>
      <x:c r="O25" s="15" t="str">
        <x:v>structured_json</x:v>
      </x:c>
      <x:c r="P25" s="15" t="str"/>
      <x:c r="Q25" s="15" t="str"/>
      <x:c r="R25" s="15" t="str">
        <x:v>Pertains to the statutory defence for highway authorities concerning maintenance responsibilities.</x:v>
      </x:c>
      <x:c r="S25" s="15" t="str"/>
    </x:row>
    <x:row r="26">
      <x:c r="A26" s="1" t="str">
        <x:v>O0025</x:v>
      </x:c>
      <x:c r="B26" s="1" t="str">
        <x:v>cmlzrzxca000304l2qk1vevzx</x:v>
      </x:c>
      <x:c r="C26" s="1" t="str">
        <x:v>cmlzrw1vp000204latdth8ikx</x:v>
      </x:c>
      <x:c r="D26" s="1" t="str">
        <x:v>skeleton-args-ca2023002207-ce0aafdf6d7e5716</x:v>
      </x:c>
      <x:c r="E26" s="1" t="str">
        <x:v>synthetic</x:v>
      </x:c>
      <x:c r="F26" s="15" t="str">
        <x:v>Karpasitis v Hertfordshire County Council</x:v>
      </x:c>
      <x:c r="G26" s="16" t="n">
        <x:v>46076.95580008102</x:v>
      </x:c>
      <x:c r="H26" s="15" t="str">
        <x:v>legislation</x:v>
      </x:c>
      <x:c r="I26" s="15" t="str">
        <x:v>legislation:highways act 1980 41</x:v>
      </x:c>
      <x:c r="J26" s="15" t="str">
        <x:v>Highways Act 1980</x:v>
      </x:c>
      <x:c r="K26" s="15" t="str">
        <x:v>Highways Act 1980 41</x:v>
      </x:c>
      <x:c r="L26" s="15" t="str"/>
      <x:c r="M26" s="15" t="str">
        <x:v>41</x:v>
      </x:c>
      <x:c r="N26" s="15" t="str">
        <x:v>legalFramework.statutoryProvisions[1]</x:v>
      </x:c>
      <x:c r="O26" s="15" t="str">
        <x:v>structured_json</x:v>
      </x:c>
      <x:c r="P26" s="15" t="str"/>
      <x:c r="Q26" s="15" t="str"/>
      <x:c r="R26" s="15" t="str">
        <x:v>Defines the duty imposed on authorities to maintain the highways.</x:v>
      </x:c>
      <x:c r="S26" s="15" t="str"/>
    </x:row>
    <x:row r="27">
      <x:c r="A27" s="1" t="str">
        <x:v>O0026</x:v>
      </x:c>
      <x:c r="B27" s="1" t="str">
        <x:v>cmlzrzxca000304l2qk1vevzx</x:v>
      </x:c>
      <x:c r="C27" s="1" t="str">
        <x:v>cmlzrw1vp000204latdth8ikx</x:v>
      </x:c>
      <x:c r="D27" s="1" t="str">
        <x:v>skeleton-args-ca2023002207-ce0aafdf6d7e5716</x:v>
      </x:c>
      <x:c r="E27" s="1" t="str">
        <x:v>synthetic</x:v>
      </x:c>
      <x:c r="F27" s="15" t="str">
        <x:v>Karpasitis v Hertfordshire County Council</x:v>
      </x:c>
      <x:c r="G27" s="16" t="n">
        <x:v>46076.95580008102</x:v>
      </x:c>
      <x:c r="H27" s="15" t="str">
        <x:v>legislation</x:v>
      </x:c>
      <x:c r="I27" s="15" t="str">
        <x:v>legislation:senior courts act 1981 35a</x:v>
      </x:c>
      <x:c r="J27" s="15" t="str">
        <x:v>Senior Courts Act 1981</x:v>
      </x:c>
      <x:c r="K27" s="15" t="str">
        <x:v>Senior Courts Act 1981 35A</x:v>
      </x:c>
      <x:c r="L27" s="15" t="str"/>
      <x:c r="M27" s="15" t="str">
        <x:v>35A</x:v>
      </x:c>
      <x:c r="N27" s="15" t="str">
        <x:v>legalFramework.statutoryProvisions[2]</x:v>
      </x:c>
      <x:c r="O27" s="15" t="str">
        <x:v>structured_json</x:v>
      </x:c>
      <x:c r="P27" s="15" t="str"/>
      <x:c r="Q27" s="15" t="str"/>
      <x:c r="R27" s="15" t="str">
        <x:v>Concerns the interest on damages applicable in personal injury claims.</x:v>
      </x:c>
      <x:c r="S27" s="15" t="str"/>
    </x:row>
    <x:row r="28">
      <x:c r="A28" s="1" t="str">
        <x:v>O0027</x:v>
      </x:c>
      <x:c r="B28" s="1" t="str">
        <x:v>cmlzrzxca000304l2qk1vevzx</x:v>
      </x:c>
      <x:c r="C28" s="1" t="str">
        <x:v>cmlzrw1vp000204latdth8ikx</x:v>
      </x:c>
      <x:c r="D28" s="1" t="str">
        <x:v>skeleton-args-ca2023002207-ce0aafdf6d7e5716</x:v>
      </x:c>
      <x:c r="E28" s="1" t="str">
        <x:v>synthetic</x:v>
      </x:c>
      <x:c r="F28" s="15" t="str">
        <x:v>Karpasitis v Hertfordshire County Council</x:v>
      </x:c>
      <x:c r="G28" s="16" t="n">
        <x:v>46076.95580008102</x:v>
      </x:c>
      <x:c r="H28" s="15" t="str">
        <x:v>legislation</x:v>
      </x:c>
      <x:c r="I28" s="15" t="str">
        <x:v>legislation:senior courts act 1981 s 35a</x:v>
      </x:c>
      <x:c r="J28" s="15" t="str">
        <x:v>Senior Courts Act 1981, s.35A</x:v>
      </x:c>
      <x:c r="K28" s="15" t="str">
        <x:v>Senior Courts Act 1981, s.35A</x:v>
      </x:c>
      <x:c r="L28" s="15" t="str"/>
      <x:c r="M28" s="15" t="str"/>
      <x:c r="N28" s="15" t="str">
        <x:v>decisionAndDisposition.interest.statutoryBasis</x:v>
      </x:c>
      <x:c r="O28" s="15" t="str">
        <x:v>structured_json</x:v>
      </x:c>
      <x:c r="P28" s="15" t="str"/>
      <x:c r="Q28" s="15" t="str"/>
      <x:c r="R28" s="15" t="str"/>
      <x:c r="S28" s="15" t="str"/>
    </x:row>
    <x:row r="29">
      <x:c r="A29" s="1" t="str">
        <x:v>O0028</x:v>
      </x:c>
      <x:c r="B29" s="1" t="str">
        <x:v>cmlzrzxca000304l2qk1vevzx</x:v>
      </x:c>
      <x:c r="C29" s="1" t="str">
        <x:v>cmlzrw1vp000204latdth8ikx</x:v>
      </x:c>
      <x:c r="D29" s="1" t="str">
        <x:v>skeleton-args-ca2023002207-ce0aafdf6d7e5716</x:v>
      </x:c>
      <x:c r="E29" s="1" t="str">
        <x:v>synthetic</x:v>
      </x:c>
      <x:c r="F29" s="15" t="str">
        <x:v>Karpasitis v Hertfordshire County Council</x:v>
      </x:c>
      <x:c r="G29" s="16" t="n">
        <x:v>46076.95580008102</x:v>
      </x:c>
      <x:c r="H29" s="15" t="str">
        <x:v>case</x:v>
      </x:c>
      <x:c r="I29" s="15" t="str">
        <x:v>case:brown &amp; ors v south west lakes trust &amp; ors</x:v>
      </x:c>
      <x:c r="J29" s="15" t="str">
        <x:v>Brown &amp; Ors v South West Lakes Trust &amp; Ors</x:v>
      </x:c>
      <x:c r="K29" s="15" t="str">
        <x:v>N/A</x:v>
      </x:c>
      <x:c r="L29" s="15" t="str">
        <x:v>70d43223-0ec6-458b-b052-bdc295e0d6ec</x:v>
      </x:c>
      <x:c r="M29" s="15" t="str"/>
      <x:c r="N29" s="15" t="str">
        <x:v>legalFramework.precedentCitations[0].sourceCases[0]</x:v>
      </x:c>
      <x:c r="O29" s="15" t="str">
        <x:v>structured_json</x:v>
      </x:c>
      <x:c r="P29" s="15" t="str"/>
      <x:c r="Q29" s="15" t="str">
        <x:v>same_proposition</x:v>
      </x:c>
      <x:c r="R29" s="15" t="str">
        <x:v>Cited in consideration of public body responsibilities and standard of care in highways cases.</x:v>
      </x:c>
      <x:c r="S29" s="15" t="str"/>
    </x:row>
    <x:row r="30">
      <x:c r="A30" s="1" t="str">
        <x:v>O0029</x:v>
      </x:c>
      <x:c r="B30" s="1" t="str">
        <x:v>cmlzrzxca000304l2qk1vevzx</x:v>
      </x:c>
      <x:c r="C30" s="1" t="str">
        <x:v>cmlzrw1vp000204latdth8ikx</x:v>
      </x:c>
      <x:c r="D30" s="1" t="str">
        <x:v>skeleton-args-ca2023002207-ce0aafdf6d7e5716</x:v>
      </x:c>
      <x:c r="E30" s="1" t="str">
        <x:v>synthetic</x:v>
      </x:c>
      <x:c r="F30" s="15" t="str">
        <x:v>Karpasitis v Hertfordshire County Council</x:v>
      </x:c>
      <x:c r="G30" s="16" t="n">
        <x:v>46076.95580008102</x:v>
      </x:c>
      <x:c r="H30" s="15" t="str">
        <x:v>case</x:v>
      </x:c>
      <x:c r="I30" s="15" t="str">
        <x:v>case:humphrey v aegis defence services ltd &amp; anor</x:v>
      </x:c>
      <x:c r="J30" s="15" t="str">
        <x:v>Humphrey v Aegis Defence Services Ltd &amp; Anor</x:v>
      </x:c>
      <x:c r="K30" s="15" t="str">
        <x:v>N/A</x:v>
      </x:c>
      <x:c r="L30" s="15" t="str">
        <x:v>3b14442e-37b0-455c-a24f-a53a55c9f700</x:v>
      </x:c>
      <x:c r="M30" s="15" t="str"/>
      <x:c r="N30" s="15" t="str">
        <x:v>legalFramework.precedentCitations[1].sourceCases[0]</x:v>
      </x:c>
      <x:c r="O30" s="15" t="str">
        <x:v>structured_json</x:v>
      </x:c>
      <x:c r="P30" s="15" t="str"/>
      <x:c r="Q30" s="15" t="str">
        <x:v>same_proposition</x:v>
      </x:c>
      <x:c r="R30" s="15" t="str">
        <x:v>Used to contextualize the Appellant’s potential contributory negligence.</x:v>
      </x:c>
      <x:c r="S30" s="15" t="str"/>
    </x:row>
    <x:row r="31">
      <x:c r="A31" s="1" t="str">
        <x:v>O0030</x:v>
      </x:c>
      <x:c r="B31" s="1" t="str">
        <x:v>cmlzrzxca000304l2qk1vevzx</x:v>
      </x:c>
      <x:c r="C31" s="1" t="str">
        <x:v>cmlzrw1vp000204latdth8ikx</x:v>
      </x:c>
      <x:c r="D31" s="1" t="str">
        <x:v>skeleton-args-ca2023002207-ce0aafdf6d7e5716</x:v>
      </x:c>
      <x:c r="E31" s="1" t="str">
        <x:v>synthetic</x:v>
      </x:c>
      <x:c r="F31" s="15" t="str">
        <x:v>Karpasitis v Hertfordshire County Council</x:v>
      </x:c>
      <x:c r="G31" s="16" t="n">
        <x:v>46076.95580008102</x:v>
      </x:c>
      <x:c r="H31" s="15" t="str">
        <x:v>case</x:v>
      </x:c>
      <x:c r="I31" s="15" t="str">
        <x:v>case:humphrey v aegis defence services ltd &amp; anor</x:v>
      </x:c>
      <x:c r="J31" s="15" t="str">
        <x:v>Humphrey v Aegis Defence Services Ltd &amp; Anor</x:v>
      </x:c>
      <x:c r="K31" s="15" t="str">
        <x:v>N/A</x:v>
      </x:c>
      <x:c r="L31" s="15" t="str">
        <x:v>3b14442e-37b0-455c-a24f-a53a55c9f700</x:v>
      </x:c>
      <x:c r="M31" s="15" t="str"/>
      <x:c r="N31" s="15" t="str">
        <x:v>legalFramework.statutoryProvisions[0].sourceCases[0]</x:v>
      </x:c>
      <x:c r="O31" s="15" t="str">
        <x:v>structured_json</x:v>
      </x:c>
      <x:c r="P31" s="15" t="str"/>
      <x:c r="Q31" s="15" t="str">
        <x:v>same_proposition</x:v>
      </x:c>
      <x:c r="R31" s="15" t="str">
        <x:v>This case also interprets section 58 in relation to maintenance duties.</x:v>
      </x:c>
      <x:c r="S31" s="15" t="str"/>
    </x:row>
    <x:row r="32">
      <x:c r="A32" s="1" t="str">
        <x:v>O0031</x:v>
      </x:c>
      <x:c r="B32" s="1" t="str">
        <x:v>cmlzrzxca000304l2qk1vevzx</x:v>
      </x:c>
      <x:c r="C32" s="1" t="str">
        <x:v>cmlzrw1vp000204latdth8ikx</x:v>
      </x:c>
      <x:c r="D32" s="1" t="str">
        <x:v>skeleton-args-ca2023002207-ce0aafdf6d7e5716</x:v>
      </x:c>
      <x:c r="E32" s="1" t="str">
        <x:v>synthetic</x:v>
      </x:c>
      <x:c r="F32" s="15" t="str">
        <x:v>Karpasitis v Hertfordshire County Council</x:v>
      </x:c>
      <x:c r="G32" s="16" t="n">
        <x:v>46076.95580008102</x:v>
      </x:c>
      <x:c r="H32" s="15" t="str">
        <x:v>case</x:v>
      </x:c>
      <x:c r="I32" s="15" t="str">
        <x:v>case:tindall &amp; anor v chief constable of thames valley police &amp; anor</x:v>
      </x:c>
      <x:c r="J32" s="15" t="str">
        <x:v>Tindall &amp; Anor v Chief Constable of Thames Valley Police &amp; Anor</x:v>
      </x:c>
      <x:c r="K32" s="15" t="str">
        <x:v>N/A</x:v>
      </x:c>
      <x:c r="L32" s="15" t="str">
        <x:v>4685ad0e-87e7-4f59-8991-823ab27d9393</x:v>
      </x:c>
      <x:c r="M32" s="15" t="str"/>
      <x:c r="N32" s="15" t="str">
        <x:v>factualFindings.chronology[1].sourceCases[0]</x:v>
      </x:c>
      <x:c r="O32" s="15" t="str">
        <x:v>structured_json</x:v>
      </x:c>
      <x:c r="P32" s="15" t="str"/>
      <x:c r="Q32" s="15" t="str">
        <x:v>applied_differently</x:v>
      </x:c>
      <x:c r="R32" s="15" t="str">
        <x:v>Addresses liabilities of public authorities in relation to inspection duties.</x:v>
      </x:c>
      <x:c r="S32" s="15" t="str"/>
    </x:row>
    <x:row r="33">
      <x:c r="A33" s="1" t="str">
        <x:v>O0032</x:v>
      </x:c>
      <x:c r="B33" s="1" t="str">
        <x:v>cmlzrzxca000304l2qk1vevzx</x:v>
      </x:c>
      <x:c r="C33" s="1" t="str">
        <x:v>cmlzrw1vp000204latdth8ikx</x:v>
      </x:c>
      <x:c r="D33" s="1" t="str">
        <x:v>skeleton-args-ca2023002207-ce0aafdf6d7e5716</x:v>
      </x:c>
      <x:c r="E33" s="1" t="str">
        <x:v>synthetic</x:v>
      </x:c>
      <x:c r="F33" s="15" t="str">
        <x:v>Karpasitis v Hertfordshire County Council</x:v>
      </x:c>
      <x:c r="G33" s="16" t="n">
        <x:v>46076.95580008102</x:v>
      </x:c>
      <x:c r="H33" s="15" t="str">
        <x:v>case</x:v>
      </x:c>
      <x:c r="I33" s="15" t="str">
        <x:v>case:brown &amp; ors v south west lakes trust &amp; ors</x:v>
      </x:c>
      <x:c r="J33" s="15" t="str">
        <x:v>Brown &amp; Ors v South West Lakes Trust &amp; Ors</x:v>
      </x:c>
      <x:c r="K33" s="15" t="str">
        <x:v>N/A</x:v>
      </x:c>
      <x:c r="L33" s="15" t="str">
        <x:v>70d43223-0ec6-458b-b052-bdc295e0d6ec</x:v>
      </x:c>
      <x:c r="M33" s="15" t="str"/>
      <x:c r="N33" s="15" t="str">
        <x:v>factualFindings.contestedFacts[0].sourceCases[0]</x:v>
      </x:c>
      <x:c r="O33" s="15" t="str">
        <x:v>structured_json</x:v>
      </x:c>
      <x:c r="P33" s="15" t="str"/>
      <x:c r="Q33" s="15" t="str">
        <x:v>same_proposition</x:v>
      </x:c>
      <x:c r="R33" s="15" t="str">
        <x:v>This case discusses public authority liability and the adequacy of inspections relating to safety in highway law.</x:v>
      </x:c>
      <x:c r="S33" s="15" t="str"/>
    </x:row>
    <x:row r="34">
      <x:c r="A34" s="1" t="str">
        <x:v>O0033</x:v>
      </x:c>
      <x:c r="B34" s="1" t="str">
        <x:v>cmlzrzxca000304l2qk1vevzx</x:v>
      </x:c>
      <x:c r="C34" s="1" t="str">
        <x:v>cmlzrw1vp000204latdth8ikx</x:v>
      </x:c>
      <x:c r="D34" s="1" t="str">
        <x:v>skeleton-args-ca2023002207-ce0aafdf6d7e5716</x:v>
      </x:c>
      <x:c r="E34" s="1" t="str">
        <x:v>synthetic</x:v>
      </x:c>
      <x:c r="F34" s="15" t="str">
        <x:v>Karpasitis v Hertfordshire County Council</x:v>
      </x:c>
      <x:c r="G34" s="16" t="n">
        <x:v>46076.95580008102</x:v>
      </x:c>
      <x:c r="H34" s="15" t="str">
        <x:v>case</x:v>
      </x:c>
      <x:c r="I34" s="15" t="str">
        <x:v>case:humphrey v aegis defence services ltd &amp; anor</x:v>
      </x:c>
      <x:c r="J34" s="15" t="str">
        <x:v>Humphrey v Aegis Defence Services Ltd &amp; Anor</x:v>
      </x:c>
      <x:c r="K34" s="15" t="str">
        <x:v>N/A</x:v>
      </x:c>
      <x:c r="L34" s="15" t="str">
        <x:v>3b14442e-37b0-455c-a24f-a53a55c9f700</x:v>
      </x:c>
      <x:c r="M34" s="15" t="str"/>
      <x:c r="N34" s="15" t="str">
        <x:v>factualFindings.contestedFacts[1].sourceCases[0]</x:v>
      </x:c>
      <x:c r="O34" s="15" t="str">
        <x:v>structured_json</x:v>
      </x:c>
      <x:c r="P34" s="15" t="str"/>
      <x:c r="Q34" s="15" t="str">
        <x:v>same_proposition</x:v>
      </x:c>
      <x:c r="R34" s="15" t="str">
        <x:v>Similar issues dealing with the duty of care and the credibility of inspection reports.</x:v>
      </x:c>
      <x:c r="S34" s="15" t="str"/>
    </x:row>
    <x:row r="35">
      <x:c r="A35" s="1" t="str">
        <x:v>O0034</x:v>
      </x:c>
      <x:c r="B35" s="1" t="str">
        <x:v>cmlzrzxca000304l2qk1vevzx</x:v>
      </x:c>
      <x:c r="C35" s="1" t="str">
        <x:v>cmlzrw1vp000204latdth8ikx</x:v>
      </x:c>
      <x:c r="D35" s="1" t="str">
        <x:v>skeleton-args-ca2023002207-ce0aafdf6d7e5716</x:v>
      </x:c>
      <x:c r="E35" s="1" t="str">
        <x:v>synthetic</x:v>
      </x:c>
      <x:c r="F35" s="15" t="str">
        <x:v>Karpasitis v Hertfordshire County Council</x:v>
      </x:c>
      <x:c r="G35" s="16" t="n">
        <x:v>46076.95580008102</x:v>
      </x:c>
      <x:c r="H35" s="15" t="str">
        <x:v>case</x:v>
      </x:c>
      <x:c r="I35" s="15" t="str">
        <x:v>case:brown &amp; ors v south west lakes trust &amp; ors</x:v>
      </x:c>
      <x:c r="J35" s="15" t="str">
        <x:v>Brown &amp; Ors v South West Lakes Trust &amp; Ors</x:v>
      </x:c>
      <x:c r="K35" s="15" t="str">
        <x:v>N/A</x:v>
      </x:c>
      <x:c r="L35" s="15" t="str">
        <x:v>70d43223-0ec6-458b-b052-bdc295e0d6ec</x:v>
      </x:c>
      <x:c r="M35" s="15" t="str"/>
      <x:c r="N35" s="15" t="str">
        <x:v>reasoningStructure[0].sourceCases[0]</x:v>
      </x:c>
      <x:c r="O35" s="15" t="str">
        <x:v>structured_json</x:v>
      </x:c>
      <x:c r="P35" s="15" t="str"/>
      <x:c r="Q35" s="15" t="str">
        <x:v>same_proposition</x:v>
      </x:c>
      <x:c r="R35" s="15" t="str">
        <x:v>Directly relates to highway authorities' accountability and their inspection protocols, highlighting failures in compliance.</x:v>
      </x:c>
      <x:c r="S35" s="15" t="str"/>
    </x:row>
    <x:row r="36">
      <x:c r="A36" s="1" t="str">
        <x:v>O0035</x:v>
      </x:c>
      <x:c r="B36" s="1" t="str">
        <x:v>cmlzrzxca000304l2qk1vevzx</x:v>
      </x:c>
      <x:c r="C36" s="1" t="str">
        <x:v>cmlzrw1vp000204latdth8ikx</x:v>
      </x:c>
      <x:c r="D36" s="1" t="str">
        <x:v>skeleton-args-ca2023002207-ce0aafdf6d7e5716</x:v>
      </x:c>
      <x:c r="E36" s="1" t="str">
        <x:v>synthetic</x:v>
      </x:c>
      <x:c r="F36" s="15" t="str">
        <x:v>Karpasitis v Hertfordshire County Council</x:v>
      </x:c>
      <x:c r="G36" s="16" t="n">
        <x:v>46076.95580008102</x:v>
      </x:c>
      <x:c r="H36" s="15" t="str">
        <x:v>case</x:v>
      </x:c>
      <x:c r="I36" s="15" t="str">
        <x:v>case:humphrey v aegis defence services ltd &amp; anor</x:v>
      </x:c>
      <x:c r="J36" s="15" t="str">
        <x:v>Humphrey v Aegis Defence Services Ltd &amp; Anor</x:v>
      </x:c>
      <x:c r="K36" s="15" t="str">
        <x:v>N/A</x:v>
      </x:c>
      <x:c r="L36" s="15" t="str">
        <x:v>3b14442e-37b0-455c-a24f-a53a55c9f700</x:v>
      </x:c>
      <x:c r="M36" s="15" t="str"/>
      <x:c r="N36" s="15" t="str">
        <x:v>reasoningStructure[1].sourceCases[0]</x:v>
      </x:c>
      <x:c r="O36" s="15" t="str">
        <x:v>structured_json</x:v>
      </x:c>
      <x:c r="P36" s="15" t="str"/>
      <x:c r="Q36" s="15" t="str">
        <x:v>applied_differently</x:v>
      </x:c>
      <x:c r="R36" s="15" t="str">
        <x:v>Guidance on assessing claimant's responsibility within personal injury claims, aligning with the issues at play regarding the Appellant's conduct.</x:v>
      </x:c>
      <x:c r="S36" s="15" t="str"/>
    </x:row>
    <x:row r="37">
      <x:c r="A37" s="1" t="str">
        <x:v>O0036</x:v>
      </x:c>
      <x:c r="B37" s="1" t="str">
        <x:v>cmlzrzxca000304l2qk1vevzx</x:v>
      </x:c>
      <x:c r="C37" s="1" t="str">
        <x:v>cmlzrw1vp000204latdth8ikx</x:v>
      </x:c>
      <x:c r="D37" s="1" t="str">
        <x:v>skeleton-args-ca2023002207-ce0aafdf6d7e5716</x:v>
      </x:c>
      <x:c r="E37" s="1" t="str">
        <x:v>synthetic</x:v>
      </x:c>
      <x:c r="F37" s="15" t="str">
        <x:v>Karpasitis v Hertfordshire County Council</x:v>
      </x:c>
      <x:c r="G37" s="16" t="n">
        <x:v>46076.95580008102</x:v>
      </x:c>
      <x:c r="H37" s="15" t="str">
        <x:v>case</x:v>
      </x:c>
      <x:c r="I37" s="15" t="str">
        <x:v>case:brown &amp; ors v south west lakes trust &amp; ors</x:v>
      </x:c>
      <x:c r="J37" s="15" t="str">
        <x:v>Brown &amp; Ors v South West Lakes Trust &amp; Ors</x:v>
      </x:c>
      <x:c r="K37" s="15" t="str">
        <x:v>N/A</x:v>
      </x:c>
      <x:c r="L37" s="15" t="str">
        <x:v>70d43223-0ec6-458b-b052-bdc295e0d6ec</x:v>
      </x:c>
      <x:c r="M37" s="15" t="str"/>
      <x:c r="N37" s="15" t="str">
        <x:v>issuesForDetermination.issueMatrix[0].sourceCases[0]</x:v>
      </x:c>
      <x:c r="O37" s="15" t="str">
        <x:v>structured_json</x:v>
      </x:c>
      <x:c r="P37" s="15" t="str"/>
      <x:c r="Q37" s="15" t="str">
        <x:v>same_proposition</x:v>
      </x:c>
      <x:c r="R37" s="15" t="str">
        <x:v>This case serves as precedent for assessing public authority’s failings in inspection duties.</x:v>
      </x:c>
      <x:c r="S37" s="15" t="str"/>
    </x:row>
    <x:row r="38">
      <x:c r="A38" s="1" t="str">
        <x:v>O0037</x:v>
      </x:c>
      <x:c r="B38" s="1" t="str">
        <x:v>cmlzrzxca000304l2qk1vevzx</x:v>
      </x:c>
      <x:c r="C38" s="1" t="str">
        <x:v>cmlzrw1vp000204latdth8ikx</x:v>
      </x:c>
      <x:c r="D38" s="1" t="str">
        <x:v>skeleton-args-ca2023002207-ce0aafdf6d7e5716</x:v>
      </x:c>
      <x:c r="E38" s="1" t="str">
        <x:v>synthetic</x:v>
      </x:c>
      <x:c r="F38" s="15" t="str">
        <x:v>Karpasitis v Hertfordshire County Council</x:v>
      </x:c>
      <x:c r="G38" s="16" t="n">
        <x:v>46076.95580008102</x:v>
      </x:c>
      <x:c r="H38" s="15" t="str">
        <x:v>case</x:v>
      </x:c>
      <x:c r="I38" s="15" t="str">
        <x:v>case:humphrey v aegis defence services ltd &amp; anor</x:v>
      </x:c>
      <x:c r="J38" s="15" t="str">
        <x:v>Humphrey v Aegis Defence Services Ltd &amp; Anor</x:v>
      </x:c>
      <x:c r="K38" s="15" t="str">
        <x:v>N/A</x:v>
      </x:c>
      <x:c r="L38" s="15" t="str">
        <x:v>3b14442e-37b0-455c-a24f-a53a55c9f700</x:v>
      </x:c>
      <x:c r="M38" s="15" t="str"/>
      <x:c r="N38" s="15" t="str">
        <x:v>issuesForDetermination.issueMatrix[1].sourceCases[0]</x:v>
      </x:c>
      <x:c r="O38" s="15" t="str">
        <x:v>structured_json</x:v>
      </x:c>
      <x:c r="P38" s="15" t="str"/>
      <x:c r="Q38" s="15" t="str">
        <x:v>applied_differently</x:v>
      </x:c>
      <x:c r="R38" s="15" t="str">
        <x:v>Provides insight on principles of contributory negligence that may apply here.</x:v>
      </x:c>
      <x:c r="S38" s="15" t="str"/>
    </x:row>
    <x:row r="39">
      <x:c r="A39" s="1" t="str">
        <x:v>O0038</x:v>
      </x:c>
      <x:c r="B39" s="1" t="str">
        <x:v>cmlzy9ss300fz04i80p2yfbg1</x:v>
      </x:c>
      <x:c r="C39" s="1" t="str">
        <x:v>cmlzy4fu700fk04i8kn66k5jp</x:v>
      </x:c>
      <x:c r="D39" s="1" t="str">
        <x:v>skeleton-args-ca2024001234-346b2d683b5c2099</x:v>
      </x:c>
      <x:c r="E39" s="1" t="str">
        <x:v>synthetic</x:v>
      </x:c>
      <x:c r="F39" s="15" t="str">
        <x:v>Transport Action Network Limited v Secretary of State for Transport</x:v>
      </x:c>
      <x:c r="G39" s="16" t="n">
        <x:v>46077.07777166666</x:v>
      </x:c>
      <x:c r="H39" s="15" t="str">
        <x:v>case</x:v>
      </x:c>
      <x:c r="I39" s="15" t="str">
        <x:v>case:2002 ewca civ 605</x:v>
      </x:c>
      <x:c r="J39" s="15" t="str">
        <x:v>English v Emery Reimbold &amp; Strick Ltd [2002] EWCA Civ 605</x:v>
      </x:c>
      <x:c r="K39" s="15" t="str">
        <x:v>English v Emery Reimbold &amp; Strick Ltd [2002] EWCA Civ 605</x:v>
      </x:c>
      <x:c r="L39" s="15" t="str"/>
      <x:c r="M39" s="15" t="str"/>
      <x:c r="N39" s="15" t="str">
        <x:v>legalFramework.precedentCitations[0]</x:v>
      </x:c>
      <x:c r="O39" s="15" t="str">
        <x:v>structured_json</x:v>
      </x:c>
      <x:c r="P39" s="15" t="str">
        <x:v>binding</x:v>
      </x:c>
      <x:c r="Q39" s="15" t="str"/>
      <x:c r="R39" s="15" t="str">
        <x:v>Adequate reasoning is necessary in judicial decisions.</x:v>
      </x:c>
      <x:c r="S39" s="15" t="str"/>
    </x:row>
    <x:row r="40">
      <x:c r="A40" s="1" t="str">
        <x:v>O0039</x:v>
      </x:c>
      <x:c r="B40" s="1" t="str">
        <x:v>cmlzy9ss300fz04i80p2yfbg1</x:v>
      </x:c>
      <x:c r="C40" s="1" t="str">
        <x:v>cmlzy4fu700fk04i8kn66k5jp</x:v>
      </x:c>
      <x:c r="D40" s="1" t="str">
        <x:v>skeleton-args-ca2024001234-346b2d683b5c2099</x:v>
      </x:c>
      <x:c r="E40" s="1" t="str">
        <x:v>synthetic</x:v>
      </x:c>
      <x:c r="F40" s="15" t="str">
        <x:v>Transport Action Network Limited v Secretary of State for Transport</x:v>
      </x:c>
      <x:c r="G40" s="16" t="n">
        <x:v>46077.07777166666</x:v>
      </x:c>
      <x:c r="H40" s="15" t="str">
        <x:v>case</x:v>
      </x:c>
      <x:c r="I40" s="15" t="str">
        <x:v>case:2000 1 wlr 377</x:v>
      </x:c>
      <x:c r="J40" s="15" t="str">
        <x:v>Flannery v Halifax Estate Agencies Ltd [2000] 1 WLR 377</x:v>
      </x:c>
      <x:c r="K40" s="15" t="str">
        <x:v>Flannery v Halifax Estate Agencies Ltd [2000] 1 WLR 377</x:v>
      </x:c>
      <x:c r="L40" s="15" t="str"/>
      <x:c r="M40" s="15" t="str"/>
      <x:c r="N40" s="15" t="str">
        <x:v>legalFramework.precedentCitations[1]</x:v>
      </x:c>
      <x:c r="O40" s="15" t="str">
        <x:v>structured_json</x:v>
      </x:c>
      <x:c r="P40" s="15" t="str">
        <x:v>binding</x:v>
      </x:c>
      <x:c r="Q40" s="15" t="str"/>
      <x:c r="R40" s="15" t="str">
        <x:v>Establishes a duty to provide justification for decisions involving public funds.</x:v>
      </x:c>
      <x:c r="S40" s="15" t="str"/>
    </x:row>
    <x:row r="41">
      <x:c r="A41" s="1" t="str">
        <x:v>O0040</x:v>
      </x:c>
      <x:c r="B41" s="1" t="str">
        <x:v>cmlzy9ss300fz04i80p2yfbg1</x:v>
      </x:c>
      <x:c r="C41" s="1" t="str">
        <x:v>cmlzy4fu700fk04i8kn66k5jp</x:v>
      </x:c>
      <x:c r="D41" s="1" t="str">
        <x:v>skeleton-args-ca2024001234-346b2d683b5c2099</x:v>
      </x:c>
      <x:c r="E41" s="1" t="str">
        <x:v>synthetic</x:v>
      </x:c>
      <x:c r="F41" s="15" t="str">
        <x:v>Transport Action Network Limited v Secretary of State for Transport</x:v>
      </x:c>
      <x:c r="G41" s="16" t="n">
        <x:v>46077.07777166666</x:v>
      </x:c>
      <x:c r="H41" s="15" t="str">
        <x:v>legislation</x:v>
      </x:c>
      <x:c r="I41" s="15" t="str">
        <x:v>legislation:cpr practice direction 52d</x:v>
      </x:c>
      <x:c r="J41" s="15" t="str">
        <x:v>CPR Practice Direction 52D</x:v>
      </x:c>
      <x:c r="K41" s="15" t="str">
        <x:v>CPR Practice Direction 52D</x:v>
      </x:c>
      <x:c r="L41" s="15" t="str"/>
      <x:c r="M41" s="15" t="str"/>
      <x:c r="N41" s="15" t="str">
        <x:v>legalFramework.precedentCitations[2]</x:v>
      </x:c>
      <x:c r="O41" s="15" t="str">
        <x:v>structured_json</x:v>
      </x:c>
      <x:c r="P41" s="15" t="str">
        <x:v>binding</x:v>
      </x:c>
      <x:c r="Q41" s="15" t="str"/>
      <x:c r="R41" s="15" t="str">
        <x:v>Directions concerning the citation and authorities in court proceedings.</x:v>
      </x:c>
      <x:c r="S41" s="15" t="str"/>
    </x:row>
    <x:row r="42">
      <x:c r="A42" s="1" t="str">
        <x:v>O0041</x:v>
      </x:c>
      <x:c r="B42" s="1" t="str">
        <x:v>cmlzy9ss300fz04i80p2yfbg1</x:v>
      </x:c>
      <x:c r="C42" s="1" t="str">
        <x:v>cmlzy4fu700fk04i8kn66k5jp</x:v>
      </x:c>
      <x:c r="D42" s="1" t="str">
        <x:v>skeleton-args-ca2024001234-346b2d683b5c2099</x:v>
      </x:c>
      <x:c r="E42" s="1" t="str">
        <x:v>synthetic</x:v>
      </x:c>
      <x:c r="F42" s="15" t="str">
        <x:v>Transport Action Network Limited v Secretary of State for Transport</x:v>
      </x:c>
      <x:c r="G42" s="16" t="n">
        <x:v>46077.07777166666</x:v>
      </x:c>
      <x:c r="H42" s="15" t="str">
        <x:v>legislation</x:v>
      </x:c>
      <x:c r="I42" s="15" t="str">
        <x:v>legislation:infrastructure act 2015 21</x:v>
      </x:c>
      <x:c r="J42" s="15" t="str">
        <x:v>Infrastructure Act 2015</x:v>
      </x:c>
      <x:c r="K42" s="15" t="str">
        <x:v>Infrastructure Act 2015 21</x:v>
      </x:c>
      <x:c r="L42" s="15" t="str"/>
      <x:c r="M42" s="15" t="str">
        <x:v>21</x:v>
      </x:c>
      <x:c r="N42" s="15" t="str">
        <x:v>legalFramework.statutoryProvisions[0]</x:v>
      </x:c>
      <x:c r="O42" s="15" t="str">
        <x:v>structured_json</x:v>
      </x:c>
      <x:c r="P42" s="15" t="str"/>
      <x:c r="Q42" s="15" t="str"/>
      <x:c r="R42" s="15" t="str">
        <x:v>Governs the allocation of funds for cycling and walking initiatives.</x:v>
      </x:c>
      <x:c r="S42" s="15" t="str">
        <x:v>N/A</x:v>
      </x:c>
    </x:row>
    <x:row r="43">
      <x:c r="A43" s="1" t="str">
        <x:v>O0042</x:v>
      </x:c>
      <x:c r="B43" s="1" t="str">
        <x:v>cmlzy9ss300fz04i80p2yfbg1</x:v>
      </x:c>
      <x:c r="C43" s="1" t="str">
        <x:v>cmlzy4fu700fk04i8kn66k5jp</x:v>
      </x:c>
      <x:c r="D43" s="1" t="str">
        <x:v>skeleton-args-ca2024001234-346b2d683b5c2099</x:v>
      </x:c>
      <x:c r="E43" s="1" t="str">
        <x:v>synthetic</x:v>
      </x:c>
      <x:c r="F43" s="15" t="str">
        <x:v>Transport Action Network Limited v Secretary of State for Transport</x:v>
      </x:c>
      <x:c r="G43" s="16" t="n">
        <x:v>46077.07777166666</x:v>
      </x:c>
      <x:c r="H43" s="15" t="str">
        <x:v>legislation</x:v>
      </x:c>
      <x:c r="I43" s="15" t="str">
        <x:v>legislation:senior courts act 1981 s 35a</x:v>
      </x:c>
      <x:c r="J43" s="15" t="str">
        <x:v>Senior Courts Act 1981</x:v>
      </x:c>
      <x:c r="K43" s="15" t="str">
        <x:v>Senior Courts Act 1981 s.35A</x:v>
      </x:c>
      <x:c r="L43" s="15" t="str"/>
      <x:c r="M43" s="15" t="str">
        <x:v>s.35A</x:v>
      </x:c>
      <x:c r="N43" s="15" t="str">
        <x:v>legalFramework.statutoryProvisions[1]</x:v>
      </x:c>
      <x:c r="O43" s="15" t="str">
        <x:v>structured_json</x:v>
      </x:c>
      <x:c r="P43" s="15" t="str"/>
      <x:c r="Q43" s="15" t="str"/>
      <x:c r="R43" s="15" t="str">
        <x:v>Applies to interest on debts and damages.</x:v>
      </x:c>
      <x:c r="S43" s="15" t="str">
        <x:v>N/A</x:v>
      </x:c>
    </x:row>
    <x:row r="44">
      <x:c r="A44" s="1" t="str">
        <x:v>O0043</x:v>
      </x:c>
      <x:c r="B44" s="1" t="str">
        <x:v>cmlzy9ss300fz04i80p2yfbg1</x:v>
      </x:c>
      <x:c r="C44" s="1" t="str">
        <x:v>cmlzy4fu700fk04i8kn66k5jp</x:v>
      </x:c>
      <x:c r="D44" s="1" t="str">
        <x:v>skeleton-args-ca2024001234-346b2d683b5c2099</x:v>
      </x:c>
      <x:c r="E44" s="1" t="str">
        <x:v>synthetic</x:v>
      </x:c>
      <x:c r="F44" s="15" t="str">
        <x:v>Transport Action Network Limited v Secretary of State for Transport</x:v>
      </x:c>
      <x:c r="G44" s="16" t="n">
        <x:v>46077.07777166666</x:v>
      </x:c>
      <x:c r="H44" s="15" t="str">
        <x:v>legislation</x:v>
      </x:c>
      <x:c r="I44" s="15" t="str">
        <x:v>legislation:administrative justice and tribunals council act 2007 n a</x:v>
      </x:c>
      <x:c r="J44" s="15" t="str">
        <x:v>Administrative Justice and Tribunals Council Act 2007</x:v>
      </x:c>
      <x:c r="K44" s="15" t="str">
        <x:v>Administrative Justice and Tribunals Council Act 2007 N/A</x:v>
      </x:c>
      <x:c r="L44" s="15" t="str"/>
      <x:c r="M44" s="15" t="str">
        <x:v>N/A</x:v>
      </x:c>
      <x:c r="N44" s="15" t="str">
        <x:v>legalFramework.statutoryProvisions[2]</x:v>
      </x:c>
      <x:c r="O44" s="15" t="str">
        <x:v>structured_json</x:v>
      </x:c>
      <x:c r="P44" s="15" t="str"/>
      <x:c r="Q44" s="15" t="str"/>
      <x:c r="R44" s="15" t="str">
        <x:v>Provides a framework for reviewing administrative decisions.</x:v>
      </x:c>
      <x:c r="S44" s="15" t="str">
        <x:v>N/A</x:v>
      </x:c>
    </x:row>
    <x:row r="45">
      <x:c r="A45" s="1" t="str">
        <x:v>O0044</x:v>
      </x:c>
      <x:c r="B45" s="1" t="str">
        <x:v>cmlzy9ss300fz04i80p2yfbg1</x:v>
      </x:c>
      <x:c r="C45" s="1" t="str">
        <x:v>cmlzy4fu700fk04i8kn66k5jp</x:v>
      </x:c>
      <x:c r="D45" s="1" t="str">
        <x:v>skeleton-args-ca2024001234-346b2d683b5c2099</x:v>
      </x:c>
      <x:c r="E45" s="1" t="str">
        <x:v>synthetic</x:v>
      </x:c>
      <x:c r="F45" s="15" t="str">
        <x:v>Transport Action Network Limited v Secretary of State for Transport</x:v>
      </x:c>
      <x:c r="G45" s="16" t="n">
        <x:v>46077.07777166666</x:v>
      </x:c>
      <x:c r="H45" s="15" t="str">
        <x:v>legislation</x:v>
      </x:c>
      <x:c r="I45" s="15" t="str">
        <x:v>legislation:senior courts act 1981 s 35a</x:v>
      </x:c>
      <x:c r="J45" s="15" t="str">
        <x:v>Senior Courts Act 1981, s.35A</x:v>
      </x:c>
      <x:c r="K45" s="15" t="str">
        <x:v>Senior Courts Act 1981, s.35A</x:v>
      </x:c>
      <x:c r="L45" s="15" t="str"/>
      <x:c r="M45" s="15" t="str"/>
      <x:c r="N45" s="15" t="str">
        <x:v>decisionAndDisposition.interest.statutoryBasis</x:v>
      </x:c>
      <x:c r="O45" s="15" t="str">
        <x:v>structured_json</x:v>
      </x:c>
      <x:c r="P45" s="15" t="str"/>
      <x:c r="Q45" s="15" t="str"/>
      <x:c r="R45" s="15" t="str"/>
      <x:c r="S45" s="15" t="str"/>
    </x:row>
    <x:row r="46">
      <x:c r="A46" s="1" t="str">
        <x:v>O0045</x:v>
      </x:c>
      <x:c r="B46" s="1" t="str">
        <x:v>cmlzy9ss300fz04i80p2yfbg1</x:v>
      </x:c>
      <x:c r="C46" s="1" t="str">
        <x:v>cmlzy4fu700fk04i8kn66k5jp</x:v>
      </x:c>
      <x:c r="D46" s="1" t="str">
        <x:v>skeleton-args-ca2024001234-346b2d683b5c2099</x:v>
      </x:c>
      <x:c r="E46" s="1" t="str">
        <x:v>synthetic</x:v>
      </x:c>
      <x:c r="F46" s="15" t="str">
        <x:v>Transport Action Network Limited v Secretary of State for Transport</x:v>
      </x:c>
      <x:c r="G46" s="16" t="n">
        <x:v>46077.07777166666</x:v>
      </x:c>
      <x:c r="H46" s="15" t="str">
        <x:v>legislation</x:v>
      </x:c>
      <x:c r="I46" s="15" t="str">
        <x:v>legislation:infrastructure act 2015 s 21</x:v>
      </x:c>
      <x:c r="J46" s="15" t="str">
        <x:v>Infrastructure Act 2015, s.21</x:v>
      </x:c>
      <x:c r="K46" s="15" t="str">
        <x:v>Infrastructure Act 2015, s.21</x:v>
      </x:c>
      <x:c r="L46" s="15" t="str"/>
      <x:c r="M46" s="15" t="str"/>
      <x:c r="N46" s="15" t="str">
        <x:v>legalFramework.legalTestSummaries[0].sourceAuthority</x:v>
      </x:c>
      <x:c r="O46" s="15" t="str">
        <x:v>structured_json</x:v>
      </x:c>
      <x:c r="P46" s="15" t="str"/>
      <x:c r="Q46" s="15" t="str"/>
      <x:c r="R46" s="15" t="str"/>
      <x:c r="S46" s="15" t="str"/>
    </x:row>
    <x:row r="47">
      <x:c r="A47" s="1" t="str">
        <x:v>O0046</x:v>
      </x:c>
      <x:c r="B47" s="1" t="str">
        <x:v>cmlzy9ss300fz04i80p2yfbg1</x:v>
      </x:c>
      <x:c r="C47" s="1" t="str">
        <x:v>cmlzy4fu700fk04i8kn66k5jp</x:v>
      </x:c>
      <x:c r="D47" s="1" t="str">
        <x:v>skeleton-args-ca2024001234-346b2d683b5c2099</x:v>
      </x:c>
      <x:c r="E47" s="1" t="str">
        <x:v>synthetic</x:v>
      </x:c>
      <x:c r="F47" s="15" t="str">
        <x:v>Transport Action Network Limited v Secretary of State for Transport</x:v>
      </x:c>
      <x:c r="G47" s="16" t="n">
        <x:v>46077.07777166666</x:v>
      </x:c>
      <x:c r="H47" s="15" t="str">
        <x:v>other</x:v>
      </x:c>
      <x:c r="I47" s="15" t="str">
        <x:v>other:general principles from public law interpretation</x:v>
      </x:c>
      <x:c r="J47" s="15" t="str">
        <x:v>General principles from public law interpretation</x:v>
      </x:c>
      <x:c r="K47" s="15" t="str">
        <x:v>General principles from public law interpretation</x:v>
      </x:c>
      <x:c r="L47" s="15" t="str"/>
      <x:c r="M47" s="15" t="str"/>
      <x:c r="N47" s="15" t="str">
        <x:v>legalFramework.legalTestSummaries[1].sourceAuthority</x:v>
      </x:c>
      <x:c r="O47" s="15" t="str">
        <x:v>structured_json</x:v>
      </x:c>
      <x:c r="P47" s="15" t="str"/>
      <x:c r="Q47" s="15" t="str"/>
      <x:c r="R47" s="15" t="str"/>
      <x:c r="S47" s="15" t="str"/>
    </x:row>
    <x:row r="48">
      <x:c r="A48" s="1" t="str">
        <x:v>O0047</x:v>
      </x:c>
      <x:c r="B48" s="1" t="str">
        <x:v>cmlzy9ss300fz04i80p2yfbg1</x:v>
      </x:c>
      <x:c r="C48" s="1" t="str">
        <x:v>cmlzy4fu700fk04i8kn66k5jp</x:v>
      </x:c>
      <x:c r="D48" s="1" t="str">
        <x:v>skeleton-args-ca2024001234-346b2d683b5c2099</x:v>
      </x:c>
      <x:c r="E48" s="1" t="str">
        <x:v>synthetic</x:v>
      </x:c>
      <x:c r="F48" s="15" t="str">
        <x:v>Transport Action Network Limited v Secretary of State for Transport</x:v>
      </x:c>
      <x:c r="G48" s="16" t="n">
        <x:v>46077.07777166666</x:v>
      </x:c>
      <x:c r="H48" s="15" t="str">
        <x:v>legislation</x:v>
      </x:c>
      <x:c r="I48" s="15" t="str">
        <x:v>legislation:local government finance regulations</x:v>
      </x:c>
      <x:c r="J48" s="15" t="str">
        <x:v>Local government finance regulations</x:v>
      </x:c>
      <x:c r="K48" s="15" t="str">
        <x:v>Local government finance regulations</x:v>
      </x:c>
      <x:c r="L48" s="15" t="str"/>
      <x:c r="M48" s="15" t="str"/>
      <x:c r="N48" s="15" t="str">
        <x:v>legalFramework.legalTestSummaries[2].sourceAuthority</x:v>
      </x:c>
      <x:c r="O48" s="15" t="str">
        <x:v>structured_json</x:v>
      </x:c>
      <x:c r="P48" s="15" t="str"/>
      <x:c r="Q48" s="15" t="str"/>
      <x:c r="R48" s="15" t="str"/>
      <x:c r="S48" s="15" t="str"/>
    </x:row>
    <x:row r="49">
      <x:c r="A49" s="1" t="str">
        <x:v>O0048</x:v>
      </x:c>
      <x:c r="B49" s="1" t="str">
        <x:v>cmlzy9ss300fz04i80p2yfbg1</x:v>
      </x:c>
      <x:c r="C49" s="1" t="str">
        <x:v>cmlzy4fu700fk04i8kn66k5jp</x:v>
      </x:c>
      <x:c r="D49" s="1" t="str">
        <x:v>skeleton-args-ca2024001234-346b2d683b5c2099</x:v>
      </x:c>
      <x:c r="E49" s="1" t="str">
        <x:v>synthetic</x:v>
      </x:c>
      <x:c r="F49" s="15" t="str">
        <x:v>Transport Action Network Limited v Secretary of State for Transport</x:v>
      </x:c>
      <x:c r="G49" s="16" t="n">
        <x:v>46077.07777166666</x:v>
      </x:c>
      <x:c r="H49" s="15" t="str">
        <x:v>case</x:v>
      </x:c>
      <x:c r="I49" s="15" t="str">
        <x:v>case:2022 ewca civ 187</x:v>
      </x:c>
      <x:c r="J49" s="15" t="str">
        <x:v>Finch On Behalf of the Weald Action Group, R (On the Application Of) v Surrey County Council &amp; Ors</x:v>
      </x:c>
      <x:c r="K49" s="15" t="str">
        <x:v>[2022] EWCA Civ 187</x:v>
      </x:c>
      <x:c r="L49" s="15" t="str">
        <x:v>968e5c88-1f2c-4da8-9290-4111f416ec6e</x:v>
      </x:c>
      <x:c r="M49" s="15" t="str"/>
      <x:c r="N49" s="15" t="str">
        <x:v>factualFindings.contestedFacts[0].sourceCases[0]</x:v>
      </x:c>
      <x:c r="O49" s="15" t="str">
        <x:v>structured_json</x:v>
      </x:c>
      <x:c r="P49" s="15" t="str"/>
      <x:c r="Q49" s="15" t="str">
        <x:v>applied_differently</x:v>
      </x:c>
      <x:c r="R49" s="15" t="str">
        <x:v>This case examines the obligation of governmental bodies to follow statutory procedures, analogous to the claimant's argument regarding funding reductions.</x:v>
      </x:c>
      <x:c r="S49" s="15" t="str"/>
    </x:row>
    <x:row r="50">
      <x:c r="A50" s="1" t="str">
        <x:v>O0049</x:v>
      </x:c>
      <x:c r="B50" s="1" t="str">
        <x:v>cmlzy9ss300fz04i80p2yfbg1</x:v>
      </x:c>
      <x:c r="C50" s="1" t="str">
        <x:v>cmlzy4fu700fk04i8kn66k5jp</x:v>
      </x:c>
      <x:c r="D50" s="1" t="str">
        <x:v>skeleton-args-ca2024001234-346b2d683b5c2099</x:v>
      </x:c>
      <x:c r="E50" s="1" t="str">
        <x:v>synthetic</x:v>
      </x:c>
      <x:c r="F50" s="15" t="str">
        <x:v>Transport Action Network Limited v Secretary of State for Transport</x:v>
      </x:c>
      <x:c r="G50" s="16" t="n">
        <x:v>46077.07777166666</x:v>
      </x:c>
      <x:c r="H50" s="15" t="str">
        <x:v>case</x:v>
      </x:c>
      <x:c r="I50" s="15" t="str">
        <x:v>case:2022 ewca civ 983</x:v>
      </x:c>
      <x:c r="J50" s="15" t="str">
        <x:v>Wyatt v Fareham Borough Council (Rev1)</x:v>
      </x:c>
      <x:c r="K50" s="15" t="str">
        <x:v>[2022] EWCA Civ 983</x:v>
      </x:c>
      <x:c r="L50" s="15" t="str">
        <x:v>1d957476-2c0d-4578-8a43-679ec600e382</x:v>
      </x:c>
      <x:c r="M50" s="15" t="str"/>
      <x:c r="N50" s="15" t="str">
        <x:v>factualFindings.contestedFacts[1].sourceCases[0]</x:v>
      </x:c>
      <x:c r="O50" s="15" t="str">
        <x:v>structured_json</x:v>
      </x:c>
      <x:c r="P50" s="15" t="str"/>
      <x:c r="Q50" s="15" t="str">
        <x:v>applied_differently</x:v>
      </x:c>
      <x:c r="R50" s="15" t="str">
        <x:v>This case's examination of statutory obligations relative to local government funding can inform interpretations favoring binding obligations found in similar statutes.</x:v>
      </x:c>
      <x:c r="S50" s="15" t="str"/>
    </x:row>
    <x:row r="51">
      <x:c r="A51" s="1" t="str">
        <x:v>O0050</x:v>
      </x:c>
      <x:c r="B51" s="1" t="str">
        <x:v>cmlzy9ss300fz04i80p2yfbg1</x:v>
      </x:c>
      <x:c r="C51" s="1" t="str">
        <x:v>cmlzy4fu700fk04i8kn66k5jp</x:v>
      </x:c>
      <x:c r="D51" s="1" t="str">
        <x:v>skeleton-args-ca2024001234-346b2d683b5c2099</x:v>
      </x:c>
      <x:c r="E51" s="1" t="str">
        <x:v>synthetic</x:v>
      </x:c>
      <x:c r="F51" s="15" t="str">
        <x:v>Transport Action Network Limited v Secretary of State for Transport</x:v>
      </x:c>
      <x:c r="G51" s="16" t="n">
        <x:v>46077.07777166666</x:v>
      </x:c>
      <x:c r="H51" s="15" t="str">
        <x:v>case</x:v>
      </x:c>
      <x:c r="I51" s="15" t="str">
        <x:v>case:2016 ewca civ 480</x:v>
      </x:c>
      <x:c r="J51" s="15" t="str">
        <x:v>London Borough of Enfield, R (on the application of) v Secretary of State for Transport &amp; Ors</x:v>
      </x:c>
      <x:c r="K51" s="15" t="str">
        <x:v>[2016] EWCA Civ 480</x:v>
      </x:c>
      <x:c r="L51" s="15" t="str">
        <x:v>f5a5b44e-fcf0-40c0-9bf9-69f026b1b438</x:v>
      </x:c>
      <x:c r="M51" s="15" t="str"/>
      <x:c r="N51" s="15" t="str">
        <x:v>factualFindings.contestedFacts[2].sourceCases[0]</x:v>
      </x:c>
      <x:c r="O51" s="15" t="str">
        <x:v>structured_json</x:v>
      </x:c>
      <x:c r="P51" s="15" t="str"/>
      <x:c r="Q51" s="15" t="str">
        <x:v>distinguished</x:v>
      </x:c>
      <x:c r="R51" s="15" t="str">
        <x:v>Similar situation where fiscal constraints were assessed against statutory compliance requirements.</x:v>
      </x:c>
      <x:c r="S51" s="15" t="str"/>
    </x:row>
    <x:row r="52">
      <x:c r="A52" s="1" t="str">
        <x:v>O0051</x:v>
      </x:c>
      <x:c r="B52" s="1" t="str">
        <x:v>cmlzy9ss300fz04i80p2yfbg1</x:v>
      </x:c>
      <x:c r="C52" s="1" t="str">
        <x:v>cmlzy4fu700fk04i8kn66k5jp</x:v>
      </x:c>
      <x:c r="D52" s="1" t="str">
        <x:v>skeleton-args-ca2024001234-346b2d683b5c2099</x:v>
      </x:c>
      <x:c r="E52" s="1" t="str">
        <x:v>synthetic</x:v>
      </x:c>
      <x:c r="F52" s="15" t="str">
        <x:v>Transport Action Network Limited v Secretary of State for Transport</x:v>
      </x:c>
      <x:c r="G52" s="16" t="n">
        <x:v>46077.07777166666</x:v>
      </x:c>
      <x:c r="H52" s="15" t="str">
        <x:v>case</x:v>
      </x:c>
      <x:c r="I52" s="15" t="str">
        <x:v>case:2022 ewca civ 187</x:v>
      </x:c>
      <x:c r="J52" s="15" t="str">
        <x:v>Finch On Behalf of the Weald Action Group, R (On the Application Of) v Surrey County Council &amp; Ors</x:v>
      </x:c>
      <x:c r="K52" s="15" t="str">
        <x:v>[2022] EWCA Civ 187</x:v>
      </x:c>
      <x:c r="L52" s="15" t="str">
        <x:v>968e5c88-1f2c-4da8-9290-4111f416ec6e</x:v>
      </x:c>
      <x:c r="M52" s="15" t="str"/>
      <x:c r="N52" s="15" t="str">
        <x:v>reasoningStructure[0].sourceCases[0]</x:v>
      </x:c>
      <x:c r="O52" s="15" t="str">
        <x:v>structured_json</x:v>
      </x:c>
      <x:c r="P52" s="15" t="str"/>
      <x:c r="Q52" s="15" t="str">
        <x:v>same_proposition</x:v>
      </x:c>
      <x:c r="R52" s="15" t="str">
        <x:v>Clarifies obligations under statutory frameworks relevant to public funding.</x:v>
      </x:c>
      <x:c r="S52" s="15" t="str"/>
    </x:row>
    <x:row r="53">
      <x:c r="A53" s="1" t="str">
        <x:v>O0052</x:v>
      </x:c>
      <x:c r="B53" s="1" t="str">
        <x:v>cmlzy9ss300fz04i80p2yfbg1</x:v>
      </x:c>
      <x:c r="C53" s="1" t="str">
        <x:v>cmlzy4fu700fk04i8kn66k5jp</x:v>
      </x:c>
      <x:c r="D53" s="1" t="str">
        <x:v>skeleton-args-ca2024001234-346b2d683b5c2099</x:v>
      </x:c>
      <x:c r="E53" s="1" t="str">
        <x:v>synthetic</x:v>
      </x:c>
      <x:c r="F53" s="15" t="str">
        <x:v>Transport Action Network Limited v Secretary of State for Transport</x:v>
      </x:c>
      <x:c r="G53" s="16" t="n">
        <x:v>46077.07777166666</x:v>
      </x:c>
      <x:c r="H53" s="15" t="str">
        <x:v>case</x:v>
      </x:c>
      <x:c r="I53" s="15" t="str">
        <x:v>case:2022 ewca civ 983</x:v>
      </x:c>
      <x:c r="J53" s="15" t="str">
        <x:v>Wyatt v Fareham Borough Council (Rev1)</x:v>
      </x:c>
      <x:c r="K53" s="15" t="str">
        <x:v>[2022] EWCA Civ 983</x:v>
      </x:c>
      <x:c r="L53" s="15" t="str">
        <x:v>1d957476-2c0d-4578-8a43-679ec600e382</x:v>
      </x:c>
      <x:c r="M53" s="15" t="str"/>
      <x:c r="N53" s="15" t="str">
        <x:v>reasoningStructure[1].sourceCases[0]</x:v>
      </x:c>
      <x:c r="O53" s="15" t="str">
        <x:v>structured_json</x:v>
      </x:c>
      <x:c r="P53" s="15" t="str"/>
      <x:c r="Q53" s="15" t="str">
        <x:v>same_proposition</x:v>
      </x:c>
      <x:c r="R53" s="15" t="str">
        <x:v>Provides guidance on necessary statutory compliance in discretionary legal frameworks.</x:v>
      </x:c>
      <x:c r="S53" s="15" t="str"/>
    </x:row>
    <x:row r="54">
      <x:c r="A54" s="1" t="str">
        <x:v>O0053</x:v>
      </x:c>
      <x:c r="B54" s="1" t="str">
        <x:v>cmlzy9ss300fz04i80p2yfbg1</x:v>
      </x:c>
      <x:c r="C54" s="1" t="str">
        <x:v>cmlzy4fu700fk04i8kn66k5jp</x:v>
      </x:c>
      <x:c r="D54" s="1" t="str">
        <x:v>skeleton-args-ca2024001234-346b2d683b5c2099</x:v>
      </x:c>
      <x:c r="E54" s="1" t="str">
        <x:v>synthetic</x:v>
      </x:c>
      <x:c r="F54" s="15" t="str">
        <x:v>Transport Action Network Limited v Secretary of State for Transport</x:v>
      </x:c>
      <x:c r="G54" s="16" t="n">
        <x:v>46077.07777166666</x:v>
      </x:c>
      <x:c r="H54" s="15" t="str">
        <x:v>case</x:v>
      </x:c>
      <x:c r="I54" s="15" t="str">
        <x:v>case:2016 ewca civ 480</x:v>
      </x:c>
      <x:c r="J54" s="15" t="str">
        <x:v>London Borough of Enfield, R (on the application of) v Secretary of State for Transport &amp; Ors</x:v>
      </x:c>
      <x:c r="K54" s="15" t="str">
        <x:v>[2016] EWCA Civ 480</x:v>
      </x:c>
      <x:c r="L54" s="15" t="str">
        <x:v>f5a5b44e-fcf0-40c0-9bf9-69f026b1b438</x:v>
      </x:c>
      <x:c r="M54" s="15" t="str"/>
      <x:c r="N54" s="15" t="str">
        <x:v>reasoningStructure[2].sourceCases[0]</x:v>
      </x:c>
      <x:c r="O54" s="15" t="str">
        <x:v>structured_json</x:v>
      </x:c>
      <x:c r="P54" s="15" t="str"/>
      <x:c r="Q54" s="15" t="str">
        <x:v>distinguished</x:v>
      </x:c>
      <x:c r="R54" s="15" t="str">
        <x:v>Demonstrates the tension between fiscal necessity and statutory obligations in administrative actions.</x:v>
      </x:c>
      <x:c r="S54" s="15" t="str"/>
    </x:row>
    <x:row r="55">
      <x:c r="A55" s="1" t="str">
        <x:v>O0054</x:v>
      </x:c>
      <x:c r="B55" s="1" t="str">
        <x:v>cmlzy9ss300fz04i80p2yfbg1</x:v>
      </x:c>
      <x:c r="C55" s="1" t="str">
        <x:v>cmlzy4fu700fk04i8kn66k5jp</x:v>
      </x:c>
      <x:c r="D55" s="1" t="str">
        <x:v>skeleton-args-ca2024001234-346b2d683b5c2099</x:v>
      </x:c>
      <x:c r="E55" s="1" t="str">
        <x:v>synthetic</x:v>
      </x:c>
      <x:c r="F55" s="15" t="str">
        <x:v>Transport Action Network Limited v Secretary of State for Transport</x:v>
      </x:c>
      <x:c r="G55" s="16" t="n">
        <x:v>46077.07777166666</x:v>
      </x:c>
      <x:c r="H55" s="15" t="str">
        <x:v>case</x:v>
      </x:c>
      <x:c r="I55" s="15" t="str">
        <x:v>case:2022 ewca civ 187</x:v>
      </x:c>
      <x:c r="J55" s="15" t="str">
        <x:v>Finch On Behalf of the Weald Action Group, R (On the Application Of) v Surrey County Council &amp; Ors</x:v>
      </x:c>
      <x:c r="K55" s="15" t="str">
        <x:v>[2022] EWCA Civ 187</x:v>
      </x:c>
      <x:c r="L55" s="15" t="str">
        <x:v>968e5c88-1f2c-4da8-9290-4111f416ec6e</x:v>
      </x:c>
      <x:c r="M55" s="15" t="str"/>
      <x:c r="N55" s="15" t="str">
        <x:v>issuesForDetermination.issueMatrix[0].sourceCases[0]</x:v>
      </x:c>
      <x:c r="O55" s="15" t="str">
        <x:v>structured_json</x:v>
      </x:c>
      <x:c r="P55" s="15" t="str"/>
      <x:c r="Q55" s="15" t="str">
        <x:v>same_proposition</x:v>
      </x:c>
      <x:c r="R55" s="15" t="str">
        <x:v>Identifies obligations under statutory processes relevant to funding decisions.</x:v>
      </x:c>
      <x:c r="S55" s="15" t="str"/>
    </x:row>
    <x:row r="56">
      <x:c r="A56" s="1" t="str">
        <x:v>O0055</x:v>
      </x:c>
      <x:c r="B56" s="1" t="str">
        <x:v>cmlzy9ss300fz04i80p2yfbg1</x:v>
      </x:c>
      <x:c r="C56" s="1" t="str">
        <x:v>cmlzy4fu700fk04i8kn66k5jp</x:v>
      </x:c>
      <x:c r="D56" s="1" t="str">
        <x:v>skeleton-args-ca2024001234-346b2d683b5c2099</x:v>
      </x:c>
      <x:c r="E56" s="1" t="str">
        <x:v>synthetic</x:v>
      </x:c>
      <x:c r="F56" s="15" t="str">
        <x:v>Transport Action Network Limited v Secretary of State for Transport</x:v>
      </x:c>
      <x:c r="G56" s="16" t="n">
        <x:v>46077.07777166666</x:v>
      </x:c>
      <x:c r="H56" s="15" t="str">
        <x:v>case</x:v>
      </x:c>
      <x:c r="I56" s="15" t="str">
        <x:v>case:2022 ewca civ 983</x:v>
      </x:c>
      <x:c r="J56" s="15" t="str">
        <x:v>Wyatt v Fareham Borough Council (Rev1)</x:v>
      </x:c>
      <x:c r="K56" s="15" t="str">
        <x:v>[2022] EWCA Civ 983</x:v>
      </x:c>
      <x:c r="L56" s="15" t="str">
        <x:v>1d957476-2c0d-4578-8a43-679ec600e382</x:v>
      </x:c>
      <x:c r="M56" s="15" t="str"/>
      <x:c r="N56" s="15" t="str">
        <x:v>issuesForDetermination.issueMatrix[1].sourceCases[0]</x:v>
      </x:c>
      <x:c r="O56" s="15" t="str">
        <x:v>structured_json</x:v>
      </x:c>
      <x:c r="P56" s="15" t="str"/>
      <x:c r="Q56" s="15" t="str">
        <x:v>same_proposition</x:v>
      </x:c>
      <x:c r="R56" s="15" t="str">
        <x:v>Demonstrates the need for statutory frameworks to guide discretionary decisions in other public funding contexts.</x:v>
      </x:c>
      <x:c r="S56" s="15" t="str"/>
    </x:row>
    <x:row r="57">
      <x:c r="A57" s="1" t="str">
        <x:v>O0056</x:v>
      </x:c>
      <x:c r="B57" s="1" t="str">
        <x:v>cmlzy9ss300fz04i80p2yfbg1</x:v>
      </x:c>
      <x:c r="C57" s="1" t="str">
        <x:v>cmlzy4fu700fk04i8kn66k5jp</x:v>
      </x:c>
      <x:c r="D57" s="1" t="str">
        <x:v>skeleton-args-ca2024001234-346b2d683b5c2099</x:v>
      </x:c>
      <x:c r="E57" s="1" t="str">
        <x:v>synthetic</x:v>
      </x:c>
      <x:c r="F57" s="15" t="str">
        <x:v>Transport Action Network Limited v Secretary of State for Transport</x:v>
      </x:c>
      <x:c r="G57" s="16" t="n">
        <x:v>46077.07777166666</x:v>
      </x:c>
      <x:c r="H57" s="15" t="str">
        <x:v>case</x:v>
      </x:c>
      <x:c r="I57" s="15" t="str">
        <x:v>case:2016 ewca civ 480</x:v>
      </x:c>
      <x:c r="J57" s="15" t="str">
        <x:v>London Borough of Enfield, R (on the application of) v Secretary of State for Transport &amp; Ors</x:v>
      </x:c>
      <x:c r="K57" s="15" t="str">
        <x:v>[2016] EWCA Civ 480</x:v>
      </x:c>
      <x:c r="L57" s="15" t="str">
        <x:v>f5a5b44e-fcf0-40c0-9bf9-69f026b1b438</x:v>
      </x:c>
      <x:c r="M57" s="15" t="str"/>
      <x:c r="N57" s="15" t="str">
        <x:v>issuesForDetermination.issueMatrix[2].sourceCases[0]</x:v>
      </x:c>
      <x:c r="O57" s="15" t="str">
        <x:v>structured_json</x:v>
      </x:c>
      <x:c r="P57" s="15" t="str"/>
      <x:c r="Q57" s="15" t="str">
        <x:v>distinguished</x:v>
      </x:c>
      <x:c r="R57" s="15" t="str">
        <x:v>Provides pertinent insight into the necessary compliance with legal principles surrounding discretionary funding.</x:v>
      </x:c>
      <x:c r="S57" s="15" t="str"/>
    </x:row>
    <x:row r="58">
      <x:c r="A58" s="1" t="str">
        <x:v>O0057</x:v>
      </x:c>
      <x:c r="B58" s="1" t="str">
        <x:v>cmm0bebet000404jvmcxyqo4x</x:v>
      </x:c>
      <x:c r="C58" s="1" t="str">
        <x:v>cmm0b5xup000504ibqdrxvam6</x:v>
      </x:c>
      <x:c r="D58" s="1" t="str">
        <x:v>skeleton-args-ca2016009836-d5eefd60a70a11d6</x:v>
      </x:c>
      <x:c r="E58" s="1" t="str">
        <x:v>synthetic</x:v>
      </x:c>
      <x:c r="F58" s="15" t="str">
        <x:v>Beacon Manufacturing Ltd v Alliance Insurance Plc</x:v>
      </x:c>
      <x:c r="G58" s="16" t="n">
        <x:v>46077.33293114584</x:v>
      </x:c>
      <x:c r="H58" s="15" t="str">
        <x:v>case</x:v>
      </x:c>
      <x:c r="I58" s="15" t="str">
        <x:v>case:2002 ewca civ 605</x:v>
      </x:c>
      <x:c r="J58" s="15" t="str">
        <x:v>[2002] EWCA Civ 605</x:v>
      </x:c>
      <x:c r="K58" s="15" t="str">
        <x:v>[2002] EWCA Civ 605</x:v>
      </x:c>
      <x:c r="L58" s="15" t="str"/>
      <x:c r="M58" s="15" t="str"/>
      <x:c r="N58" s="15" t="str">
        <x:v>legalFramework.precedentCitations[0]</x:v>
      </x:c>
      <x:c r="O58" s="15" t="str">
        <x:v>structured_json</x:v>
      </x:c>
      <x:c r="P58" s="15" t="str">
        <x:v>binding</x:v>
      </x:c>
      <x:c r="Q58" s="15" t="str"/>
      <x:c r="R58" s="15" t="str">
        <x:v>Adequacy of reasons in judgments</x:v>
      </x:c>
      <x:c r="S58" s="15" t="str"/>
    </x:row>
    <x:row r="59">
      <x:c r="A59" s="1" t="str">
        <x:v>O0058</x:v>
      </x:c>
      <x:c r="B59" s="1" t="str">
        <x:v>cmm0bebet000404jvmcxyqo4x</x:v>
      </x:c>
      <x:c r="C59" s="1" t="str">
        <x:v>cmm0b5xup000504ibqdrxvam6</x:v>
      </x:c>
      <x:c r="D59" s="1" t="str">
        <x:v>skeleton-args-ca2016009836-d5eefd60a70a11d6</x:v>
      </x:c>
      <x:c r="E59" s="1" t="str">
        <x:v>synthetic</x:v>
      </x:c>
      <x:c r="F59" s="15" t="str">
        <x:v>Beacon Manufacturing Ltd v Alliance Insurance Plc</x:v>
      </x:c>
      <x:c r="G59" s="16" t="n">
        <x:v>46077.33293114584</x:v>
      </x:c>
      <x:c r="H59" s="15" t="str">
        <x:v>legislation</x:v>
      </x:c>
      <x:c r="I59" s="15" t="str">
        <x:v>legislation:insurance act 2015 s 8</x:v>
      </x:c>
      <x:c r="J59" s="15" t="str">
        <x:v>Insurance Act 2015</x:v>
      </x:c>
      <x:c r="K59" s="15" t="str">
        <x:v>Insurance Act 2015 s. 8</x:v>
      </x:c>
      <x:c r="L59" s="15" t="str"/>
      <x:c r="M59" s="15" t="str">
        <x:v>s. 8</x:v>
      </x:c>
      <x:c r="N59" s="15" t="str">
        <x:v>legalFramework.statutoryProvisions[0]</x:v>
      </x:c>
      <x:c r="O59" s="15" t="str">
        <x:v>structured_json</x:v>
      </x:c>
      <x:c r="P59" s="15" t="str"/>
      <x:c r="Q59" s="15" t="str"/>
      <x:c r="R59" s="15" t="str">
        <x:v>Governs material non-disclosure responsibilities for insured parties.</x:v>
      </x:c>
      <x:c r="S59" s="15" t="str"/>
    </x:row>
    <x:row r="60">
      <x:c r="A60" s="1" t="str">
        <x:v>O0059</x:v>
      </x:c>
      <x:c r="B60" s="1" t="str">
        <x:v>cmm0bebet000404jvmcxyqo4x</x:v>
      </x:c>
      <x:c r="C60" s="1" t="str">
        <x:v>cmm0b5xup000504ibqdrxvam6</x:v>
      </x:c>
      <x:c r="D60" s="1" t="str">
        <x:v>skeleton-args-ca2016009836-d5eefd60a70a11d6</x:v>
      </x:c>
      <x:c r="E60" s="1" t="str">
        <x:v>synthetic</x:v>
      </x:c>
      <x:c r="F60" s="15" t="str">
        <x:v>Beacon Manufacturing Ltd v Alliance Insurance Plc</x:v>
      </x:c>
      <x:c r="G60" s="16" t="n">
        <x:v>46077.33293114584</x:v>
      </x:c>
      <x:c r="H60" s="15" t="str">
        <x:v>legislation</x:v>
      </x:c>
      <x:c r="I60" s="15" t="str">
        <x:v>legislation:insurance act 2015 s 10</x:v>
      </x:c>
      <x:c r="J60" s="15" t="str">
        <x:v>Insurance Act 2015</x:v>
      </x:c>
      <x:c r="K60" s="15" t="str">
        <x:v>Insurance Act 2015 s. 10</x:v>
      </x:c>
      <x:c r="L60" s="15" t="str"/>
      <x:c r="M60" s="15" t="str">
        <x:v>s. 10</x:v>
      </x:c>
      <x:c r="N60" s="15" t="str">
        <x:v>legalFramework.statutoryProvisions[1]</x:v>
      </x:c>
      <x:c r="O60" s="15" t="str">
        <x:v>structured_json</x:v>
      </x:c>
      <x:c r="P60" s="15" t="str"/>
      <x:c r="Q60" s="15" t="str"/>
      <x:c r="R60" s="15" t="str">
        <x:v>Details the effects of breach of warranty.</x:v>
      </x:c>
      <x:c r="S60" s="15" t="str"/>
    </x:row>
    <x:row r="61">
      <x:c r="A61" s="1" t="str">
        <x:v>O0060</x:v>
      </x:c>
      <x:c r="B61" s="1" t="str">
        <x:v>cmm0bebet000404jvmcxyqo4x</x:v>
      </x:c>
      <x:c r="C61" s="1" t="str">
        <x:v>cmm0b5xup000504ibqdrxvam6</x:v>
      </x:c>
      <x:c r="D61" s="1" t="str">
        <x:v>skeleton-args-ca2016009836-d5eefd60a70a11d6</x:v>
      </x:c>
      <x:c r="E61" s="1" t="str">
        <x:v>synthetic</x:v>
      </x:c>
      <x:c r="F61" s="15" t="str">
        <x:v>Beacon Manufacturing Ltd v Alliance Insurance Plc</x:v>
      </x:c>
      <x:c r="G61" s="16" t="n">
        <x:v>46077.33293114584</x:v>
      </x:c>
      <x:c r="H61" s="15" t="str">
        <x:v>legislation</x:v>
      </x:c>
      <x:c r="I61" s="15" t="str">
        <x:v>legislation:senior courts act 1981 s 35a</x:v>
      </x:c>
      <x:c r="J61" s="15" t="str">
        <x:v>Senior Courts Act 1981, s. 35A</x:v>
      </x:c>
      <x:c r="K61" s="15" t="str">
        <x:v>Senior Courts Act 1981, s. 35A</x:v>
      </x:c>
      <x:c r="L61" s="15" t="str"/>
      <x:c r="M61" s="15" t="str"/>
      <x:c r="N61" s="15" t="str">
        <x:v>decisionAndDisposition.interest.statutoryBasis</x:v>
      </x:c>
      <x:c r="O61" s="15" t="str">
        <x:v>structured_json</x:v>
      </x:c>
      <x:c r="P61" s="15" t="str"/>
      <x:c r="Q61" s="15" t="str"/>
      <x:c r="R61" s="15" t="str"/>
      <x:c r="S61" s="15" t="str"/>
    </x:row>
    <x:row r="62">
      <x:c r="A62" s="1" t="str">
        <x:v>O0061</x:v>
      </x:c>
      <x:c r="B62" s="1" t="str">
        <x:v>cmm0bebet000404jvmcxyqo4x</x:v>
      </x:c>
      <x:c r="C62" s="1" t="str">
        <x:v>cmm0b5xup000504ibqdrxvam6</x:v>
      </x:c>
      <x:c r="D62" s="1" t="str">
        <x:v>skeleton-args-ca2016009836-d5eefd60a70a11d6</x:v>
      </x:c>
      <x:c r="E62" s="1" t="str">
        <x:v>synthetic</x:v>
      </x:c>
      <x:c r="F62" s="15" t="str">
        <x:v>Beacon Manufacturing Ltd v Alliance Insurance Plc</x:v>
      </x:c>
      <x:c r="G62" s="16" t="n">
        <x:v>46077.33293114584</x:v>
      </x:c>
      <x:c r="H62" s="15" t="str">
        <x:v>legislation</x:v>
      </x:c>
      <x:c r="I62" s="15" t="str">
        <x:v>legislation:insurance act 2015 s 8</x:v>
      </x:c>
      <x:c r="J62" s="15" t="str">
        <x:v>Insurance Act 2015, s. 8</x:v>
      </x:c>
      <x:c r="K62" s="15" t="str">
        <x:v>Insurance Act 2015, s. 8</x:v>
      </x:c>
      <x:c r="L62" s="15" t="str"/>
      <x:c r="M62" s="15" t="str"/>
      <x:c r="N62" s="15" t="str">
        <x:v>legalFramework.legalTestSummaries[0].sourceAuthority</x:v>
      </x:c>
      <x:c r="O62" s="15" t="str">
        <x:v>structured_json</x:v>
      </x:c>
      <x:c r="P62" s="15" t="str"/>
      <x:c r="Q62" s="15" t="str"/>
      <x:c r="R62" s="15" t="str"/>
      <x:c r="S62" s="15" t="str"/>
    </x:row>
    <x:row r="63">
      <x:c r="A63" s="1" t="str">
        <x:v>O0062</x:v>
      </x:c>
      <x:c r="B63" s="1" t="str">
        <x:v>cmm0bebet000404jvmcxyqo4x</x:v>
      </x:c>
      <x:c r="C63" s="1" t="str">
        <x:v>cmm0b5xup000504ibqdrxvam6</x:v>
      </x:c>
      <x:c r="D63" s="1" t="str">
        <x:v>skeleton-args-ca2016009836-d5eefd60a70a11d6</x:v>
      </x:c>
      <x:c r="E63" s="1" t="str">
        <x:v>synthetic</x:v>
      </x:c>
      <x:c r="F63" s="15" t="str">
        <x:v>Beacon Manufacturing Ltd v Alliance Insurance Plc</x:v>
      </x:c>
      <x:c r="G63" s="16" t="n">
        <x:v>46077.33293114584</x:v>
      </x:c>
      <x:c r="H63" s="15" t="str">
        <x:v>case</x:v>
      </x:c>
      <x:c r="I63" s="15" t="str">
        <x:v>case:2016 ewca civ 1003</x:v>
      </x:c>
      <x:c r="J63" s="15" t="str">
        <x:v>Great Lakes Reinsurance (UK) SE v Western Trading Ltd</x:v>
      </x:c>
      <x:c r="K63" s="15" t="str">
        <x:v>[2016] EWCA Civ 1003</x:v>
      </x:c>
      <x:c r="L63" s="15" t="str">
        <x:v>e050e594-d197-45f1-ba15-7d110c0d93c4</x:v>
      </x:c>
      <x:c r="M63" s="15" t="str"/>
      <x:c r="N63" s="15" t="str">
        <x:v>legalFramework.statutoryProvisions[0].sourceCases[0]</x:v>
      </x:c>
      <x:c r="O63" s="15" t="str">
        <x:v>structured_json</x:v>
      </x:c>
      <x:c r="P63" s="15" t="str"/>
      <x:c r="Q63" s="15" t="str">
        <x:v>applied_differently</x:v>
      </x:c>
      <x:c r="R63" s="15" t="str">
        <x:v>The core principles of the Insurance Act were applied in addressing non-disclosure.</x:v>
      </x:c>
      <x:c r="S63" s="15" t="str"/>
    </x:row>
    <x:row r="64">
      <x:c r="A64" s="1" t="str">
        <x:v>O0063</x:v>
      </x:c>
      <x:c r="B64" s="1" t="str">
        <x:v>cmm0bebet000404jvmcxyqo4x</x:v>
      </x:c>
      <x:c r="C64" s="1" t="str">
        <x:v>cmm0b5xup000504ibqdrxvam6</x:v>
      </x:c>
      <x:c r="D64" s="1" t="str">
        <x:v>skeleton-args-ca2016009836-d5eefd60a70a11d6</x:v>
      </x:c>
      <x:c r="E64" s="1" t="str">
        <x:v>synthetic</x:v>
      </x:c>
      <x:c r="F64" s="15" t="str">
        <x:v>Beacon Manufacturing Ltd v Alliance Insurance Plc</x:v>
      </x:c>
      <x:c r="G64" s="16" t="n">
        <x:v>46077.33293114584</x:v>
      </x:c>
      <x:c r="H64" s="15" t="str">
        <x:v>case</x:v>
      </x:c>
      <x:c r="I64" s="15" t="str">
        <x:v>case:2016 uksc 45</x:v>
      </x:c>
      <x:c r="J64" s="15" t="str">
        <x:v>Versloot Dredging BV v HDI Gerling Industrie Versicherung AG</x:v>
      </x:c>
      <x:c r="K64" s="15" t="str">
        <x:v>[2016] UKSC 45</x:v>
      </x:c>
      <x:c r="L64" s="15" t="str">
        <x:v>426ca317-9dae-45bd-99cb-deb7de4b7766</x:v>
      </x:c>
      <x:c r="M64" s="15" t="str"/>
      <x:c r="N64" s="15" t="str">
        <x:v>legalFramework.statutoryProvisions[1].sourceCases[0]</x:v>
      </x:c>
      <x:c r="O64" s="15" t="str">
        <x:v>structured_json</x:v>
      </x:c>
      <x:c r="P64" s="15" t="str"/>
      <x:c r="Q64" s="15" t="str">
        <x:v>distinguished</x:v>
      </x:c>
      <x:c r="R64" s="15" t="str">
        <x:v>Discusses how breaches of warranty affect insurers’ liabilities.</x:v>
      </x:c>
      <x:c r="S64" s="15" t="str"/>
    </x:row>
    <x:row r="65">
      <x:c r="A65" s="1" t="str">
        <x:v>O0064</x:v>
      </x:c>
      <x:c r="B65" s="1" t="str">
        <x:v>cmm0bebet000404jvmcxyqo4x</x:v>
      </x:c>
      <x:c r="C65" s="1" t="str">
        <x:v>cmm0b5xup000504ibqdrxvam6</x:v>
      </x:c>
      <x:c r="D65" s="1" t="str">
        <x:v>skeleton-args-ca2016009836-d5eefd60a70a11d6</x:v>
      </x:c>
      <x:c r="E65" s="1" t="str">
        <x:v>synthetic</x:v>
      </x:c>
      <x:c r="F65" s="15" t="str">
        <x:v>Beacon Manufacturing Ltd v Alliance Insurance Plc</x:v>
      </x:c>
      <x:c r="G65" s="16" t="n">
        <x:v>46077.33293114584</x:v>
      </x:c>
      <x:c r="H65" s="15" t="str">
        <x:v>case</x:v>
      </x:c>
      <x:c r="I65" s="15" t="str">
        <x:v>case:2016 ewca civ 1003</x:v>
      </x:c>
      <x:c r="J65" s="15" t="str">
        <x:v>Great Lakes Reinsurance (UK) SE v Western Trading Ltd</x:v>
      </x:c>
      <x:c r="K65" s="15" t="str">
        <x:v>[2016] EWCA Civ 1003</x:v>
      </x:c>
      <x:c r="L65" s="15" t="str">
        <x:v>e050e594-d197-45f1-ba15-7d110c0d93c4</x:v>
      </x:c>
      <x:c r="M65" s="15" t="str"/>
      <x:c r="N65" s="15" t="str">
        <x:v>factualFindings.contestedFacts[0].sourceCases[0]</x:v>
      </x:c>
      <x:c r="O65" s="15" t="str">
        <x:v>structured_json</x:v>
      </x:c>
      <x:c r="P65" s="15" t="str"/>
      <x:c r="Q65" s="15" t="str">
        <x:v>applied_differently</x:v>
      </x:c>
      <x:c r="R65" s="15" t="str">
        <x:v>This case discusses the importance of full disclosure in insurance contracts.</x:v>
      </x:c>
      <x:c r="S65" s="15" t="str"/>
    </x:row>
    <x:row r="66">
      <x:c r="A66" s="1" t="str">
        <x:v>O0065</x:v>
      </x:c>
      <x:c r="B66" s="1" t="str">
        <x:v>cmm0bebet000404jvmcxyqo4x</x:v>
      </x:c>
      <x:c r="C66" s="1" t="str">
        <x:v>cmm0b5xup000504ibqdrxvam6</x:v>
      </x:c>
      <x:c r="D66" s="1" t="str">
        <x:v>skeleton-args-ca2016009836-d5eefd60a70a11d6</x:v>
      </x:c>
      <x:c r="E66" s="1" t="str">
        <x:v>synthetic</x:v>
      </x:c>
      <x:c r="F66" s="15" t="str">
        <x:v>Beacon Manufacturing Ltd v Alliance Insurance Plc</x:v>
      </x:c>
      <x:c r="G66" s="16" t="n">
        <x:v>46077.33293114584</x:v>
      </x:c>
      <x:c r="H66" s="15" t="str">
        <x:v>case</x:v>
      </x:c>
      <x:c r="I66" s="15" t="str">
        <x:v>case:2016 uksc 45</x:v>
      </x:c>
      <x:c r="J66" s="15" t="str">
        <x:v>Versloot Dredging BV v HDI Gerling Industrie Versicherung AG</x:v>
      </x:c>
      <x:c r="K66" s="15" t="str">
        <x:v>[2016] UKSC 45</x:v>
      </x:c>
      <x:c r="L66" s="15" t="str">
        <x:v>426ca317-9dae-45bd-99cb-deb7de4b7766</x:v>
      </x:c>
      <x:c r="M66" s="15" t="str"/>
      <x:c r="N66" s="15" t="str">
        <x:v>factualFindings.contestedFacts[1].sourceCases[0]</x:v>
      </x:c>
      <x:c r="O66" s="15" t="str">
        <x:v>structured_json</x:v>
      </x:c>
      <x:c r="P66" s="15" t="str"/>
      <x:c r="Q66" s="15" t="str">
        <x:v>distinguished</x:v>
      </x:c>
      <x:c r="R66" s="15" t="str">
        <x:v>This case explores the implications of warranty breaches in insurance.</x:v>
      </x:c>
      <x:c r="S66" s="15" t="str"/>
    </x:row>
    <x:row r="67">
      <x:c r="A67" s="1" t="str">
        <x:v>O0066</x:v>
      </x:c>
      <x:c r="B67" s="1" t="str">
        <x:v>cmm0bebet000404jvmcxyqo4x</x:v>
      </x:c>
      <x:c r="C67" s="1" t="str">
        <x:v>cmm0b5xup000504ibqdrxvam6</x:v>
      </x:c>
      <x:c r="D67" s="1" t="str">
        <x:v>skeleton-args-ca2016009836-d5eefd60a70a11d6</x:v>
      </x:c>
      <x:c r="E67" s="1" t="str">
        <x:v>synthetic</x:v>
      </x:c>
      <x:c r="F67" s="15" t="str">
        <x:v>Beacon Manufacturing Ltd v Alliance Insurance Plc</x:v>
      </x:c>
      <x:c r="G67" s="16" t="n">
        <x:v>46077.33293114584</x:v>
      </x:c>
      <x:c r="H67" s="15" t="str">
        <x:v>case</x:v>
      </x:c>
      <x:c r="I67" s="15" t="str">
        <x:v>case:2016 ewca civ 1003</x:v>
      </x:c>
      <x:c r="J67" s="15" t="str">
        <x:v>Great Lakes Reinsurance (UK) SE v Western Trading Ltd</x:v>
      </x:c>
      <x:c r="K67" s="15" t="str">
        <x:v>[2016] EWCA Civ 1003</x:v>
      </x:c>
      <x:c r="L67" s="15" t="str">
        <x:v>e050e594-d197-45f1-ba15-7d110c0d93c4</x:v>
      </x:c>
      <x:c r="M67" s="15" t="str"/>
      <x:c r="N67" s="15" t="str">
        <x:v>reasoningStructure[0].sourceCases[0]</x:v>
      </x:c>
      <x:c r="O67" s="15" t="str">
        <x:v>structured_json</x:v>
      </x:c>
      <x:c r="P67" s="15" t="str"/>
      <x:c r="Q67" s="15" t="str">
        <x:v>applied_differently</x:v>
      </x:c>
      <x:c r="R67" s="15" t="str">
        <x:v>Provides precedent for material non-disclosure in insurance claims.</x:v>
      </x:c>
      <x:c r="S67" s="15" t="str"/>
    </x:row>
    <x:row r="68">
      <x:c r="A68" s="1" t="str">
        <x:v>O0067</x:v>
      </x:c>
      <x:c r="B68" s="1" t="str">
        <x:v>cmm0bebet000404jvmcxyqo4x</x:v>
      </x:c>
      <x:c r="C68" s="1" t="str">
        <x:v>cmm0b5xup000504ibqdrxvam6</x:v>
      </x:c>
      <x:c r="D68" s="1" t="str">
        <x:v>skeleton-args-ca2016009836-d5eefd60a70a11d6</x:v>
      </x:c>
      <x:c r="E68" s="1" t="str">
        <x:v>synthetic</x:v>
      </x:c>
      <x:c r="F68" s="15" t="str">
        <x:v>Beacon Manufacturing Ltd v Alliance Insurance Plc</x:v>
      </x:c>
      <x:c r="G68" s="16" t="n">
        <x:v>46077.33293114584</x:v>
      </x:c>
      <x:c r="H68" s="15" t="str">
        <x:v>case</x:v>
      </x:c>
      <x:c r="I68" s="15" t="str">
        <x:v>case:2016 uksc 45</x:v>
      </x:c>
      <x:c r="J68" s="15" t="str">
        <x:v>Versloot Dredging BV v HDI Gerling Industrie Versicherung AG</x:v>
      </x:c>
      <x:c r="K68" s="15" t="str">
        <x:v>[2016] UKSC 45</x:v>
      </x:c>
      <x:c r="L68" s="15" t="str">
        <x:v>426ca317-9dae-45bd-99cb-deb7de4b7766</x:v>
      </x:c>
      <x:c r="M68" s="15" t="str"/>
      <x:c r="N68" s="15" t="str">
        <x:v>reasoningStructure[1].sourceCases[0]</x:v>
      </x:c>
      <x:c r="O68" s="15" t="str">
        <x:v>structured_json</x:v>
      </x:c>
      <x:c r="P68" s="15" t="str"/>
      <x:c r="Q68" s="15" t="str">
        <x:v>distinguished</x:v>
      </x:c>
      <x:c r="R68" s="15" t="str">
        <x:v>Illustrates how breach of warranties can impact insurance claims.</x:v>
      </x:c>
      <x:c r="S68" s="15" t="str"/>
    </x:row>
    <x:row r="69">
      <x:c r="A69" s="1" t="str">
        <x:v>O0068</x:v>
      </x:c>
      <x:c r="B69" s="1" t="str">
        <x:v>cmm0bebet000404jvmcxyqo4x</x:v>
      </x:c>
      <x:c r="C69" s="1" t="str">
        <x:v>cmm0b5xup000504ibqdrxvam6</x:v>
      </x:c>
      <x:c r="D69" s="1" t="str">
        <x:v>skeleton-args-ca2016009836-d5eefd60a70a11d6</x:v>
      </x:c>
      <x:c r="E69" s="1" t="str">
        <x:v>synthetic</x:v>
      </x:c>
      <x:c r="F69" s="15" t="str">
        <x:v>Beacon Manufacturing Ltd v Alliance Insurance Plc</x:v>
      </x:c>
      <x:c r="G69" s="16" t="n">
        <x:v>46077.33293114584</x:v>
      </x:c>
      <x:c r="H69" s="15" t="str">
        <x:v>case</x:v>
      </x:c>
      <x:c r="I69" s="15" t="str">
        <x:v>case:2016 ewca civ 1003</x:v>
      </x:c>
      <x:c r="J69" s="15" t="str">
        <x:v>Great Lakes Reinsurance (UK) SE v Western Trading Ltd</x:v>
      </x:c>
      <x:c r="K69" s="15" t="str">
        <x:v>[2016] EWCA Civ 1003</x:v>
      </x:c>
      <x:c r="L69" s="15" t="str">
        <x:v>e050e594-d197-45f1-ba15-7d110c0d93c4</x:v>
      </x:c>
      <x:c r="M69" s="15" t="str"/>
      <x:c r="N69" s="15" t="str">
        <x:v>issuesForDetermination.issueMatrix[0].sourceCases[0]</x:v>
      </x:c>
      <x:c r="O69" s="15" t="str">
        <x:v>structured_json</x:v>
      </x:c>
      <x:c r="P69" s="15" t="str"/>
      <x:c r="Q69" s="15" t="str">
        <x:v>applied_differently</x:v>
      </x:c>
      <x:c r="R69" s="15" t="str">
        <x:v>Addresses material non-disclosure issues relevant to insurance claims.</x:v>
      </x:c>
      <x:c r="S69" s="15" t="str"/>
    </x:row>
    <x:row r="70">
      <x:c r="A70" s="1" t="str">
        <x:v>O0069</x:v>
      </x:c>
      <x:c r="B70" s="1" t="str">
        <x:v>cmm0bebet000404jvmcxyqo4x</x:v>
      </x:c>
      <x:c r="C70" s="1" t="str">
        <x:v>cmm0b5xup000504ibqdrxvam6</x:v>
      </x:c>
      <x:c r="D70" s="1" t="str">
        <x:v>skeleton-args-ca2016009836-d5eefd60a70a11d6</x:v>
      </x:c>
      <x:c r="E70" s="1" t="str">
        <x:v>synthetic</x:v>
      </x:c>
      <x:c r="F70" s="15" t="str">
        <x:v>Beacon Manufacturing Ltd v Alliance Insurance Plc</x:v>
      </x:c>
      <x:c r="G70" s="16" t="n">
        <x:v>46077.33293114584</x:v>
      </x:c>
      <x:c r="H70" s="15" t="str">
        <x:v>case</x:v>
      </x:c>
      <x:c r="I70" s="15" t="str">
        <x:v>case:2016 uksc 45</x:v>
      </x:c>
      <x:c r="J70" s="15" t="str">
        <x:v>Versloot Dredging BV v HDI Gerling Industrie Versicherung AG</x:v>
      </x:c>
      <x:c r="K70" s="15" t="str">
        <x:v>[2016] UKSC 45</x:v>
      </x:c>
      <x:c r="L70" s="15" t="str">
        <x:v>426ca317-9dae-45bd-99cb-deb7de4b7766</x:v>
      </x:c>
      <x:c r="M70" s="15" t="str"/>
      <x:c r="N70" s="15" t="str">
        <x:v>issuesForDetermination.issueMatrix[1].sourceCases[0]</x:v>
      </x:c>
      <x:c r="O70" s="15" t="str">
        <x:v>structured_json</x:v>
      </x:c>
      <x:c r="P70" s="15" t="str"/>
      <x:c r="Q70" s="15" t="str">
        <x:v>distinguished</x:v>
      </x:c>
      <x:c r="R70" s="15" t="str">
        <x:v>Key case regarding the implications of warranty breaches in insurance contracts.</x:v>
      </x:c>
      <x:c r="S70" s="15" t="str"/>
    </x:row>
    <x:row r="71">
      <x:c r="A71" s="1" t="str">
        <x:v>O0070</x:v>
      </x:c>
      <x:c r="B71" s="1" t="str">
        <x:v>cmm0ckscr000t04i312fc6edg</x:v>
      </x:c>
      <x:c r="C71" s="1" t="str">
        <x:v>cmlzojkzd000204l5u8akkk6q</x:v>
      </x:c>
      <x:c r="D71" s="1" t="str">
        <x:v>skeleton-args-ca2018006090-aa90566cb5f6b5de</x:v>
      </x:c>
      <x:c r="E71" s="1" t="str">
        <x:v>synthetic</x:v>
      </x:c>
      <x:c r="F71" s="15" t="str">
        <x:v>Blackwood v Blackwood</x:v>
      </x:c>
      <x:c r="G71" s="16" t="n">
        <x:v>46077.355865300924</x:v>
      </x:c>
      <x:c r="H71" s="15" t="str">
        <x:v>case</x:v>
      </x:c>
      <x:c r="I71" s="15" t="str">
        <x:v>case:armitage v nurse 1998 ch 241</x:v>
      </x:c>
      <x:c r="J71" s="15" t="str">
        <x:v>Armitage v Nurse [1998] Ch 241</x:v>
      </x:c>
      <x:c r="K71" s="15" t="str">
        <x:v>Armitage v Nurse [1998] Ch 241</x:v>
      </x:c>
      <x:c r="L71" s="15" t="str"/>
      <x:c r="M71" s="15" t="str"/>
      <x:c r="N71" s="15" t="str">
        <x:v>legalFramework.precedentCitations[0]</x:v>
      </x:c>
      <x:c r="O71" s="15" t="str">
        <x:v>structured_json</x:v>
      </x:c>
      <x:c r="P71" s="15" t="str">
        <x:v>binding</x:v>
      </x:c>
      <x:c r="Q71" s="15" t="str"/>
      <x:c r="R71" s="15" t="str">
        <x:v>Establishes that a trustee must comply with fiduciary obligations.</x:v>
      </x:c>
      <x:c r="S71" s="15" t="str"/>
    </x:row>
    <x:row r="72">
      <x:c r="A72" s="1" t="str">
        <x:v>O0071</x:v>
      </x:c>
      <x:c r="B72" s="1" t="str">
        <x:v>cmm0ckscr000t04i312fc6edg</x:v>
      </x:c>
      <x:c r="C72" s="1" t="str">
        <x:v>cmlzojkzd000204l5u8akkk6q</x:v>
      </x:c>
      <x:c r="D72" s="1" t="str">
        <x:v>skeleton-args-ca2018006090-aa90566cb5f6b5de</x:v>
      </x:c>
      <x:c r="E72" s="1" t="str">
        <x:v>synthetic</x:v>
      </x:c>
      <x:c r="F72" s="15" t="str">
        <x:v>Blackwood v Blackwood</x:v>
      </x:c>
      <x:c r="G72" s="16" t="n">
        <x:v>46077.355865300924</x:v>
      </x:c>
      <x:c r="H72" s="15" t="str">
        <x:v>case</x:v>
      </x:c>
      <x:c r="I72" s="15" t="str">
        <x:v>case:2011 ukpc 13</x:v>
      </x:c>
      <x:c r="J72" s="15" t="str">
        <x:v>Spread Trustee Co Ltd v Hutcheson [2011] UKPC 13</x:v>
      </x:c>
      <x:c r="K72" s="15" t="str">
        <x:v>Spread Trustee Co Ltd v Hutcheson [2011] UKPC 13</x:v>
      </x:c>
      <x:c r="L72" s="15" t="str"/>
      <x:c r="M72" s="15" t="str"/>
      <x:c r="N72" s="15" t="str">
        <x:v>legalFramework.precedentCitations[1]</x:v>
      </x:c>
      <x:c r="O72" s="15" t="str">
        <x:v>structured_json</x:v>
      </x:c>
      <x:c r="P72" s="15" t="str">
        <x:v>binding</x:v>
      </x:c>
      <x:c r="Q72" s="15" t="str"/>
      <x:c r="R72" s="15" t="str">
        <x:v>Reiterates the necessity of diligent investment by trustees.</x:v>
      </x:c>
      <x:c r="S72" s="15" t="str"/>
    </x:row>
    <x:row r="73">
      <x:c r="A73" s="1" t="str">
        <x:v>O0072</x:v>
      </x:c>
      <x:c r="B73" s="1" t="str">
        <x:v>cmm0ckscr000t04i312fc6edg</x:v>
      </x:c>
      <x:c r="C73" s="1" t="str">
        <x:v>cmlzojkzd000204l5u8akkk6q</x:v>
      </x:c>
      <x:c r="D73" s="1" t="str">
        <x:v>skeleton-args-ca2018006090-aa90566cb5f6b5de</x:v>
      </x:c>
      <x:c r="E73" s="1" t="str">
        <x:v>synthetic</x:v>
      </x:c>
      <x:c r="F73" s="15" t="str">
        <x:v>Blackwood v Blackwood</x:v>
      </x:c>
      <x:c r="G73" s="16" t="n">
        <x:v>46077.355865300924</x:v>
      </x:c>
      <x:c r="H73" s="15" t="str">
        <x:v>legislation</x:v>
      </x:c>
      <x:c r="I73" s="15" t="str">
        <x:v>legislation:trustee act 1925 s 31</x:v>
      </x:c>
      <x:c r="J73" s="15" t="str">
        <x:v>Trustee Act 1925</x:v>
      </x:c>
      <x:c r="K73" s="15" t="str">
        <x:v>Trustee Act 1925 section 31</x:v>
      </x:c>
      <x:c r="L73" s="15" t="str"/>
      <x:c r="M73" s="15" t="str">
        <x:v>section 31</x:v>
      </x:c>
      <x:c r="N73" s="15" t="str">
        <x:v>legalFramework.statutoryProvisions[0]</x:v>
      </x:c>
      <x:c r="O73" s="15" t="str">
        <x:v>structured_json</x:v>
      </x:c>
      <x:c r="P73" s="15" t="str"/>
      <x:c r="Q73" s="15" t="str"/>
      <x:c r="R73" s="15" t="str">
        <x:v>Establishes duties pertaining to fiduciary conduct and self-dealing.</x:v>
      </x:c>
      <x:c r="S73" s="15" t="str">
        <x:v>N/A</x:v>
      </x:c>
    </x:row>
    <x:row r="74">
      <x:c r="A74" s="1" t="str">
        <x:v>O0073</x:v>
      </x:c>
      <x:c r="B74" s="1" t="str">
        <x:v>cmm0ckscr000t04i312fc6edg</x:v>
      </x:c>
      <x:c r="C74" s="1" t="str">
        <x:v>cmlzojkzd000204l5u8akkk6q</x:v>
      </x:c>
      <x:c r="D74" s="1" t="str">
        <x:v>skeleton-args-ca2018006090-aa90566cb5f6b5de</x:v>
      </x:c>
      <x:c r="E74" s="1" t="str">
        <x:v>synthetic</x:v>
      </x:c>
      <x:c r="F74" s="15" t="str">
        <x:v>Blackwood v Blackwood</x:v>
      </x:c>
      <x:c r="G74" s="16" t="n">
        <x:v>46077.355865300924</x:v>
      </x:c>
      <x:c r="H74" s="15" t="str">
        <x:v>legislation</x:v>
      </x:c>
      <x:c r="I74" s="15" t="str">
        <x:v>legislation:trustee act 2000 s 3</x:v>
      </x:c>
      <x:c r="J74" s="15" t="str">
        <x:v>Trustee Act 2000</x:v>
      </x:c>
      <x:c r="K74" s="15" t="str">
        <x:v>Trustee Act 2000 section 3</x:v>
      </x:c>
      <x:c r="L74" s="15" t="str"/>
      <x:c r="M74" s="15" t="str">
        <x:v>section 3</x:v>
      </x:c>
      <x:c r="N74" s="15" t="str">
        <x:v>legalFramework.statutoryProvisions[1]</x:v>
      </x:c>
      <x:c r="O74" s="15" t="str">
        <x:v>structured_json</x:v>
      </x:c>
      <x:c r="P74" s="15" t="str"/>
      <x:c r="Q74" s="15" t="str"/>
      <x:c r="R74" s="15" t="str">
        <x:v>Addresses standard of care expected in investment decisions.</x:v>
      </x:c>
      <x:c r="S74" s="15" t="str">
        <x:v>N/A</x:v>
      </x:c>
    </x:row>
    <x:row r="75">
      <x:c r="A75" s="1" t="str">
        <x:v>O0074</x:v>
      </x:c>
      <x:c r="B75" s="1" t="str">
        <x:v>cmm0ckscr000t04i312fc6edg</x:v>
      </x:c>
      <x:c r="C75" s="1" t="str">
        <x:v>cmlzojkzd000204l5u8akkk6q</x:v>
      </x:c>
      <x:c r="D75" s="1" t="str">
        <x:v>skeleton-args-ca2018006090-aa90566cb5f6b5de</x:v>
      </x:c>
      <x:c r="E75" s="1" t="str">
        <x:v>synthetic</x:v>
      </x:c>
      <x:c r="F75" s="15" t="str">
        <x:v>Blackwood v Blackwood</x:v>
      </x:c>
      <x:c r="G75" s="16" t="n">
        <x:v>46077.355865300924</x:v>
      </x:c>
      <x:c r="H75" s="15" t="str">
        <x:v>legislation</x:v>
      </x:c>
      <x:c r="I75" s="15" t="str">
        <x:v>legislation:senior courts act 1981 s 35a</x:v>
      </x:c>
      <x:c r="J75" s="15" t="str">
        <x:v>Senior Courts Act 1981, s. 35A</x:v>
      </x:c>
      <x:c r="K75" s="15" t="str">
        <x:v>Senior Courts Act 1981, s. 35A</x:v>
      </x:c>
      <x:c r="L75" s="15" t="str"/>
      <x:c r="M75" s="15" t="str"/>
      <x:c r="N75" s="15" t="str">
        <x:v>decisionAndDisposition.interest.statutoryBasis</x:v>
      </x:c>
      <x:c r="O75" s="15" t="str">
        <x:v>structured_json</x:v>
      </x:c>
      <x:c r="P75" s="15" t="str"/>
      <x:c r="Q75" s="15" t="str"/>
      <x:c r="R75" s="15" t="str"/>
      <x:c r="S75" s="15" t="str"/>
    </x:row>
    <x:row r="76">
      <x:c r="A76" s="1" t="str">
        <x:v>O0075</x:v>
      </x:c>
      <x:c r="B76" s="1" t="str">
        <x:v>cmm0ckscr000t04i312fc6edg</x:v>
      </x:c>
      <x:c r="C76" s="1" t="str">
        <x:v>cmlzojkzd000204l5u8akkk6q</x:v>
      </x:c>
      <x:c r="D76" s="1" t="str">
        <x:v>skeleton-args-ca2018006090-aa90566cb5f6b5de</x:v>
      </x:c>
      <x:c r="E76" s="1" t="str">
        <x:v>synthetic</x:v>
      </x:c>
      <x:c r="F76" s="15" t="str">
        <x:v>Blackwood v Blackwood</x:v>
      </x:c>
      <x:c r="G76" s="16" t="n">
        <x:v>46077.355865300924</x:v>
      </x:c>
      <x:c r="H76" s="15" t="str">
        <x:v>legislation</x:v>
      </x:c>
      <x:c r="I76" s="15" t="str">
        <x:v>legislation:trustee act 1925</x:v>
      </x:c>
      <x:c r="J76" s="15" t="str">
        <x:v>Trustee Act 1925</x:v>
      </x:c>
      <x:c r="K76" s="15" t="str">
        <x:v>Trustee Act 1925</x:v>
      </x:c>
      <x:c r="L76" s="15" t="str"/>
      <x:c r="M76" s="15" t="str"/>
      <x:c r="N76" s="15" t="str">
        <x:v>legalFramework.legalTestSummaries[0].sourceAuthority</x:v>
      </x:c>
      <x:c r="O76" s="15" t="str">
        <x:v>structured_json</x:v>
      </x:c>
      <x:c r="P76" s="15" t="str"/>
      <x:c r="Q76" s="15" t="str"/>
      <x:c r="R76" s="15" t="str"/>
      <x:c r="S76" s="15" t="str"/>
    </x:row>
    <x:row r="77">
      <x:c r="A77" s="1" t="str">
        <x:v>O0076</x:v>
      </x:c>
      <x:c r="B77" s="1" t="str">
        <x:v>cmm0ckscr000t04i312fc6edg</x:v>
      </x:c>
      <x:c r="C77" s="1" t="str">
        <x:v>cmlzojkzd000204l5u8akkk6q</x:v>
      </x:c>
      <x:c r="D77" s="1" t="str">
        <x:v>skeleton-args-ca2018006090-aa90566cb5f6b5de</x:v>
      </x:c>
      <x:c r="E77" s="1" t="str">
        <x:v>synthetic</x:v>
      </x:c>
      <x:c r="F77" s="15" t="str">
        <x:v>Blackwood v Blackwood</x:v>
      </x:c>
      <x:c r="G77" s="16" t="n">
        <x:v>46077.355865300924</x:v>
      </x:c>
      <x:c r="H77" s="15" t="str">
        <x:v>legislation</x:v>
      </x:c>
      <x:c r="I77" s="15" t="str">
        <x:v>legislation:trustee act 2000</x:v>
      </x:c>
      <x:c r="J77" s="15" t="str">
        <x:v>Trustee Act 2000</x:v>
      </x:c>
      <x:c r="K77" s="15" t="str">
        <x:v>Trustee Act 2000</x:v>
      </x:c>
      <x:c r="L77" s="15" t="str"/>
      <x:c r="M77" s="15" t="str"/>
      <x:c r="N77" s="15" t="str">
        <x:v>legalFramework.legalTestSummaries[1].sourceAuthority</x:v>
      </x:c>
      <x:c r="O77" s="15" t="str">
        <x:v>structured_json</x:v>
      </x:c>
      <x:c r="P77" s="15" t="str"/>
      <x:c r="Q77" s="15" t="str"/>
      <x:c r="R77" s="15" t="str"/>
      <x:c r="S77" s="15" t="str"/>
    </x:row>
    <x:row r="78">
      <x:c r="A78" s="1" t="str">
        <x:v>O0077</x:v>
      </x:c>
      <x:c r="B78" s="1" t="str">
        <x:v>cmm0ckscr000t04i312fc6edg</x:v>
      </x:c>
      <x:c r="C78" s="1" t="str">
        <x:v>cmlzojkzd000204l5u8akkk6q</x:v>
      </x:c>
      <x:c r="D78" s="1" t="str">
        <x:v>skeleton-args-ca2018006090-aa90566cb5f6b5de</x:v>
      </x:c>
      <x:c r="E78" s="1" t="str">
        <x:v>synthetic</x:v>
      </x:c>
      <x:c r="F78" s="15" t="str">
        <x:v>Blackwood v Blackwood</x:v>
      </x:c>
      <x:c r="G78" s="16" t="n">
        <x:v>46077.355865300924</x:v>
      </x:c>
      <x:c r="H78" s="15" t="str">
        <x:v>case</x:v>
      </x:c>
      <x:c r="I78" s="15" t="str">
        <x:v>case:2016 ewca civ 1004</x:v>
      </x:c>
      <x:c r="J78" s="15" t="str">
        <x:v>Creggy v Barnett &amp; Anor</x:v>
      </x:c>
      <x:c r="K78" s="15" t="str">
        <x:v>[2016] EWCA Civ 1004</x:v>
      </x:c>
      <x:c r="L78" s="15" t="str">
        <x:v>4f894b7c-50f6-46f4-b08a-7d5f549411bb</x:v>
      </x:c>
      <x:c r="M78" s="15" t="str"/>
      <x:c r="N78" s="15" t="str">
        <x:v>legalFramework.statutoryProvisions[0].sourceCases[0]</x:v>
      </x:c>
      <x:c r="O78" s="15" t="str">
        <x:v>structured_json</x:v>
      </x:c>
      <x:c r="P78" s="15" t="str"/>
      <x:c r="Q78" s="15" t="str"/>
      <x:c r="R78" s="15" t="str">
        <x:v>Illustrates the application of the Trustee Act concerning self-dealing and fiduciary duties.</x:v>
      </x:c>
      <x:c r="S78" s="15" t="str"/>
    </x:row>
    <x:row r="79">
      <x:c r="A79" s="1" t="str">
        <x:v>O0078</x:v>
      </x:c>
      <x:c r="B79" s="1" t="str">
        <x:v>cmm0ckscr000t04i312fc6edg</x:v>
      </x:c>
      <x:c r="C79" s="1" t="str">
        <x:v>cmlzojkzd000204l5u8akkk6q</x:v>
      </x:c>
      <x:c r="D79" s="1" t="str">
        <x:v>skeleton-args-ca2018006090-aa90566cb5f6b5de</x:v>
      </x:c>
      <x:c r="E79" s="1" t="str">
        <x:v>synthetic</x:v>
      </x:c>
      <x:c r="F79" s="15" t="str">
        <x:v>Blackwood v Blackwood</x:v>
      </x:c>
      <x:c r="G79" s="16" t="n">
        <x:v>46077.355865300924</x:v>
      </x:c>
      <x:c r="H79" s="15" t="str">
        <x:v>case</x:v>
      </x:c>
      <x:c r="I79" s="15" t="str">
        <x:v>case:2016 ewca civ 1004</x:v>
      </x:c>
      <x:c r="J79" s="15" t="str">
        <x:v>Creggy v Barnett &amp; Anor</x:v>
      </x:c>
      <x:c r="K79" s="15" t="str">
        <x:v>[2016] EWCA Civ 1004</x:v>
      </x:c>
      <x:c r="L79" s="15" t="str">
        <x:v>4f894b7c-50f6-46f4-b08a-7d5f549411bb</x:v>
      </x:c>
      <x:c r="M79" s="15" t="str"/>
      <x:c r="N79" s="15" t="str">
        <x:v>factualFindings.chronology[1].sourceCases[0]</x:v>
      </x:c>
      <x:c r="O79" s="15" t="str">
        <x:v>structured_json</x:v>
      </x:c>
      <x:c r="P79" s="15" t="str"/>
      <x:c r="Q79" s="15" t="str"/>
      <x:c r="R79" s="15" t="str">
        <x:v>Demonstrates similar issues related to self-dealing under fiduciary law.</x:v>
      </x:c>
      <x:c r="S79" s="15" t="str"/>
    </x:row>
    <x:row r="80">
      <x:c r="A80" s="1" t="str">
        <x:v>O0079</x:v>
      </x:c>
      <x:c r="B80" s="1" t="str">
        <x:v>cmm0ckscr000t04i312fc6edg</x:v>
      </x:c>
      <x:c r="C80" s="1" t="str">
        <x:v>cmlzojkzd000204l5u8akkk6q</x:v>
      </x:c>
      <x:c r="D80" s="1" t="str">
        <x:v>skeleton-args-ca2018006090-aa90566cb5f6b5de</x:v>
      </x:c>
      <x:c r="E80" s="1" t="str">
        <x:v>synthetic</x:v>
      </x:c>
      <x:c r="F80" s="15" t="str">
        <x:v>Blackwood v Blackwood</x:v>
      </x:c>
      <x:c r="G80" s="16" t="n">
        <x:v>46077.355865300924</x:v>
      </x:c>
      <x:c r="H80" s="15" t="str">
        <x:v>case</x:v>
      </x:c>
      <x:c r="I80" s="15" t="str">
        <x:v>case:2016 ewca civ 1004</x:v>
      </x:c>
      <x:c r="J80" s="15" t="str">
        <x:v>Creggy v Barnett &amp; Anor</x:v>
      </x:c>
      <x:c r="K80" s="15" t="str">
        <x:v>[2016] EWCA Civ 1004</x:v>
      </x:c>
      <x:c r="L80" s="15" t="str">
        <x:v>4f894b7c-50f6-46f4-b08a-7d5f549411bb</x:v>
      </x:c>
      <x:c r="M80" s="15" t="str"/>
      <x:c r="N80" s="15" t="str">
        <x:v>factualFindings.contestedFacts[0].sourceCases[0]</x:v>
      </x:c>
      <x:c r="O80" s="15" t="str">
        <x:v>structured_json</x:v>
      </x:c>
      <x:c r="P80" s="15" t="str"/>
      <x:c r="Q80" s="15" t="str"/>
      <x:c r="R80" s="15" t="str">
        <x:v>This case involves allegations of self-dealing and fiduciary responsibilities similar to those in Blackwood v Blackwood.</x:v>
      </x:c>
      <x:c r="S80" s="15" t="str"/>
    </x:row>
    <x:row r="81">
      <x:c r="A81" s="1" t="str">
        <x:v>O0080</x:v>
      </x:c>
      <x:c r="B81" s="1" t="str">
        <x:v>cmm0ckscr000t04i312fc6edg</x:v>
      </x:c>
      <x:c r="C81" s="1" t="str">
        <x:v>cmlzojkzd000204l5u8akkk6q</x:v>
      </x:c>
      <x:c r="D81" s="1" t="str">
        <x:v>skeleton-args-ca2018006090-aa90566cb5f6b5de</x:v>
      </x:c>
      <x:c r="E81" s="1" t="str">
        <x:v>synthetic</x:v>
      </x:c>
      <x:c r="F81" s="15" t="str">
        <x:v>Blackwood v Blackwood</x:v>
      </x:c>
      <x:c r="G81" s="16" t="n">
        <x:v>46077.355865300924</x:v>
      </x:c>
      <x:c r="H81" s="15" t="str">
        <x:v>case</x:v>
      </x:c>
      <x:c r="I81" s="15" t="str">
        <x:v>case:2016 ewca civ 1004</x:v>
      </x:c>
      <x:c r="J81" s="15" t="str">
        <x:v>Creggy v Barnett &amp; Anor</x:v>
      </x:c>
      <x:c r="K81" s="15" t="str">
        <x:v>[2016] EWCA Civ 1004</x:v>
      </x:c>
      <x:c r="L81" s="15" t="str">
        <x:v>4f894b7c-50f6-46f4-b08a-7d5f549411bb</x:v>
      </x:c>
      <x:c r="M81" s="15" t="str"/>
      <x:c r="N81" s="15" t="str">
        <x:v>reasoningStructure[0].sourceCases[0]</x:v>
      </x:c>
      <x:c r="O81" s="15" t="str">
        <x:v>structured_json</x:v>
      </x:c>
      <x:c r="P81" s="15" t="str"/>
      <x:c r="Q81" s="15" t="str"/>
      <x:c r="R81" s="15" t="str">
        <x:v>The principles outlined mirror the self-dealing allegations present.</x:v>
      </x:c>
      <x:c r="S81" s="15" t="str"/>
    </x:row>
    <x:row r="82">
      <x:c r="A82" s="1" t="str">
        <x:v>O0081</x:v>
      </x:c>
      <x:c r="B82" s="1" t="str">
        <x:v>cmm0ckscr000t04i312fc6edg</x:v>
      </x:c>
      <x:c r="C82" s="1" t="str">
        <x:v>cmlzojkzd000204l5u8akkk6q</x:v>
      </x:c>
      <x:c r="D82" s="1" t="str">
        <x:v>skeleton-args-ca2018006090-aa90566cb5f6b5de</x:v>
      </x:c>
      <x:c r="E82" s="1" t="str">
        <x:v>synthetic</x:v>
      </x:c>
      <x:c r="F82" s="15" t="str">
        <x:v>Blackwood v Blackwood</x:v>
      </x:c>
      <x:c r="G82" s="16" t="n">
        <x:v>46077.355865300924</x:v>
      </x:c>
      <x:c r="H82" s="15" t="str">
        <x:v>case</x:v>
      </x:c>
      <x:c r="I82" s="15" t="str">
        <x:v>case:2014 ewca civ 183</x:v>
      </x:c>
      <x:c r="J82" s="15" t="str">
        <x:v>Santander UK Plc v R.A. Legal Solicitors</x:v>
      </x:c>
      <x:c r="K82" s="15" t="str">
        <x:v>[2014] EWCA Civ 183</x:v>
      </x:c>
      <x:c r="L82" s="15" t="str">
        <x:v>af98350e-e553-4a58-8a45-9d7b2067b530</x:v>
      </x:c>
      <x:c r="M82" s="15" t="str"/>
      <x:c r="N82" s="15" t="str">
        <x:v>reasoningStructure[2].sourceCases[0]</x:v>
      </x:c>
      <x:c r="O82" s="15" t="str">
        <x:v>structured_json</x:v>
      </x:c>
      <x:c r="P82" s="15" t="str"/>
      <x:c r="Q82" s="15" t="str"/>
      <x:c r="R82" s="15" t="str">
        <x:v>Highlights the importance of management responsibility aligned with performed duties.</x:v>
      </x:c>
      <x:c r="S82" s="15" t="str"/>
    </x:row>
    <x:row r="83">
      <x:c r="A83" s="1" t="str">
        <x:v>O0082</x:v>
      </x:c>
      <x:c r="B83" s="1" t="str">
        <x:v>cmm0ckscr000t04i312fc6edg</x:v>
      </x:c>
      <x:c r="C83" s="1" t="str">
        <x:v>cmlzojkzd000204l5u8akkk6q</x:v>
      </x:c>
      <x:c r="D83" s="1" t="str">
        <x:v>skeleton-args-ca2018006090-aa90566cb5f6b5de</x:v>
      </x:c>
      <x:c r="E83" s="1" t="str">
        <x:v>synthetic</x:v>
      </x:c>
      <x:c r="F83" s="15" t="str">
        <x:v>Blackwood v Blackwood</x:v>
      </x:c>
      <x:c r="G83" s="16" t="n">
        <x:v>46077.355865300924</x:v>
      </x:c>
      <x:c r="H83" s="15" t="str">
        <x:v>case</x:v>
      </x:c>
      <x:c r="I83" s="15" t="str">
        <x:v>case:2016 ewca civ 1004</x:v>
      </x:c>
      <x:c r="J83" s="15" t="str">
        <x:v>Creggy v Barnett &amp; Anor</x:v>
      </x:c>
      <x:c r="K83" s="15" t="str">
        <x:v>[2016] EWCA Civ 1004</x:v>
      </x:c>
      <x:c r="L83" s="15" t="str">
        <x:v>4f894b7c-50f6-46f4-b08a-7d5f549411bb</x:v>
      </x:c>
      <x:c r="M83" s="15" t="str"/>
      <x:c r="N83" s="15" t="str">
        <x:v>issuesForDetermination.issueMatrix[0].sourceCases[0]</x:v>
      </x:c>
      <x:c r="O83" s="15" t="str">
        <x:v>structured_json</x:v>
      </x:c>
      <x:c r="P83" s="15" t="str"/>
      <x:c r="Q83" s="15" t="str"/>
      <x:c r="R83" s="15" t="str">
        <x:v>Creggy demonstrates relevant principles regarding self-dealing breaches in trust contexts.</x:v>
      </x:c>
      <x:c r="S83" s="15" t="str"/>
    </x:row>
    <x:row r="84">
      <x:c r="A84" s="1" t="str">
        <x:v>O0083</x:v>
      </x:c>
      <x:c r="B84" s="1" t="str">
        <x:v>cmm0ct5sl001504i3x6g18pvd</x:v>
      </x:c>
      <x:c r="C84" s="1" t="str">
        <x:v>cmlzojkzd000204l5u8akkk6q</x:v>
      </x:c>
      <x:c r="D84" s="1" t="str">
        <x:v>skeleton-args-ca2018006090-aa90566cb5f6b5de</x:v>
      </x:c>
      <x:c r="E84" s="1" t="str">
        <x:v>synthetic</x:v>
      </x:c>
      <x:c r="F84" s="15" t="str">
        <x:v>Blackwood v Blackwood</x:v>
      </x:c>
      <x:c r="G84" s="16" t="n">
        <x:v>46077.36038689815</x:v>
      </x:c>
      <x:c r="H84" s="15" t="str">
        <x:v>case</x:v>
      </x:c>
      <x:c r="I84" s="15" t="str">
        <x:v>case:armitage v nurse 1998 ch 241</x:v>
      </x:c>
      <x:c r="J84" s="15" t="str">
        <x:v>Armitage v Nurse [1998] Ch 241</x:v>
      </x:c>
      <x:c r="K84" s="15" t="str">
        <x:v>Armitage v Nurse [1998] Ch 241</x:v>
      </x:c>
      <x:c r="L84" s="15" t="str"/>
      <x:c r="M84" s="15" t="str"/>
      <x:c r="N84" s="15" t="str">
        <x:v>legalFramework.precedentCitations[0]</x:v>
      </x:c>
      <x:c r="O84" s="15" t="str">
        <x:v>structured_json</x:v>
      </x:c>
      <x:c r="P84" s="15" t="str">
        <x:v>binding</x:v>
      </x:c>
      <x:c r="Q84" s="15" t="str"/>
      <x:c r="R84" s="15" t="str">
        <x:v>Trustees must act in the best interest of beneficiaries, avoiding conflicts of interest.</x:v>
      </x:c>
      <x:c r="S84" s="15" t="str"/>
    </x:row>
    <x:row r="85">
      <x:c r="A85" s="1" t="str">
        <x:v>O0084</x:v>
      </x:c>
      <x:c r="B85" s="1" t="str">
        <x:v>cmm0ct5sl001504i3x6g18pvd</x:v>
      </x:c>
      <x:c r="C85" s="1" t="str">
        <x:v>cmlzojkzd000204l5u8akkk6q</x:v>
      </x:c>
      <x:c r="D85" s="1" t="str">
        <x:v>skeleton-args-ca2018006090-aa90566cb5f6b5de</x:v>
      </x:c>
      <x:c r="E85" s="1" t="str">
        <x:v>synthetic</x:v>
      </x:c>
      <x:c r="F85" s="15" t="str">
        <x:v>Blackwood v Blackwood</x:v>
      </x:c>
      <x:c r="G85" s="16" t="n">
        <x:v>46077.36038689815</x:v>
      </x:c>
      <x:c r="H85" s="15" t="str">
        <x:v>case</x:v>
      </x:c>
      <x:c r="I85" s="15" t="str">
        <x:v>case:2011 ukpc 13</x:v>
      </x:c>
      <x:c r="J85" s="15" t="str">
        <x:v>Spread Trustee Co Ltd v Hutcheson [2011] UKPC 13</x:v>
      </x:c>
      <x:c r="K85" s="15" t="str">
        <x:v>Spread Trustee Co Ltd v Hutcheson [2011] UKPC 13</x:v>
      </x:c>
      <x:c r="L85" s="15" t="str"/>
      <x:c r="M85" s="15" t="str"/>
      <x:c r="N85" s="15" t="str">
        <x:v>legalFramework.precedentCitations[1]</x:v>
      </x:c>
      <x:c r="O85" s="15" t="str">
        <x:v>structured_json</x:v>
      </x:c>
      <x:c r="P85" s="15" t="str">
        <x:v>binding</x:v>
      </x:c>
      <x:c r="Q85" s="15" t="str"/>
      <x:c r="R85" s="15" t="str">
        <x:v>Establishes clear guidelines regarding the duties and liabilities of trustees.</x:v>
      </x:c>
      <x:c r="S85" s="15" t="str"/>
    </x:row>
    <x:row r="86">
      <x:c r="A86" s="1" t="str">
        <x:v>O0085</x:v>
      </x:c>
      <x:c r="B86" s="1" t="str">
        <x:v>cmm0ct5sl001504i3x6g18pvd</x:v>
      </x:c>
      <x:c r="C86" s="1" t="str">
        <x:v>cmlzojkzd000204l5u8akkk6q</x:v>
      </x:c>
      <x:c r="D86" s="1" t="str">
        <x:v>skeleton-args-ca2018006090-aa90566cb5f6b5de</x:v>
      </x:c>
      <x:c r="E86" s="1" t="str">
        <x:v>synthetic</x:v>
      </x:c>
      <x:c r="F86" s="15" t="str">
        <x:v>Blackwood v Blackwood</x:v>
      </x:c>
      <x:c r="G86" s="16" t="n">
        <x:v>46077.36038689815</x:v>
      </x:c>
      <x:c r="H86" s="15" t="str">
        <x:v>legislation</x:v>
      </x:c>
      <x:c r="I86" s="15" t="str">
        <x:v>legislation:trustee act 1925 s 1</x:v>
      </x:c>
      <x:c r="J86" s="15" t="str">
        <x:v>Trustee Act 1925</x:v>
      </x:c>
      <x:c r="K86" s="15" t="str">
        <x:v>Trustee Act 1925 Section 1</x:v>
      </x:c>
      <x:c r="L86" s="15" t="str"/>
      <x:c r="M86" s="15" t="str">
        <x:v>Section 1</x:v>
      </x:c>
      <x:c r="N86" s="15" t="str">
        <x:v>legalFramework.statutoryProvisions[0]</x:v>
      </x:c>
      <x:c r="O86" s="15" t="str">
        <x:v>structured_json</x:v>
      </x:c>
      <x:c r="P86" s="15" t="str"/>
      <x:c r="Q86" s="15" t="str"/>
      <x:c r="R86" s="15" t="str">
        <x:v>Establishes the standard of care and fiduciary duties owed by trustees.</x:v>
      </x:c>
      <x:c r="S86" s="15" t="str"/>
    </x:row>
    <x:row r="87">
      <x:c r="A87" s="1" t="str">
        <x:v>O0086</x:v>
      </x:c>
      <x:c r="B87" s="1" t="str">
        <x:v>cmm0ct5sl001504i3x6g18pvd</x:v>
      </x:c>
      <x:c r="C87" s="1" t="str">
        <x:v>cmlzojkzd000204l5u8akkk6q</x:v>
      </x:c>
      <x:c r="D87" s="1" t="str">
        <x:v>skeleton-args-ca2018006090-aa90566cb5f6b5de</x:v>
      </x:c>
      <x:c r="E87" s="1" t="str">
        <x:v>synthetic</x:v>
      </x:c>
      <x:c r="F87" s="15" t="str">
        <x:v>Blackwood v Blackwood</x:v>
      </x:c>
      <x:c r="G87" s="16" t="n">
        <x:v>46077.36038689815</x:v>
      </x:c>
      <x:c r="H87" s="15" t="str">
        <x:v>legislation</x:v>
      </x:c>
      <x:c r="I87" s="15" t="str">
        <x:v>legislation:trustee act 2000 sections 3 &amp; 4</x:v>
      </x:c>
      <x:c r="J87" s="15" t="str">
        <x:v>Trustee Act 2000</x:v>
      </x:c>
      <x:c r="K87" s="15" t="str">
        <x:v>Trustee Act 2000 Sections 3 &amp; 4</x:v>
      </x:c>
      <x:c r="L87" s="15" t="str"/>
      <x:c r="M87" s="15" t="str">
        <x:v>Sections 3 &amp; 4</x:v>
      </x:c>
      <x:c r="N87" s="15" t="str">
        <x:v>legalFramework.statutoryProvisions[1]</x:v>
      </x:c>
      <x:c r="O87" s="15" t="str">
        <x:v>structured_json</x:v>
      </x:c>
      <x:c r="P87" s="15" t="str"/>
      <x:c r="Q87" s="15" t="str"/>
      <x:c r="R87" s="15" t="str">
        <x:v>Outlines investment powers and duties of trustees regarding prudent investment.</x:v>
      </x:c>
      <x:c r="S87" s="15" t="str"/>
    </x:row>
    <x:row r="88">
      <x:c r="A88" s="1" t="str">
        <x:v>O0087</x:v>
      </x:c>
      <x:c r="B88" s="1" t="str">
        <x:v>cmm0ct5sl001504i3x6g18pvd</x:v>
      </x:c>
      <x:c r="C88" s="1" t="str">
        <x:v>cmlzojkzd000204l5u8akkk6q</x:v>
      </x:c>
      <x:c r="D88" s="1" t="str">
        <x:v>skeleton-args-ca2018006090-aa90566cb5f6b5de</x:v>
      </x:c>
      <x:c r="E88" s="1" t="str">
        <x:v>synthetic</x:v>
      </x:c>
      <x:c r="F88" s="15" t="str">
        <x:v>Blackwood v Blackwood</x:v>
      </x:c>
      <x:c r="G88" s="16" t="n">
        <x:v>46077.36038689815</x:v>
      </x:c>
      <x:c r="H88" s="15" t="str">
        <x:v>legislation</x:v>
      </x:c>
      <x:c r="I88" s="15" t="str">
        <x:v>legislation:senior courts act 1981 s 35a</x:v>
      </x:c>
      <x:c r="J88" s="15" t="str">
        <x:v>Senior Courts Act 1981, s.35A</x:v>
      </x:c>
      <x:c r="K88" s="15" t="str">
        <x:v>Senior Courts Act 1981, s.35A</x:v>
      </x:c>
      <x:c r="L88" s="15" t="str"/>
      <x:c r="M88" s="15" t="str"/>
      <x:c r="N88" s="15" t="str">
        <x:v>decisionAndDisposition.interest.statutoryBasis</x:v>
      </x:c>
      <x:c r="O88" s="15" t="str">
        <x:v>structured_json</x:v>
      </x:c>
      <x:c r="P88" s="15" t="str"/>
      <x:c r="Q88" s="15" t="str"/>
      <x:c r="R88" s="15" t="str"/>
      <x:c r="S88" s="15" t="str"/>
    </x:row>
    <x:row r="89">
      <x:c r="A89" s="1" t="str">
        <x:v>O0088</x:v>
      </x:c>
      <x:c r="B89" s="1" t="str">
        <x:v>cmm0ct5sl001504i3x6g18pvd</x:v>
      </x:c>
      <x:c r="C89" s="1" t="str">
        <x:v>cmlzojkzd000204l5u8akkk6q</x:v>
      </x:c>
      <x:c r="D89" s="1" t="str">
        <x:v>skeleton-args-ca2018006090-aa90566cb5f6b5de</x:v>
      </x:c>
      <x:c r="E89" s="1" t="str">
        <x:v>synthetic</x:v>
      </x:c>
      <x:c r="F89" s="15" t="str">
        <x:v>Blackwood v Blackwood</x:v>
      </x:c>
      <x:c r="G89" s="16" t="n">
        <x:v>46077.36038689815</x:v>
      </x:c>
      <x:c r="H89" s="15" t="str">
        <x:v>case</x:v>
      </x:c>
      <x:c r="I89" s="15" t="str">
        <x:v>case:2016 ewca civ 1004</x:v>
      </x:c>
      <x:c r="J89" s="15" t="str">
        <x:v>Creggy v Barnett &amp; Anor</x:v>
      </x:c>
      <x:c r="K89" s="15" t="str">
        <x:v>[2016] EWCA Civ 1004</x:v>
      </x:c>
      <x:c r="L89" s="15" t="str">
        <x:v>4f894b7c-50f6-46f4-b08a-7d5f549411bb</x:v>
      </x:c>
      <x:c r="M89" s="15" t="str"/>
      <x:c r="N89" s="15" t="str">
        <x:v>factualFindings.chronology[1].sourceCases[0]</x:v>
      </x:c>
      <x:c r="O89" s="15" t="str">
        <x:v>structured_json</x:v>
      </x:c>
      <x:c r="P89" s="15" t="str"/>
      <x:c r="Q89" s="15" t="str"/>
      <x:c r="R89" s="15" t="str">
        <x:v>Similar self-dealing context that influences the analysis of claimant's position.</x:v>
      </x:c>
      <x:c r="S89" s="15" t="str"/>
    </x:row>
    <x:row r="90">
      <x:c r="A90" s="1" t="str">
        <x:v>O0089</x:v>
      </x:c>
      <x:c r="B90" s="1" t="str">
        <x:v>cmm0ct5sl001504i3x6g18pvd</x:v>
      </x:c>
      <x:c r="C90" s="1" t="str">
        <x:v>cmlzojkzd000204l5u8akkk6q</x:v>
      </x:c>
      <x:c r="D90" s="1" t="str">
        <x:v>skeleton-args-ca2018006090-aa90566cb5f6b5de</x:v>
      </x:c>
      <x:c r="E90" s="1" t="str">
        <x:v>synthetic</x:v>
      </x:c>
      <x:c r="F90" s="15" t="str">
        <x:v>Blackwood v Blackwood</x:v>
      </x:c>
      <x:c r="G90" s="16" t="n">
        <x:v>46077.36038689815</x:v>
      </x:c>
      <x:c r="H90" s="15" t="str">
        <x:v>case</x:v>
      </x:c>
      <x:c r="I90" s="15" t="str">
        <x:v>case:2016 ewca civ 1004</x:v>
      </x:c>
      <x:c r="J90" s="15" t="str">
        <x:v>Creggy v Barnett &amp; Anor</x:v>
      </x:c>
      <x:c r="K90" s="15" t="str">
        <x:v>[2016] EWCA Civ 1004</x:v>
      </x:c>
      <x:c r="L90" s="15" t="str">
        <x:v>4f894b7c-50f6-46f4-b08a-7d5f549411bb</x:v>
      </x:c>
      <x:c r="M90" s="15" t="str"/>
      <x:c r="N90" s="15" t="str">
        <x:v>factualFindings.contestedFacts[0].sourceCases[0]</x:v>
      </x:c>
      <x:c r="O90" s="15" t="str">
        <x:v>structured_json</x:v>
      </x:c>
      <x:c r="P90" s="15" t="str"/>
      <x:c r="Q90" s="15" t="str"/>
      <x:c r="R90" s="15" t="str">
        <x:v>The case discusses fiduciary duties and self-dealing in trust management.</x:v>
      </x:c>
      <x:c r="S90" s="15" t="str"/>
    </x:row>
    <x:row r="91">
      <x:c r="A91" s="1" t="str">
        <x:v>O0090</x:v>
      </x:c>
      <x:c r="B91" s="1" t="str">
        <x:v>cmm0ct5sl001504i3x6g18pvd</x:v>
      </x:c>
      <x:c r="C91" s="1" t="str">
        <x:v>cmlzojkzd000204l5u8akkk6q</x:v>
      </x:c>
      <x:c r="D91" s="1" t="str">
        <x:v>skeleton-args-ca2018006090-aa90566cb5f6b5de</x:v>
      </x:c>
      <x:c r="E91" s="1" t="str">
        <x:v>synthetic</x:v>
      </x:c>
      <x:c r="F91" s="15" t="str">
        <x:v>Blackwood v Blackwood</x:v>
      </x:c>
      <x:c r="G91" s="16" t="n">
        <x:v>46077.36038689815</x:v>
      </x:c>
      <x:c r="H91" s="15" t="str">
        <x:v>case</x:v>
      </x:c>
      <x:c r="I91" s="15" t="str">
        <x:v>case:2023 ewca civ 440</x:v>
      </x:c>
      <x:c r="J91" s="15" t="str">
        <x:v>Floreat Investment Management Ltd v Churchill &amp; Ors</x:v>
      </x:c>
      <x:c r="K91" s="15" t="str">
        <x:v>[2023] EWCA Civ 440</x:v>
      </x:c>
      <x:c r="L91" s="15" t="str">
        <x:v>cfb9db03-44c0-4604-926a-a76e01575d88</x:v>
      </x:c>
      <x:c r="M91" s="15" t="str"/>
      <x:c r="N91" s="15" t="str">
        <x:v>factualFindings.contestedFacts[1].sourceCases[0]</x:v>
      </x:c>
      <x:c r="O91" s="15" t="str">
        <x:v>structured_json</x:v>
      </x:c>
      <x:c r="P91" s="15" t="str"/>
      <x:c r="Q91" s="15" t="str"/>
      <x:c r="R91" s="15" t="str">
        <x:v>Illustrates the expectation of prudent investment behavior by trustees.</x:v>
      </x:c>
      <x:c r="S91" s="15" t="str"/>
    </x:row>
    <x:row r="92">
      <x:c r="A92" s="1" t="str">
        <x:v>O0091</x:v>
      </x:c>
      <x:c r="B92" s="1" t="str">
        <x:v>cmm0ct5sl001504i3x6g18pvd</x:v>
      </x:c>
      <x:c r="C92" s="1" t="str">
        <x:v>cmlzojkzd000204l5u8akkk6q</x:v>
      </x:c>
      <x:c r="D92" s="1" t="str">
        <x:v>skeleton-args-ca2018006090-aa90566cb5f6b5de</x:v>
      </x:c>
      <x:c r="E92" s="1" t="str">
        <x:v>synthetic</x:v>
      </x:c>
      <x:c r="F92" s="15" t="str">
        <x:v>Blackwood v Blackwood</x:v>
      </x:c>
      <x:c r="G92" s="16" t="n">
        <x:v>46077.36038689815</x:v>
      </x:c>
      <x:c r="H92" s="15" t="str">
        <x:v>case</x:v>
      </x:c>
      <x:c r="I92" s="15" t="str">
        <x:v>case:2016 ewca civ 1004</x:v>
      </x:c>
      <x:c r="J92" s="15" t="str">
        <x:v>Creggy v Barnett &amp; Anor</x:v>
      </x:c>
      <x:c r="K92" s="15" t="str">
        <x:v>[2016] EWCA Civ 1004</x:v>
      </x:c>
      <x:c r="L92" s="15" t="str">
        <x:v>4f894b7c-50f6-46f4-b08a-7d5f549411bb</x:v>
      </x:c>
      <x:c r="M92" s="15" t="str"/>
      <x:c r="N92" s="15" t="str">
        <x:v>reasoningStructure[0].sourceCases[0]</x:v>
      </x:c>
      <x:c r="O92" s="15" t="str">
        <x:v>structured_json</x:v>
      </x:c>
      <x:c r="P92" s="15" t="str"/>
      <x:c r="Q92" s="15" t="str"/>
      <x:c r="R92" s="15" t="str">
        <x:v>This case emphasizes the importance of avoiding self-dealing.</x:v>
      </x:c>
      <x:c r="S92" s="15" t="str"/>
    </x:row>
    <x:row r="93">
      <x:c r="A93" s="1" t="str">
        <x:v>O0092</x:v>
      </x:c>
      <x:c r="B93" s="1" t="str">
        <x:v>cmm0ct5sl001504i3x6g18pvd</x:v>
      </x:c>
      <x:c r="C93" s="1" t="str">
        <x:v>cmlzojkzd000204l5u8akkk6q</x:v>
      </x:c>
      <x:c r="D93" s="1" t="str">
        <x:v>skeleton-args-ca2018006090-aa90566cb5f6b5de</x:v>
      </x:c>
      <x:c r="E93" s="1" t="str">
        <x:v>synthetic</x:v>
      </x:c>
      <x:c r="F93" s="15" t="str">
        <x:v>Blackwood v Blackwood</x:v>
      </x:c>
      <x:c r="G93" s="16" t="n">
        <x:v>46077.36038689815</x:v>
      </x:c>
      <x:c r="H93" s="15" t="str">
        <x:v>case</x:v>
      </x:c>
      <x:c r="I93" s="15" t="str">
        <x:v>case:2023 ewca civ 440</x:v>
      </x:c>
      <x:c r="J93" s="15" t="str">
        <x:v>Floreat Investment Management Ltd v Churchill &amp; Ors</x:v>
      </x:c>
      <x:c r="K93" s="15" t="str">
        <x:v>[2023] EWCA Civ 440</x:v>
      </x:c>
      <x:c r="L93" s="15" t="str">
        <x:v>cfb9db03-44c0-4604-926a-a76e01575d88</x:v>
      </x:c>
      <x:c r="M93" s="15" t="str"/>
      <x:c r="N93" s="15" t="str">
        <x:v>reasoningStructure[1].sourceCases[0]</x:v>
      </x:c>
      <x:c r="O93" s="15" t="str">
        <x:v>structured_json</x:v>
      </x:c>
      <x:c r="P93" s="15" t="str"/>
      <x:c r="Q93" s="15" t="str"/>
      <x:c r="R93" s="15" t="str">
        <x:v>Relevant to applying standards of investment prudence.</x:v>
      </x:c>
      <x:c r="S93" s="15" t="str"/>
    </x:row>
    <x:row r="94">
      <x:c r="A94" s="1" t="str">
        <x:v>O0093</x:v>
      </x:c>
      <x:c r="B94" s="1" t="str">
        <x:v>cmm0ct5sl001504i3x6g18pvd</x:v>
      </x:c>
      <x:c r="C94" s="1" t="str">
        <x:v>cmlzojkzd000204l5u8akkk6q</x:v>
      </x:c>
      <x:c r="D94" s="1" t="str">
        <x:v>skeleton-args-ca2018006090-aa90566cb5f6b5de</x:v>
      </x:c>
      <x:c r="E94" s="1" t="str">
        <x:v>synthetic</x:v>
      </x:c>
      <x:c r="F94" s="15" t="str">
        <x:v>Blackwood v Blackwood</x:v>
      </x:c>
      <x:c r="G94" s="16" t="n">
        <x:v>46077.36038689815</x:v>
      </x:c>
      <x:c r="H94" s="15" t="str">
        <x:v>case</x:v>
      </x:c>
      <x:c r="I94" s="15" t="str">
        <x:v>case:2016 ewca civ 1004</x:v>
      </x:c>
      <x:c r="J94" s="15" t="str">
        <x:v>Creggy v Barnett &amp; Anor</x:v>
      </x:c>
      <x:c r="K94" s="15" t="str">
        <x:v>[2016] EWCA Civ 1004</x:v>
      </x:c>
      <x:c r="L94" s="15" t="str">
        <x:v>4f894b7c-50f6-46f4-b08a-7d5f549411bb</x:v>
      </x:c>
      <x:c r="M94" s="15" t="str"/>
      <x:c r="N94" s="15" t="str">
        <x:v>issuesForDetermination.issueMatrix[0].sourceCases[0]</x:v>
      </x:c>
      <x:c r="O94" s="15" t="str">
        <x:v>structured_json</x:v>
      </x:c>
      <x:c r="P94" s="15" t="str"/>
      <x:c r="Q94" s="15" t="str"/>
      <x:c r="R94" s="15" t="str">
        <x:v>Discusses the consequences of trustee self-dealing.</x:v>
      </x:c>
      <x:c r="S94" s="15" t="str"/>
    </x:row>
    <x:row r="95">
      <x:c r="A95" s="1" t="str">
        <x:v>O0094</x:v>
      </x:c>
      <x:c r="B95" s="1" t="str">
        <x:v>cmm0ct5sl001504i3x6g18pvd</x:v>
      </x:c>
      <x:c r="C95" s="1" t="str">
        <x:v>cmlzojkzd000204l5u8akkk6q</x:v>
      </x:c>
      <x:c r="D95" s="1" t="str">
        <x:v>skeleton-args-ca2018006090-aa90566cb5f6b5de</x:v>
      </x:c>
      <x:c r="E95" s="1" t="str">
        <x:v>synthetic</x:v>
      </x:c>
      <x:c r="F95" s="15" t="str">
        <x:v>Blackwood v Blackwood</x:v>
      </x:c>
      <x:c r="G95" s="16" t="n">
        <x:v>46077.36038689815</x:v>
      </x:c>
      <x:c r="H95" s="15" t="str">
        <x:v>case</x:v>
      </x:c>
      <x:c r="I95" s="15" t="str">
        <x:v>case:2023 ewca civ 440</x:v>
      </x:c>
      <x:c r="J95" s="15" t="str">
        <x:v>Floreat Investment Management Ltd v Churchill &amp; Ors</x:v>
      </x:c>
      <x:c r="K95" s="15" t="str">
        <x:v>[2023] EWCA Civ 440</x:v>
      </x:c>
      <x:c r="L95" s="15" t="str">
        <x:v>cfb9db03-44c0-4604-926a-a76e01575d88</x:v>
      </x:c>
      <x:c r="M95" s="15" t="str"/>
      <x:c r="N95" s="15" t="str">
        <x:v>issuesForDetermination.issueMatrix[1].sourceCases[0]</x:v>
      </x:c>
      <x:c r="O95" s="15" t="str">
        <x:v>structured_json</x:v>
      </x:c>
      <x:c r="P95" s="15" t="str"/>
      <x:c r="Q95" s="15" t="str"/>
      <x:c r="R95" s="15" t="str">
        <x:v>Relevant to the analysis of investment prudence.</x:v>
      </x:c>
      <x:c r="S95" s="15" t="str"/>
    </x:row>
    <x:row r="96">
      <x:c r="A96" s="1" t="str">
        <x:v>O0095</x:v>
      </x:c>
      <x:c r="B96" s="1" t="str">
        <x:v>cmm0k3nj8000h04l412ruhfxj</x:v>
      </x:c>
      <x:c r="C96" s="1" t="str">
        <x:v>cmlzy4fu700fk04i8kn66k5jp</x:v>
      </x:c>
      <x:c r="D96" s="1" t="str">
        <x:v>skeleton-args-ca2024001234-346b2d683b5c2099</x:v>
      </x:c>
      <x:c r="E96" s="1" t="str">
        <x:v>synthetic</x:v>
      </x:c>
      <x:c r="F96" s="15" t="str">
        <x:v>Transport Action Network Limited v Secretary of State for Transport</x:v>
      </x:c>
      <x:c r="G96" s="16" t="n">
        <x:v>46077.50213298611</x:v>
      </x:c>
      <x:c r="H96" s="15" t="str">
        <x:v>case</x:v>
      </x:c>
      <x:c r="I96" s="15" t="str">
        <x:v>case:2002 ewca civ 605</x:v>
      </x:c>
      <x:c r="J96" s="15" t="str">
        <x:v>[2002] EWCA Civ 605</x:v>
      </x:c>
      <x:c r="K96" s="15" t="str">
        <x:v>[2002] EWCA Civ 605</x:v>
      </x:c>
      <x:c r="L96" s="15" t="str"/>
      <x:c r="M96" s="15" t="str"/>
      <x:c r="N96" s="15" t="str">
        <x:v>legalFramework.precedentCitations[0]</x:v>
      </x:c>
      <x:c r="O96" s="15" t="str">
        <x:v>structured_json</x:v>
      </x:c>
      <x:c r="P96" s="15" t="str">
        <x:v>binding</x:v>
      </x:c>
      <x:c r="Q96" s="15" t="str"/>
      <x:c r="R96" s="15" t="str">
        <x:v>Adequacy of reasons in judgments</x:v>
      </x:c>
      <x:c r="S96" s="15" t="str"/>
    </x:row>
    <x:row r="97">
      <x:c r="A97" s="1" t="str">
        <x:v>O0096</x:v>
      </x:c>
      <x:c r="B97" s="1" t="str">
        <x:v>cmm0k3nj8000h04l412ruhfxj</x:v>
      </x:c>
      <x:c r="C97" s="1" t="str">
        <x:v>cmlzy4fu700fk04i8kn66k5jp</x:v>
      </x:c>
      <x:c r="D97" s="1" t="str">
        <x:v>skeleton-args-ca2024001234-346b2d683b5c2099</x:v>
      </x:c>
      <x:c r="E97" s="1" t="str">
        <x:v>synthetic</x:v>
      </x:c>
      <x:c r="F97" s="15" t="str">
        <x:v>Transport Action Network Limited v Secretary of State for Transport</x:v>
      </x:c>
      <x:c r="G97" s="16" t="n">
        <x:v>46077.50213298611</x:v>
      </x:c>
      <x:c r="H97" s="15" t="str">
        <x:v>other</x:v>
      </x:c>
      <x:c r="I97" s="15" t="str">
        <x:v>other:2000 1 wlr 377</x:v>
      </x:c>
      <x:c r="J97" s="15" t="str">
        <x:v>[2000] 1 WLR 377</x:v>
      </x:c>
      <x:c r="K97" s="15" t="str">
        <x:v>[2000] 1 WLR 377</x:v>
      </x:c>
      <x:c r="L97" s="15" t="str"/>
      <x:c r="M97" s="15" t="str"/>
      <x:c r="N97" s="15" t="str">
        <x:v>legalFramework.precedentCitations[1]</x:v>
      </x:c>
      <x:c r="O97" s="15" t="str">
        <x:v>structured_json</x:v>
      </x:c>
      <x:c r="P97" s="15" t="str">
        <x:v>persuasive</x:v>
      </x:c>
      <x:c r="Q97" s="15" t="str"/>
      <x:c r="R97" s="15" t="str">
        <x:v>Duty to give reasons</x:v>
      </x:c>
      <x:c r="S97" s="15" t="str"/>
    </x:row>
    <x:row r="98">
      <x:c r="A98" s="1" t="str">
        <x:v>O0097</x:v>
      </x:c>
      <x:c r="B98" s="1" t="str">
        <x:v>cmm0k3nj8000h04l412ruhfxj</x:v>
      </x:c>
      <x:c r="C98" s="1" t="str">
        <x:v>cmlzy4fu700fk04i8kn66k5jp</x:v>
      </x:c>
      <x:c r="D98" s="1" t="str">
        <x:v>skeleton-args-ca2024001234-346b2d683b5c2099</x:v>
      </x:c>
      <x:c r="E98" s="1" t="str">
        <x:v>synthetic</x:v>
      </x:c>
      <x:c r="F98" s="15" t="str">
        <x:v>Transport Action Network Limited v Secretary of State for Transport</x:v>
      </x:c>
      <x:c r="G98" s="16" t="n">
        <x:v>46077.50213298611</x:v>
      </x:c>
      <x:c r="H98" s="15" t="str">
        <x:v>legislation</x:v>
      </x:c>
      <x:c r="I98" s="15" t="str">
        <x:v>legislation:infrastructure act 2015 21</x:v>
      </x:c>
      <x:c r="J98" s="15" t="str">
        <x:v>Infrastructure Act 2015</x:v>
      </x:c>
      <x:c r="K98" s="15" t="str">
        <x:v>Infrastructure Act 2015 21</x:v>
      </x:c>
      <x:c r="L98" s="15" t="str"/>
      <x:c r="M98" s="15" t="str">
        <x:v>21</x:v>
      </x:c>
      <x:c r="N98" s="15" t="str">
        <x:v>legalFramework.statutoryProvisions[0]</x:v>
      </x:c>
      <x:c r="O98" s="15" t="str">
        <x:v>structured_json</x:v>
      </x:c>
      <x:c r="P98" s="15" t="str"/>
      <x:c r="Q98" s="15" t="str"/>
      <x:c r="R98" s="15" t="str">
        <x:v>Requires adherence to statutory obligations for funding allocation for CWIS.</x:v>
      </x:c>
      <x:c r="S98" s="15" t="str"/>
    </x:row>
    <x:row r="99">
      <x:c r="A99" s="1" t="str">
        <x:v>O0098</x:v>
      </x:c>
      <x:c r="B99" s="1" t="str">
        <x:v>cmm0k3nj8000h04l412ruhfxj</x:v>
      </x:c>
      <x:c r="C99" s="1" t="str">
        <x:v>cmlzy4fu700fk04i8kn66k5jp</x:v>
      </x:c>
      <x:c r="D99" s="1" t="str">
        <x:v>skeleton-args-ca2024001234-346b2d683b5c2099</x:v>
      </x:c>
      <x:c r="E99" s="1" t="str">
        <x:v>synthetic</x:v>
      </x:c>
      <x:c r="F99" s="15" t="str">
        <x:v>Transport Action Network Limited v Secretary of State for Transport</x:v>
      </x:c>
      <x:c r="G99" s="16" t="n">
        <x:v>46077.50213298611</x:v>
      </x:c>
      <x:c r="H99" s="15" t="str">
        <x:v>legislation</x:v>
      </x:c>
      <x:c r="I99" s="15" t="str">
        <x:v>legislation:senior courts act 1981 35a</x:v>
      </x:c>
      <x:c r="J99" s="15" t="str">
        <x:v>Senior Courts Act 1981</x:v>
      </x:c>
      <x:c r="K99" s="15" t="str">
        <x:v>Senior Courts Act 1981 35A</x:v>
      </x:c>
      <x:c r="L99" s="15" t="str"/>
      <x:c r="M99" s="15" t="str">
        <x:v>35A</x:v>
      </x:c>
      <x:c r="N99" s="15" t="str">
        <x:v>legalFramework.statutoryProvisions[1]</x:v>
      </x:c>
      <x:c r="O99" s="15" t="str">
        <x:v>structured_json</x:v>
      </x:c>
      <x:c r="P99" s="15" t="str"/>
      <x:c r="Q99" s="15" t="str"/>
      <x:c r="R99" s="15" t="str">
        <x:v>Establishes the framework for interest on awarded sums resulting from court findings.</x:v>
      </x:c>
      <x:c r="S99" s="15" t="str"/>
    </x:row>
    <x:row r="100">
      <x:c r="A100" s="1" t="str">
        <x:v>O0099</x:v>
      </x:c>
      <x:c r="B100" s="1" t="str">
        <x:v>cmm0k3nj8000h04l412ruhfxj</x:v>
      </x:c>
      <x:c r="C100" s="1" t="str">
        <x:v>cmlzy4fu700fk04i8kn66k5jp</x:v>
      </x:c>
      <x:c r="D100" s="1" t="str">
        <x:v>skeleton-args-ca2024001234-346b2d683b5c2099</x:v>
      </x:c>
      <x:c r="E100" s="1" t="str">
        <x:v>synthetic</x:v>
      </x:c>
      <x:c r="F100" s="15" t="str">
        <x:v>Transport Action Network Limited v Secretary of State for Transport</x:v>
      </x:c>
      <x:c r="G100" s="16" t="n">
        <x:v>46077.50213298611</x:v>
      </x:c>
      <x:c r="H100" s="15" t="str">
        <x:v>legislation</x:v>
      </x:c>
      <x:c r="I100" s="15" t="str">
        <x:v>legislation:senior courts act 1981 s 35a</x:v>
      </x:c>
      <x:c r="J100" s="15" t="str">
        <x:v>Senior Courts Act 1981, s.35A</x:v>
      </x:c>
      <x:c r="K100" s="15" t="str">
        <x:v>Senior Courts Act 1981, s.35A</x:v>
      </x:c>
      <x:c r="L100" s="15" t="str"/>
      <x:c r="M100" s="15" t="str"/>
      <x:c r="N100" s="15" t="str">
        <x:v>decisionAndDisposition.interest.statutoryBasis</x:v>
      </x:c>
      <x:c r="O100" s="15" t="str">
        <x:v>structured_json</x:v>
      </x:c>
      <x:c r="P100" s="15" t="str"/>
      <x:c r="Q100" s="15" t="str"/>
      <x:c r="R100" s="15" t="str"/>
      <x:c r="S100" s="15" t="str"/>
    </x:row>
    <x:row r="101">
      <x:c r="A101" s="1" t="str">
        <x:v>O0100</x:v>
      </x:c>
      <x:c r="B101" s="1" t="str">
        <x:v>cmm0k3nj8000h04l412ruhfxj</x:v>
      </x:c>
      <x:c r="C101" s="1" t="str">
        <x:v>cmlzy4fu700fk04i8kn66k5jp</x:v>
      </x:c>
      <x:c r="D101" s="1" t="str">
        <x:v>skeleton-args-ca2024001234-346b2d683b5c2099</x:v>
      </x:c>
      <x:c r="E101" s="1" t="str">
        <x:v>synthetic</x:v>
      </x:c>
      <x:c r="F101" s="15" t="str">
        <x:v>Transport Action Network Limited v Secretary of State for Transport</x:v>
      </x:c>
      <x:c r="G101" s="16" t="n">
        <x:v>46077.50213298611</x:v>
      </x:c>
      <x:c r="H101" s="15" t="str">
        <x:v>legislation</x:v>
      </x:c>
      <x:c r="I101" s="15" t="str">
        <x:v>legislation:infrastructure act 2015 s 21</x:v>
      </x:c>
      <x:c r="J101" s="15" t="str">
        <x:v>Infrastructure Act 2015, Section 21</x:v>
      </x:c>
      <x:c r="K101" s="15" t="str">
        <x:v>Infrastructure Act 2015, Section 21</x:v>
      </x:c>
      <x:c r="L101" s="15" t="str"/>
      <x:c r="M101" s="15" t="str"/>
      <x:c r="N101" s="15" t="str">
        <x:v>legalFramework.legalTestSummaries[0].sourceAuthority</x:v>
      </x:c>
      <x:c r="O101" s="15" t="str">
        <x:v>structured_json</x:v>
      </x:c>
      <x:c r="P101" s="15" t="str"/>
      <x:c r="Q101" s="15" t="str"/>
      <x:c r="R101" s="15" t="str"/>
      <x:c r="S101" s="15" t="str"/>
    </x:row>
    <x:row r="102">
      <x:c r="A102" s="1" t="str">
        <x:v>O0101</x:v>
      </x:c>
      <x:c r="B102" s="1" t="str">
        <x:v>cmm0k3nj8000h04l412ruhfxj</x:v>
      </x:c>
      <x:c r="C102" s="1" t="str">
        <x:v>cmlzy4fu700fk04i8kn66k5jp</x:v>
      </x:c>
      <x:c r="D102" s="1" t="str">
        <x:v>skeleton-args-ca2024001234-346b2d683b5c2099</x:v>
      </x:c>
      <x:c r="E102" s="1" t="str">
        <x:v>synthetic</x:v>
      </x:c>
      <x:c r="F102" s="15" t="str">
        <x:v>Transport Action Network Limited v Secretary of State for Transport</x:v>
      </x:c>
      <x:c r="G102" s="16" t="n">
        <x:v>46077.50213298611</x:v>
      </x:c>
      <x:c r="H102" s="15" t="str">
        <x:v>case</x:v>
      </x:c>
      <x:c r="I102" s="15" t="str">
        <x:v>case:2022 ewca civ 187</x:v>
      </x:c>
      <x:c r="J102" s="15" t="str">
        <x:v>Finch On Behalf of the Weald Action Group, R (On the Application Of) v Surrey County Council &amp; Ors</x:v>
      </x:c>
      <x:c r="K102" s="15" t="str">
        <x:v>[2022] EWCA Civ 187</x:v>
      </x:c>
      <x:c r="L102" s="15" t="str">
        <x:v>968e5c88-1f2c-4da8-9290-4111f416ec6e</x:v>
      </x:c>
      <x:c r="M102" s="15" t="str"/>
      <x:c r="N102" s="15" t="str">
        <x:v>factualFindings.contestedFacts[0].sourceCases[0]</x:v>
      </x:c>
      <x:c r="O102" s="15" t="str">
        <x:v>structured_json</x:v>
      </x:c>
      <x:c r="P102" s="15" t="str"/>
      <x:c r="Q102" s="15" t="str">
        <x:v>applied_differently</x:v>
      </x:c>
      <x:c r="R102" s="15" t="str">
        <x:v>This case addresses the discretion of public authorities and the need for transparency in their decisions.</x:v>
      </x:c>
      <x:c r="S102" s="15" t="str"/>
    </x:row>
    <x:row r="103">
      <x:c r="A103" s="1" t="str">
        <x:v>O0102</x:v>
      </x:c>
      <x:c r="B103" s="1" t="str">
        <x:v>cmm0k3nj8000h04l412ruhfxj</x:v>
      </x:c>
      <x:c r="C103" s="1" t="str">
        <x:v>cmlzy4fu700fk04i8kn66k5jp</x:v>
      </x:c>
      <x:c r="D103" s="1" t="str">
        <x:v>skeleton-args-ca2024001234-346b2d683b5c2099</x:v>
      </x:c>
      <x:c r="E103" s="1" t="str">
        <x:v>synthetic</x:v>
      </x:c>
      <x:c r="F103" s="15" t="str">
        <x:v>Transport Action Network Limited v Secretary of State for Transport</x:v>
      </x:c>
      <x:c r="G103" s="16" t="n">
        <x:v>46077.50213298611</x:v>
      </x:c>
      <x:c r="H103" s="15" t="str">
        <x:v>case</x:v>
      </x:c>
      <x:c r="I103" s="15" t="str">
        <x:v>case:2016 ewca civ 117</x:v>
      </x:c>
      <x:c r="J103" s="15" t="str">
        <x:v>Solar Century Holdings Ltd &amp; Ors v Secretary of State for Energy and Climate Change</x:v>
      </x:c>
      <x:c r="K103" s="15" t="str">
        <x:v>[2016] EWCA Civ 117</x:v>
      </x:c>
      <x:c r="L103" s="15" t="str">
        <x:v>774ce56b-3a21-4d9a-be0f-2e4cd8924a73</x:v>
      </x:c>
      <x:c r="M103" s="15" t="str"/>
      <x:c r="N103" s="15" t="str">
        <x:v>reasoningStructure[0].sourceCases[0]</x:v>
      </x:c>
      <x:c r="O103" s="15" t="str">
        <x:v>structured_json</x:v>
      </x:c>
      <x:c r="P103" s="15" t="str"/>
      <x:c r="Q103" s="15" t="str">
        <x:v>applied_differently</x:v>
      </x:c>
      <x:c r="R103" s="15" t="str">
        <x:v>The principles of discretionary funding adjustments under financial constraints might inform this analysis.</x:v>
      </x:c>
      <x:c r="S103" s="15" t="str"/>
    </x:row>
    <x:row r="104">
      <x:c r="A104" s="1" t="str">
        <x:v>O0103</x:v>
      </x:c>
      <x:c r="B104" s="1" t="str">
        <x:v>cmm0k3nj8000h04l412ruhfxj</x:v>
      </x:c>
      <x:c r="C104" s="1" t="str">
        <x:v>cmlzy4fu700fk04i8kn66k5jp</x:v>
      </x:c>
      <x:c r="D104" s="1" t="str">
        <x:v>skeleton-args-ca2024001234-346b2d683b5c2099</x:v>
      </x:c>
      <x:c r="E104" s="1" t="str">
        <x:v>synthetic</x:v>
      </x:c>
      <x:c r="F104" s="15" t="str">
        <x:v>Transport Action Network Limited v Secretary of State for Transport</x:v>
      </x:c>
      <x:c r="G104" s="16" t="n">
        <x:v>46077.50213298611</x:v>
      </x:c>
      <x:c r="H104" s="15" t="str">
        <x:v>case</x:v>
      </x:c>
      <x:c r="I104" s="15" t="str">
        <x:v>case:2023 ewca civ 14</x:v>
      </x:c>
      <x:c r="J104" s="15" t="str">
        <x:v>Friends of the Earth Limited v Secretary of State for International Trade/UK Export Finance (UKEF) &amp; Anor (Rev1)</x:v>
      </x:c>
      <x:c r="K104" s="15" t="str">
        <x:v>[2023] EWCA Civ 14</x:v>
      </x:c>
      <x:c r="L104" s="15" t="str">
        <x:v>d5d573a1-ee1c-4a42-99b1-728063f8ced3</x:v>
      </x:c>
      <x:c r="M104" s="15" t="str"/>
      <x:c r="N104" s="15" t="str">
        <x:v>issuesForDetermination.issueMatrix[0].sourceCases[0]</x:v>
      </x:c>
      <x:c r="O104" s="15" t="str">
        <x:v>structured_json</x:v>
      </x:c>
      <x:c r="P104" s="15" t="str"/>
      <x:c r="Q104" s="15" t="str">
        <x:v>distinguished</x:v>
      </x:c>
      <x:c r="R104" s="15" t="str">
        <x:v>This case emphasizes the balance between statutory duties and economic imperatives in public funding decisions.</x:v>
      </x:c>
      <x:c r="S104" s="15" t="str"/>
    </x:row>
    <x:row r="105">
      <x:c r="A105" s="1" t="str">
        <x:v>O0104</x:v>
      </x:c>
      <x:c r="B105" s="1" t="str">
        <x:v>cmm3b1g6j000j04jt8w2u9z6w</x:v>
      </x:c>
      <x:c r="C105" s="1" t="str">
        <x:v>cmm3awy72000404jtfbucs83q</x:v>
      </x:c>
      <x:c r="D105" s="1" t="str">
        <x:v>skeleton-args-ca2025000412-e17d5e10793fe216</x:v>
      </x:c>
      <x:c r="E105" s="1" t="str">
        <x:v>synthetic</x:v>
      </x:c>
      <x:c r="F105" s="15" t="str">
        <x:v>R (Harrison) v Secretary of State for Justice</x:v>
      </x:c>
      <x:c r="G105" s="16" t="n">
        <x:v>46079.42550269676</x:v>
      </x:c>
      <x:c r="H105" s="15" t="str">
        <x:v>case</x:v>
      </x:c>
      <x:c r="I105" s="15" t="str">
        <x:v>case:2000 1 wlr 377</x:v>
      </x:c>
      <x:c r="J105" s="15" t="str">
        <x:v>Flannery v Halifax Estate Agencies Ltd [2000] 1 WLR 377</x:v>
      </x:c>
      <x:c r="K105" s="15" t="str">
        <x:v>Flannery v Halifax Estate Agencies Ltd [2000] 1 WLR 377</x:v>
      </x:c>
      <x:c r="L105" s="15" t="str"/>
      <x:c r="M105" s="15" t="str"/>
      <x:c r="N105" s="15" t="str">
        <x:v>legalFramework.precedentCitations[0]</x:v>
      </x:c>
      <x:c r="O105" s="15" t="str">
        <x:v>structured_json</x:v>
      </x:c>
      <x:c r="P105" s="15" t="str">
        <x:v>binding</x:v>
      </x:c>
      <x:c r="Q105" s="15" t="str"/>
      <x:c r="R105" s="15" t="str">
        <x:v>Duty to provide adequate reasons for decisions that may affect individual rights.</x:v>
      </x:c>
      <x:c r="S105" s="15" t="str"/>
    </x:row>
    <x:row r="106">
      <x:c r="A106" s="1" t="str">
        <x:v>O0105</x:v>
      </x:c>
      <x:c r="B106" s="1" t="str">
        <x:v>cmm3b1g6j000j04jt8w2u9z6w</x:v>
      </x:c>
      <x:c r="C106" s="1" t="str">
        <x:v>cmm3awy72000404jtfbucs83q</x:v>
      </x:c>
      <x:c r="D106" s="1" t="str">
        <x:v>skeleton-args-ca2025000412-e17d5e10793fe216</x:v>
      </x:c>
      <x:c r="E106" s="1" t="str">
        <x:v>synthetic</x:v>
      </x:c>
      <x:c r="F106" s="15" t="str">
        <x:v>R (Harrison) v Secretary of State for Justice</x:v>
      </x:c>
      <x:c r="G106" s="16" t="n">
        <x:v>46079.42550269676</x:v>
      </x:c>
      <x:c r="H106" s="15" t="str">
        <x:v>case</x:v>
      </x:c>
      <x:c r="I106" s="15" t="str">
        <x:v>case:2002 ewca civ 605</x:v>
      </x:c>
      <x:c r="J106" s="15" t="str">
        <x:v>English v Emery Reimbold &amp; Strick Ltd [2002] EWCA Civ 605</x:v>
      </x:c>
      <x:c r="K106" s="15" t="str">
        <x:v>English v Emery Reimbold &amp; Strick Ltd [2002] EWCA Civ 605</x:v>
      </x:c>
      <x:c r="L106" s="15" t="str"/>
      <x:c r="M106" s="15" t="str"/>
      <x:c r="N106" s="15" t="str">
        <x:v>legalFramework.precedentCitations[1]</x:v>
      </x:c>
      <x:c r="O106" s="15" t="str">
        <x:v>structured_json</x:v>
      </x:c>
      <x:c r="P106" s="15" t="str">
        <x:v>binding</x:v>
      </x:c>
      <x:c r="Q106" s="15" t="str"/>
      <x:c r="R106" s="15" t="str">
        <x:v>Adequacy of reasons in judgments.</x:v>
      </x:c>
      <x:c r="S106" s="15" t="str"/>
    </x:row>
    <x:row r="107">
      <x:c r="A107" s="1" t="str">
        <x:v>O0106</x:v>
      </x:c>
      <x:c r="B107" s="1" t="str">
        <x:v>cmm3b1g6j000j04jt8w2u9z6w</x:v>
      </x:c>
      <x:c r="C107" s="1" t="str">
        <x:v>cmm3awy72000404jtfbucs83q</x:v>
      </x:c>
      <x:c r="D107" s="1" t="str">
        <x:v>skeleton-args-ca2025000412-e17d5e10793fe216</x:v>
      </x:c>
      <x:c r="E107" s="1" t="str">
        <x:v>synthetic</x:v>
      </x:c>
      <x:c r="F107" s="15" t="str">
        <x:v>R (Harrison) v Secretary of State for Justice</x:v>
      </x:c>
      <x:c r="G107" s="16" t="n">
        <x:v>46079.42550269676</x:v>
      </x:c>
      <x:c r="H107" s="15" t="str">
        <x:v>legislation</x:v>
      </x:c>
      <x:c r="I107" s="15" t="str">
        <x:v>legislation:european convention on human rights article 2 protocol 1</x:v>
      </x:c>
      <x:c r="J107" s="15" t="str">
        <x:v>European Convention on Human Rights</x:v>
      </x:c>
      <x:c r="K107" s="15" t="str">
        <x:v>European Convention on Human Rights Article 2 Protocol 1</x:v>
      </x:c>
      <x:c r="L107" s="15" t="str"/>
      <x:c r="M107" s="15" t="str">
        <x:v>Article 2 Protocol 1</x:v>
      </x:c>
      <x:c r="N107" s="15" t="str">
        <x:v>legalFramework.statutoryProvisions[0]</x:v>
      </x:c>
      <x:c r="O107" s="15" t="str">
        <x:v>structured_json</x:v>
      </x:c>
      <x:c r="P107" s="15" t="str"/>
      <x:c r="Q107" s="15" t="str"/>
      <x:c r="R107" s="15" t="str">
        <x:v>Ensures the right to education and sets limitations under which state authorities can impose restrictions on this right in prisons.</x:v>
      </x:c>
      <x:c r="S107" s="15" t="str">
        <x:v>https://www.echr.coe.int/documents/convention_eng.pdf</x:v>
      </x:c>
    </x:row>
    <x:row r="108">
      <x:c r="A108" s="1" t="str">
        <x:v>O0107</x:v>
      </x:c>
      <x:c r="B108" s="1" t="str">
        <x:v>cmm3b1g6j000j04jt8w2u9z6w</x:v>
      </x:c>
      <x:c r="C108" s="1" t="str">
        <x:v>cmm3awy72000404jtfbucs83q</x:v>
      </x:c>
      <x:c r="D108" s="1" t="str">
        <x:v>skeleton-args-ca2025000412-e17d5e10793fe216</x:v>
      </x:c>
      <x:c r="E108" s="1" t="str">
        <x:v>synthetic</x:v>
      </x:c>
      <x:c r="F108" s="15" t="str">
        <x:v>R (Harrison) v Secretary of State for Justice</x:v>
      </x:c>
      <x:c r="G108" s="16" t="n">
        <x:v>46079.42550269676</x:v>
      </x:c>
      <x:c r="H108" s="15" t="str">
        <x:v>legislation</x:v>
      </x:c>
      <x:c r="I108" s="15" t="str">
        <x:v>legislation:senior courts act 1981 s 35a</x:v>
      </x:c>
      <x:c r="J108" s="15" t="str">
        <x:v>Senior Courts Act 1981</x:v>
      </x:c>
      <x:c r="K108" s="15" t="str">
        <x:v>Senior Courts Act 1981 s.35A</x:v>
      </x:c>
      <x:c r="L108" s="15" t="str"/>
      <x:c r="M108" s="15" t="str">
        <x:v>s.35A</x:v>
      </x:c>
      <x:c r="N108" s="15" t="str">
        <x:v>legalFramework.statutoryProvisions[1]</x:v>
      </x:c>
      <x:c r="O108" s="15" t="str">
        <x:v>structured_json</x:v>
      </x:c>
      <x:c r="P108" s="15" t="str"/>
      <x:c r="Q108" s="15" t="str"/>
      <x:c r="R108" s="15" t="str">
        <x:v>Addresses the applicability of interest on sums awarded as damages or debts, particularly as they pertain to the context of this case’s relief sought.</x:v>
      </x:c>
      <x:c r="S108" s="15" t="str">
        <x:v>https://www.legislation.gov.uk/ukpga/1981/54/contents/enacted</x:v>
      </x:c>
    </x:row>
    <x:row r="109">
      <x:c r="A109" s="1" t="str">
        <x:v>O0108</x:v>
      </x:c>
      <x:c r="B109" s="1" t="str">
        <x:v>cmm3b1g6j000j04jt8w2u9z6w</x:v>
      </x:c>
      <x:c r="C109" s="1" t="str">
        <x:v>cmm3awy72000404jtfbucs83q</x:v>
      </x:c>
      <x:c r="D109" s="1" t="str">
        <x:v>skeleton-args-ca2025000412-e17d5e10793fe216</x:v>
      </x:c>
      <x:c r="E109" s="1" t="str">
        <x:v>synthetic</x:v>
      </x:c>
      <x:c r="F109" s="15" t="str">
        <x:v>R (Harrison) v Secretary of State for Justice</x:v>
      </x:c>
      <x:c r="G109" s="16" t="n">
        <x:v>46079.42550269676</x:v>
      </x:c>
      <x:c r="H109" s="15" t="str">
        <x:v>legislation</x:v>
      </x:c>
      <x:c r="I109" s="15" t="str">
        <x:v>legislation:senior courts act 1981 s 35a</x:v>
      </x:c>
      <x:c r="J109" s="15" t="str">
        <x:v>Senior Courts Act 1981, s.35A</x:v>
      </x:c>
      <x:c r="K109" s="15" t="str">
        <x:v>Senior Courts Act 1981, s.35A</x:v>
      </x:c>
      <x:c r="L109" s="15" t="str"/>
      <x:c r="M109" s="15" t="str"/>
      <x:c r="N109" s="15" t="str">
        <x:v>decisionAndDisposition.interest.statutoryBasis</x:v>
      </x:c>
      <x:c r="O109" s="15" t="str">
        <x:v>structured_json</x:v>
      </x:c>
      <x:c r="P109" s="15" t="str"/>
      <x:c r="Q109" s="15" t="str"/>
      <x:c r="R109" s="15" t="str"/>
      <x:c r="S109" s="15" t="str"/>
    </x:row>
    <x:row r="110">
      <x:c r="A110" s="1" t="str">
        <x:v>O0109</x:v>
      </x:c>
      <x:c r="B110" s="1" t="str">
        <x:v>cmm3b1g6j000j04jt8w2u9z6w</x:v>
      </x:c>
      <x:c r="C110" s="1" t="str">
        <x:v>cmm3awy72000404jtfbucs83q</x:v>
      </x:c>
      <x:c r="D110" s="1" t="str">
        <x:v>skeleton-args-ca2025000412-e17d5e10793fe216</x:v>
      </x:c>
      <x:c r="E110" s="1" t="str">
        <x:v>synthetic</x:v>
      </x:c>
      <x:c r="F110" s="15" t="str">
        <x:v>R (Harrison) v Secretary of State for Justice</x:v>
      </x:c>
      <x:c r="G110" s="16" t="n">
        <x:v>46079.42550269676</x:v>
      </x:c>
      <x:c r="H110" s="15" t="str">
        <x:v>legislation</x:v>
      </x:c>
      <x:c r="I110" s="15" t="str">
        <x:v>legislation:application of article 2 protocol 1 of the echr on educational access</x:v>
      </x:c>
      <x:c r="J110" s="15" t="str">
        <x:v>Application of Article 2 Protocol 1 of the ECHR on educational access.</x:v>
      </x:c>
      <x:c r="K110" s="15" t="str">
        <x:v>Application of Article 2 Protocol 1 of the ECHR on educational access.</x:v>
      </x:c>
      <x:c r="L110" s="15" t="str"/>
      <x:c r="M110" s="15" t="str"/>
      <x:c r="N110" s="15" t="str">
        <x:v>legalFramework.legalTestSummaries[0].sourceAuthority</x:v>
      </x:c>
      <x:c r="O110" s="15" t="str">
        <x:v>structured_json</x:v>
      </x:c>
      <x:c r="P110" s="15" t="str"/>
      <x:c r="Q110" s="15" t="str"/>
      <x:c r="R110" s="15" t="str"/>
      <x:c r="S110" s="15" t="str"/>
    </x:row>
    <x:row r="111">
      <x:c r="A111" s="1" t="str">
        <x:v>O0110</x:v>
      </x:c>
      <x:c r="B111" s="1" t="str">
        <x:v>cmm3b1g6j000j04jt8w2u9z6w</x:v>
      </x:c>
      <x:c r="C111" s="1" t="str">
        <x:v>cmm3awy72000404jtfbucs83q</x:v>
      </x:c>
      <x:c r="D111" s="1" t="str">
        <x:v>skeleton-args-ca2025000412-e17d5e10793fe216</x:v>
      </x:c>
      <x:c r="E111" s="1" t="str">
        <x:v>synthetic</x:v>
      </x:c>
      <x:c r="F111" s="15" t="str">
        <x:v>R (Harrison) v Secretary of State for Justice</x:v>
      </x:c>
      <x:c r="G111" s="16" t="n">
        <x:v>46079.42550269676</x:v>
      </x:c>
      <x:c r="H111" s="15" t="str">
        <x:v>case</x:v>
      </x:c>
      <x:c r="I111" s="15" t="str">
        <x:v>case:tigere r on the application of v secretary of state for business innovation and skills</x:v>
      </x:c>
      <x:c r="J111" s="15" t="str">
        <x:v>Tigere, R (On the Application Of) v Secretary of State for Business, Innovation And Skills</x:v>
      </x:c>
      <x:c r="K111" s="15" t="str">
        <x:v>N/A</x:v>
      </x:c>
      <x:c r="L111" s="15" t="str">
        <x:v>02409749-c305-4c56-ad34-3447c9c2371b</x:v>
      </x:c>
      <x:c r="M111" s="15" t="str"/>
      <x:c r="N111" s="15" t="str">
        <x:v>factualFindings.contestedFacts[0].sourceCases[0]</x:v>
      </x:c>
      <x:c r="O111" s="15" t="str">
        <x:v>structured_json</x:v>
      </x:c>
      <x:c r="P111" s="15" t="str"/>
      <x:c r="Q111" s="15" t="str"/>
      <x:c r="R111" s="15" t="str">
        <x:v>Addresses the adequacy of education provisions under restrictive circumstances.</x:v>
      </x:c>
      <x:c r="S111" s="15" t="str"/>
    </x:row>
    <x:row r="112">
      <x:c r="A112" s="1" t="str">
        <x:v>O0111</x:v>
      </x:c>
      <x:c r="B112" s="1" t="str">
        <x:v>cmm3b1g6j000j04jt8w2u9z6w</x:v>
      </x:c>
      <x:c r="C112" s="1" t="str">
        <x:v>cmm3awy72000404jtfbucs83q</x:v>
      </x:c>
      <x:c r="D112" s="1" t="str">
        <x:v>skeleton-args-ca2025000412-e17d5e10793fe216</x:v>
      </x:c>
      <x:c r="E112" s="1" t="str">
        <x:v>synthetic</x:v>
      </x:c>
      <x:c r="F112" s="15" t="str">
        <x:v>R (Harrison) v Secretary of State for Justice</x:v>
      </x:c>
      <x:c r="G112" s="16" t="n">
        <x:v>46079.42550269676</x:v>
      </x:c>
      <x:c r="H112" s="15" t="str">
        <x:v>case</x:v>
      </x:c>
      <x:c r="I112" s="15" t="str">
        <x:v>case:2016 ewca civ 1033</x:v>
      </x:c>
      <x:c r="J112" s="15" t="str">
        <x:v>Brooks, R (on the application of) v The Independent Adjudicator &amp; Anor</x:v>
      </x:c>
      <x:c r="K112" s="15" t="str">
        <x:v>[2016] EWCA Civ 1033</x:v>
      </x:c>
      <x:c r="L112" s="15" t="str">
        <x:v>250a2de0-32f3-4ce2-8b1f-ee964131ee78</x:v>
      </x:c>
      <x:c r="M112" s="15" t="str"/>
      <x:c r="N112" s="15" t="str">
        <x:v>reasoningStructure[0].sourceCases[0]</x:v>
      </x:c>
      <x:c r="O112" s="15" t="str">
        <x:v>structured_json</x:v>
      </x:c>
      <x:c r="P112" s="15" t="str"/>
      <x:c r="Q112" s="15" t="str"/>
      <x:c r="R112" s="15" t="str">
        <x:v>Addresses similar issues regarding educational provisions and security regulations in prison settings.</x:v>
      </x:c>
      <x:c r="S112" s="15" t="str"/>
    </x:row>
    <x:row r="113">
      <x:c r="A113" s="1" t="str">
        <x:v>O0112</x:v>
      </x:c>
      <x:c r="B113" s="1" t="str">
        <x:v>cmm3b1g6j000j04jt8w2u9z6w</x:v>
      </x:c>
      <x:c r="C113" s="1" t="str">
        <x:v>cmm3awy72000404jtfbucs83q</x:v>
      </x:c>
      <x:c r="D113" s="1" t="str">
        <x:v>skeleton-args-ca2025000412-e17d5e10793fe216</x:v>
      </x:c>
      <x:c r="E113" s="1" t="str">
        <x:v>synthetic</x:v>
      </x:c>
      <x:c r="F113" s="15" t="str">
        <x:v>R (Harrison) v Secretary of State for Justice</x:v>
      </x:c>
      <x:c r="G113" s="16" t="n">
        <x:v>46079.42550269676</x:v>
      </x:c>
      <x:c r="H113" s="15" t="str">
        <x:v>case</x:v>
      </x:c>
      <x:c r="I113" s="15" t="str">
        <x:v>case:2023 ewca civ 27</x:v>
      </x:c>
      <x:c r="J113" s="15" t="str">
        <x:v>Rowan, R (On the Application Of) v Governor of His Majesty's Prison Berwyn &amp; Anor</x:v>
      </x:c>
      <x:c r="K113" s="15" t="str">
        <x:v>[2023] EWCA Civ 27</x:v>
      </x:c>
      <x:c r="L113" s="15" t="str">
        <x:v>7614b7b3-9102-4127-baa4-ed60bb7a82ed</x:v>
      </x:c>
      <x:c r="M113" s="15" t="str"/>
      <x:c r="N113" s="15" t="str">
        <x:v>issuesForDetermination.issueMatrix[0].sourceCases[0]</x:v>
      </x:c>
      <x:c r="O113" s="15" t="str">
        <x:v>structured_json</x:v>
      </x:c>
      <x:c r="P113" s="15" t="str"/>
      <x:c r="Q113" s="15" t="str"/>
      <x:c r="R113" s="15" t="str">
        <x:v>Similar context of assessing limits on educational access in light of security issues raised.</x:v>
      </x:c>
      <x:c r="S113" s="15" t="str"/>
    </x:row>
    <x:row r="114">
      <x:c r="A114" s="1" t="str">
        <x:v>O0113</x:v>
      </x:c>
      <x:c r="B114" s="1" t="str">
        <x:v>cmm920v38000b04ib8ug7hazg</x:v>
      </x:c>
      <x:c r="C114" s="1" t="str">
        <x:v>cmlzojkzd000204l5u8akkk6q</x:v>
      </x:c>
      <x:c r="D114" s="1" t="str">
        <x:v>skeleton-args-ca2018006090-aa90566cb5f6b5de</x:v>
      </x:c>
      <x:c r="E114" s="1" t="str">
        <x:v>synthetic</x:v>
      </x:c>
      <x:c r="F114" s="15" t="str">
        <x:v>Blackwood v Blackwood</x:v>
      </x:c>
      <x:c r="G114" s="16" t="n">
        <x:v>46083.44926630787</x:v>
      </x:c>
      <x:c r="H114" s="15" t="str">
        <x:v>case</x:v>
      </x:c>
      <x:c r="I114" s="15" t="str">
        <x:v>case:armitage v nurse 1998 ch 241</x:v>
      </x:c>
      <x:c r="J114" s="15" t="str">
        <x:v>Armitage v Nurse [1998] Ch 241</x:v>
      </x:c>
      <x:c r="K114" s="15" t="str">
        <x:v>Armitage v Nurse [1998] Ch 241</x:v>
      </x:c>
      <x:c r="L114" s="15" t="str"/>
      <x:c r="M114" s="15" t="str"/>
      <x:c r="N114" s="15" t="str">
        <x:v>legalFramework.precedentCitations[0]</x:v>
      </x:c>
      <x:c r="O114" s="15" t="str">
        <x:v>structured_json</x:v>
      </x:c>
      <x:c r="P114" s="15" t="str">
        <x:v>binding</x:v>
      </x:c>
      <x:c r="Q114" s="15" t="str"/>
      <x:c r="R114" s="15" t="str">
        <x:v>There is a duty on trustees to act prudently and avoid conflicts of interest.</x:v>
      </x:c>
      <x:c r="S114" s="15" t="str"/>
    </x:row>
    <x:row r="115">
      <x:c r="A115" s="1" t="str">
        <x:v>O0114</x:v>
      </x:c>
      <x:c r="B115" s="1" t="str">
        <x:v>cmm920v38000b04ib8ug7hazg</x:v>
      </x:c>
      <x:c r="C115" s="1" t="str">
        <x:v>cmlzojkzd000204l5u8akkk6q</x:v>
      </x:c>
      <x:c r="D115" s="1" t="str">
        <x:v>skeleton-args-ca2018006090-aa90566cb5f6b5de</x:v>
      </x:c>
      <x:c r="E115" s="1" t="str">
        <x:v>synthetic</x:v>
      </x:c>
      <x:c r="F115" s="15" t="str">
        <x:v>Blackwood v Blackwood</x:v>
      </x:c>
      <x:c r="G115" s="16" t="n">
        <x:v>46083.44926630787</x:v>
      </x:c>
      <x:c r="H115" s="15" t="str">
        <x:v>case</x:v>
      </x:c>
      <x:c r="I115" s="15" t="str">
        <x:v>case:2011 ukpc 13</x:v>
      </x:c>
      <x:c r="J115" s="15" t="str">
        <x:v>Spread Trustee Co Ltd v Hutcheson [2011] UKPC 13</x:v>
      </x:c>
      <x:c r="K115" s="15" t="str">
        <x:v>Spread Trustee Co Ltd v Hutcheson [2011] UKPC 13</x:v>
      </x:c>
      <x:c r="L115" s="15" t="str"/>
      <x:c r="M115" s="15" t="str"/>
      <x:c r="N115" s="15" t="str">
        <x:v>legalFramework.precedentCitations[1]</x:v>
      </x:c>
      <x:c r="O115" s="15" t="str">
        <x:v>structured_json</x:v>
      </x:c>
      <x:c r="P115" s="15" t="str">
        <x:v>binding</x:v>
      </x:c>
      <x:c r="Q115" s="15" t="str"/>
      <x:c r="R115" s="15" t="str">
        <x:v>Standard of care and prudence expected of trustees in investment decisions.</x:v>
      </x:c>
      <x:c r="S115" s="15" t="str"/>
    </x:row>
    <x:row r="116">
      <x:c r="A116" s="1" t="str">
        <x:v>O0115</x:v>
      </x:c>
      <x:c r="B116" s="1" t="str">
        <x:v>cmm920v38000b04ib8ug7hazg</x:v>
      </x:c>
      <x:c r="C116" s="1" t="str">
        <x:v>cmlzojkzd000204l5u8akkk6q</x:v>
      </x:c>
      <x:c r="D116" s="1" t="str">
        <x:v>skeleton-args-ca2018006090-aa90566cb5f6b5de</x:v>
      </x:c>
      <x:c r="E116" s="1" t="str">
        <x:v>synthetic</x:v>
      </x:c>
      <x:c r="F116" s="15" t="str">
        <x:v>Blackwood v Blackwood</x:v>
      </x:c>
      <x:c r="G116" s="16" t="n">
        <x:v>46083.44926630787</x:v>
      </x:c>
      <x:c r="H116" s="15" t="str">
        <x:v>legislation</x:v>
      </x:c>
      <x:c r="I116" s="15" t="str">
        <x:v>legislation:trustee act 1925 s 1</x:v>
      </x:c>
      <x:c r="J116" s="15" t="str">
        <x:v>Trustee Act 1925</x:v>
      </x:c>
      <x:c r="K116" s="15" t="str">
        <x:v>Trustee Act 1925 s.1</x:v>
      </x:c>
      <x:c r="L116" s="15" t="str"/>
      <x:c r="M116" s="15" t="str">
        <x:v>s.1</x:v>
      </x:c>
      <x:c r="N116" s="15" t="str">
        <x:v>legalFramework.statutoryProvisions[0]</x:v>
      </x:c>
      <x:c r="O116" s="15" t="str">
        <x:v>structured_json</x:v>
      </x:c>
      <x:c r="P116" s="15" t="str"/>
      <x:c r="Q116" s="15" t="str"/>
      <x:c r="R116" s="15" t="str">
        <x:v>Sets out the duties and powers of trustees, including avoidance of self-dealing.</x:v>
      </x:c>
      <x:c r="S116" s="15" t="str"/>
    </x:row>
    <x:row r="117">
      <x:c r="A117" s="1" t="str">
        <x:v>O0116</x:v>
      </x:c>
      <x:c r="B117" s="1" t="str">
        <x:v>cmm920v38000b04ib8ug7hazg</x:v>
      </x:c>
      <x:c r="C117" s="1" t="str">
        <x:v>cmlzojkzd000204l5u8akkk6q</x:v>
      </x:c>
      <x:c r="D117" s="1" t="str">
        <x:v>skeleton-args-ca2018006090-aa90566cb5f6b5de</x:v>
      </x:c>
      <x:c r="E117" s="1" t="str">
        <x:v>synthetic</x:v>
      </x:c>
      <x:c r="F117" s="15" t="str">
        <x:v>Blackwood v Blackwood</x:v>
      </x:c>
      <x:c r="G117" s="16" t="n">
        <x:v>46083.44926630787</x:v>
      </x:c>
      <x:c r="H117" s="15" t="str">
        <x:v>legislation</x:v>
      </x:c>
      <x:c r="I117" s="15" t="str">
        <x:v>legislation:trustee act 2000 s 4</x:v>
      </x:c>
      <x:c r="J117" s="15" t="str">
        <x:v>Trustee Act 2000</x:v>
      </x:c>
      <x:c r="K117" s="15" t="str">
        <x:v>Trustee Act 2000 s.4</x:v>
      </x:c>
      <x:c r="L117" s="15" t="str"/>
      <x:c r="M117" s="15" t="str">
        <x:v>s.4</x:v>
      </x:c>
      <x:c r="N117" s="15" t="str">
        <x:v>legalFramework.statutoryProvisions[1]</x:v>
      </x:c>
      <x:c r="O117" s="15" t="str">
        <x:v>structured_json</x:v>
      </x:c>
      <x:c r="P117" s="15" t="str"/>
      <x:c r="Q117" s="15" t="str"/>
      <x:c r="R117" s="15" t="str">
        <x:v>Mandates the standard of care expected from trustees in investment matters.</x:v>
      </x:c>
      <x:c r="S117" s="15" t="str"/>
    </x:row>
    <x:row r="118">
      <x:c r="A118" s="1" t="str">
        <x:v>O0117</x:v>
      </x:c>
      <x:c r="B118" s="1" t="str">
        <x:v>cmm920v38000b04ib8ug7hazg</x:v>
      </x:c>
      <x:c r="C118" s="1" t="str">
        <x:v>cmlzojkzd000204l5u8akkk6q</x:v>
      </x:c>
      <x:c r="D118" s="1" t="str">
        <x:v>skeleton-args-ca2018006090-aa90566cb5f6b5de</x:v>
      </x:c>
      <x:c r="E118" s="1" t="str">
        <x:v>synthetic</x:v>
      </x:c>
      <x:c r="F118" s="15" t="str">
        <x:v>Blackwood v Blackwood</x:v>
      </x:c>
      <x:c r="G118" s="16" t="n">
        <x:v>46083.44926630787</x:v>
      </x:c>
      <x:c r="H118" s="15" t="str">
        <x:v>legislation</x:v>
      </x:c>
      <x:c r="I118" s="15" t="str">
        <x:v>legislation:senior courts act 1981 s 35a</x:v>
      </x:c>
      <x:c r="J118" s="15" t="str">
        <x:v>Senior Courts Act 1981, s.35A</x:v>
      </x:c>
      <x:c r="K118" s="15" t="str">
        <x:v>Senior Courts Act 1981, s.35A</x:v>
      </x:c>
      <x:c r="L118" s="15" t="str"/>
      <x:c r="M118" s="15" t="str"/>
      <x:c r="N118" s="15" t="str">
        <x:v>decisionAndDisposition.interest.statutoryBasis</x:v>
      </x:c>
      <x:c r="O118" s="15" t="str">
        <x:v>structured_json</x:v>
      </x:c>
      <x:c r="P118" s="15" t="str"/>
      <x:c r="Q118" s="15" t="str"/>
      <x:c r="R118" s="15" t="str"/>
      <x:c r="S118" s="15" t="str"/>
    </x:row>
    <x:row r="119">
      <x:c r="A119" s="1" t="str">
        <x:v>O0118</x:v>
      </x:c>
      <x:c r="B119" s="1" t="str">
        <x:v>cmm920v38000b04ib8ug7hazg</x:v>
      </x:c>
      <x:c r="C119" s="1" t="str">
        <x:v>cmlzojkzd000204l5u8akkk6q</x:v>
      </x:c>
      <x:c r="D119" s="1" t="str">
        <x:v>skeleton-args-ca2018006090-aa90566cb5f6b5de</x:v>
      </x:c>
      <x:c r="E119" s="1" t="str">
        <x:v>synthetic</x:v>
      </x:c>
      <x:c r="F119" s="15" t="str">
        <x:v>Blackwood v Blackwood</x:v>
      </x:c>
      <x:c r="G119" s="16" t="n">
        <x:v>46083.44926630787</x:v>
      </x:c>
      <x:c r="H119" s="15" t="str">
        <x:v>case</x:v>
      </x:c>
      <x:c r="I119" s="15" t="str">
        <x:v>case:creggy v barnett &amp; anor</x:v>
      </x:c>
      <x:c r="J119" s="15" t="str">
        <x:v>Creggy v Barnett &amp; Anor</x:v>
      </x:c>
      <x:c r="K119" s="15" t="str"/>
      <x:c r="L119" s="15" t="str">
        <x:v>4f894b7c-50f6-46f4-b08a-7d5f549411bb</x:v>
      </x:c>
      <x:c r="M119" s="15" t="str"/>
      <x:c r="N119" s="15" t="str">
        <x:v>factualFindings.contestedFacts[0].sourceCases[0]</x:v>
      </x:c>
      <x:c r="O119" s="15" t="str">
        <x:v>structured_json</x:v>
      </x:c>
      <x:c r="P119" s="15" t="str"/>
      <x:c r="Q119" s="15" t="str"/>
      <x:c r="R119" s="15" t="str">
        <x:v>This case discusses the fiduciary duties of trustees in self-dealing scenarios.</x:v>
      </x:c>
      <x:c r="S119" s="15" t="str"/>
    </x:row>
    <x:row r="120">
      <x:c r="A120" s="1" t="str">
        <x:v>O0119</x:v>
      </x:c>
      <x:c r="B120" s="1" t="str">
        <x:v>cmm920v38000b04ib8ug7hazg</x:v>
      </x:c>
      <x:c r="C120" s="1" t="str">
        <x:v>cmlzojkzd000204l5u8akkk6q</x:v>
      </x:c>
      <x:c r="D120" s="1" t="str">
        <x:v>skeleton-args-ca2018006090-aa90566cb5f6b5de</x:v>
      </x:c>
      <x:c r="E120" s="1" t="str">
        <x:v>synthetic</x:v>
      </x:c>
      <x:c r="F120" s="15" t="str">
        <x:v>Blackwood v Blackwood</x:v>
      </x:c>
      <x:c r="G120" s="16" t="n">
        <x:v>46083.44926630787</x:v>
      </x:c>
      <x:c r="H120" s="15" t="str">
        <x:v>case</x:v>
      </x:c>
      <x:c r="I120" s="15" t="str">
        <x:v>case:floreat investment management ltd v churchill &amp; ors</x:v>
      </x:c>
      <x:c r="J120" s="15" t="str">
        <x:v>Floreat Investment Management Ltd v Churchill &amp; Ors</x:v>
      </x:c>
      <x:c r="K120" s="15" t="str"/>
      <x:c r="L120" s="15" t="str">
        <x:v>cfb9db03-44c0-4604-926a-a76e01575d88</x:v>
      </x:c>
      <x:c r="M120" s="15" t="str"/>
      <x:c r="N120" s="15" t="str">
        <x:v>factualFindings.contestedFacts[1].sourceCases[0]</x:v>
      </x:c>
      <x:c r="O120" s="15" t="str">
        <x:v>structured_json</x:v>
      </x:c>
      <x:c r="P120" s="15" t="str"/>
      <x:c r="Q120" s="15" t="str"/>
      <x:c r="R120" s="15" t="str">
        <x:v>This case emphasizes the need for equity in distributions by trustees, relevant to the misuse of discretion.</x:v>
      </x:c>
      <x:c r="S120" s="15" t="str"/>
    </x:row>
    <x:row r="121">
      <x:c r="A121" s="1" t="str">
        <x:v>O0120</x:v>
      </x:c>
      <x:c r="B121" s="1" t="str">
        <x:v>cmm920v38000b04ib8ug7hazg</x:v>
      </x:c>
      <x:c r="C121" s="1" t="str">
        <x:v>cmlzojkzd000204l5u8akkk6q</x:v>
      </x:c>
      <x:c r="D121" s="1" t="str">
        <x:v>skeleton-args-ca2018006090-aa90566cb5f6b5de</x:v>
      </x:c>
      <x:c r="E121" s="1" t="str">
        <x:v>synthetic</x:v>
      </x:c>
      <x:c r="F121" s="15" t="str">
        <x:v>Blackwood v Blackwood</x:v>
      </x:c>
      <x:c r="G121" s="16" t="n">
        <x:v>46083.44926630787</x:v>
      </x:c>
      <x:c r="H121" s="15" t="str">
        <x:v>case</x:v>
      </x:c>
      <x:c r="I121" s="15" t="str">
        <x:v>case:creggy v barnett &amp; anor</x:v>
      </x:c>
      <x:c r="J121" s="15" t="str">
        <x:v>Creggy v Barnett &amp; Anor</x:v>
      </x:c>
      <x:c r="K121" s="15" t="str"/>
      <x:c r="L121" s="15" t="str">
        <x:v>4f894b7c-50f6-46f4-b08a-7d5f549411bb</x:v>
      </x:c>
      <x:c r="M121" s="15" t="str"/>
      <x:c r="N121" s="15" t="str">
        <x:v>reasoningStructure[0].sourceCases[0]</x:v>
      </x:c>
      <x:c r="O121" s="15" t="str">
        <x:v>structured_json</x:v>
      </x:c>
      <x:c r="P121" s="15" t="str"/>
      <x:c r="Q121" s="15" t="str"/>
      <x:c r="R121" s="15" t="str">
        <x:v>Guides the interpretation around trustee self-dealing and proper fiduciary actions.</x:v>
      </x:c>
      <x:c r="S121" s="15" t="str"/>
    </x:row>
    <x:row r="122">
      <x:c r="A122" s="1" t="str">
        <x:v>O0121</x:v>
      </x:c>
      <x:c r="B122" s="1" t="str">
        <x:v>cmm920v38000b04ib8ug7hazg</x:v>
      </x:c>
      <x:c r="C122" s="1" t="str">
        <x:v>cmlzojkzd000204l5u8akkk6q</x:v>
      </x:c>
      <x:c r="D122" s="1" t="str">
        <x:v>skeleton-args-ca2018006090-aa90566cb5f6b5de</x:v>
      </x:c>
      <x:c r="E122" s="1" t="str">
        <x:v>synthetic</x:v>
      </x:c>
      <x:c r="F122" s="15" t="str">
        <x:v>Blackwood v Blackwood</x:v>
      </x:c>
      <x:c r="G122" s="16" t="n">
        <x:v>46083.44926630787</x:v>
      </x:c>
      <x:c r="H122" s="15" t="str">
        <x:v>case</x:v>
      </x:c>
      <x:c r="I122" s="15" t="str">
        <x:v>case:floreat investment management ltd v churchill &amp; ors</x:v>
      </x:c>
      <x:c r="J122" s="15" t="str">
        <x:v>Floreat Investment Management Ltd v Churchill &amp; Ors</x:v>
      </x:c>
      <x:c r="K122" s="15" t="str"/>
      <x:c r="L122" s="15" t="str">
        <x:v>cfb9db03-44c0-4604-926a-a76e01575d88</x:v>
      </x:c>
      <x:c r="M122" s="15" t="str"/>
      <x:c r="N122" s="15" t="str">
        <x:v>reasoningStructure[1].sourceCases[0]</x:v>
      </x:c>
      <x:c r="O122" s="15" t="str">
        <x:v>structured_json</x:v>
      </x:c>
      <x:c r="P122" s="15" t="str"/>
      <x:c r="Q122" s="15" t="str"/>
      <x:c r="R122" s="15" t="str">
        <x:v>This case supports the understanding of equitable principles in trustee distributions.</x:v>
      </x:c>
      <x:c r="S122" s="15" t="str"/>
    </x:row>
    <x:row r="123">
      <x:c r="A123" s="1" t="str">
        <x:v>O0122</x:v>
      </x:c>
      <x:c r="B123" s="1" t="str">
        <x:v>cmm920v38000b04ib8ug7hazg</x:v>
      </x:c>
      <x:c r="C123" s="1" t="str">
        <x:v>cmlzojkzd000204l5u8akkk6q</x:v>
      </x:c>
      <x:c r="D123" s="1" t="str">
        <x:v>skeleton-args-ca2018006090-aa90566cb5f6b5de</x:v>
      </x:c>
      <x:c r="E123" s="1" t="str">
        <x:v>synthetic</x:v>
      </x:c>
      <x:c r="F123" s="15" t="str">
        <x:v>Blackwood v Blackwood</x:v>
      </x:c>
      <x:c r="G123" s="16" t="n">
        <x:v>46083.44926630787</x:v>
      </x:c>
      <x:c r="H123" s="15" t="str">
        <x:v>case</x:v>
      </x:c>
      <x:c r="I123" s="15" t="str">
        <x:v>case:creggy v barnett &amp; anor</x:v>
      </x:c>
      <x:c r="J123" s="15" t="str">
        <x:v>Creggy v Barnett &amp; Anor</x:v>
      </x:c>
      <x:c r="K123" s="15" t="str"/>
      <x:c r="L123" s="15" t="str">
        <x:v>4f894b7c-50f6-46f4-b08a-7d5f549411bb</x:v>
      </x:c>
      <x:c r="M123" s="15" t="str"/>
      <x:c r="N123" s="15" t="str">
        <x:v>issuesForDetermination.issueMatrix[0].sourceCases[0]</x:v>
      </x:c>
      <x:c r="O123" s="15" t="str">
        <x:v>structured_json</x:v>
      </x:c>
      <x:c r="P123" s="15" t="str"/>
      <x:c r="Q123" s="15" t="str"/>
      <x:c r="R123" s="15" t="str">
        <x:v>Relevant in assessing trustee self-dealing cases emphasizing fiduciary failures.</x:v>
      </x:c>
      <x:c r="S123" s="15" t="str"/>
    </x:row>
    <x:row r="124">
      <x:c r="A124" s="1" t="str">
        <x:v>O0123</x:v>
      </x:c>
      <x:c r="B124" s="1" t="str">
        <x:v>cmm920v38000b04ib8ug7hazg</x:v>
      </x:c>
      <x:c r="C124" s="1" t="str">
        <x:v>cmlzojkzd000204l5u8akkk6q</x:v>
      </x:c>
      <x:c r="D124" s="1" t="str">
        <x:v>skeleton-args-ca2018006090-aa90566cb5f6b5de</x:v>
      </x:c>
      <x:c r="E124" s="1" t="str">
        <x:v>synthetic</x:v>
      </x:c>
      <x:c r="F124" s="15" t="str">
        <x:v>Blackwood v Blackwood</x:v>
      </x:c>
      <x:c r="G124" s="16" t="n">
        <x:v>46083.44926630787</x:v>
      </x:c>
      <x:c r="H124" s="15" t="str">
        <x:v>case</x:v>
      </x:c>
      <x:c r="I124" s="15" t="str">
        <x:v>case:floreat investment management ltd v churchill &amp; ors</x:v>
      </x:c>
      <x:c r="J124" s="15" t="str">
        <x:v>Floreat Investment Management Ltd v Churchill &amp; Ors</x:v>
      </x:c>
      <x:c r="K124" s="15" t="str"/>
      <x:c r="L124" s="15" t="str">
        <x:v>cfb9db03-44c0-4604-926a-a76e01575d88</x:v>
      </x:c>
      <x:c r="M124" s="15" t="str"/>
      <x:c r="N124" s="15" t="str">
        <x:v>issuesForDetermination.issueMatrix[1].sourceCases[0]</x:v>
      </x:c>
      <x:c r="O124" s="15" t="str">
        <x:v>structured_json</x:v>
      </x:c>
      <x:c r="P124" s="15" t="str"/>
      <x:c r="Q124" s="15" t="str"/>
      <x:c r="R124" s="15" t="str">
        <x:v>This case provides clarity on equitable distributions expected from trustees.</x:v>
      </x:c>
      <x:c r="S124" s="15" t="str"/>
    </x:row>
    <x:row r="125">
      <x:c r="A125" s="1" t="str">
        <x:v>O0124</x:v>
      </x:c>
      <x:c r="B125" s="1" t="str">
        <x:v>cmm927sxp000304jp8fpwf2ew</x:v>
      </x:c>
      <x:c r="C125" s="1" t="str">
        <x:v>cmlzojkzd000204l5u8akkk6q</x:v>
      </x:c>
      <x:c r="D125" s="1" t="str">
        <x:v>skeleton-args-ca2018006090-aa90566cb5f6b5de</x:v>
      </x:c>
      <x:c r="E125" s="1" t="str">
        <x:v>synthetic</x:v>
      </x:c>
      <x:c r="F125" s="15" t="str">
        <x:v>Blackwood v Blackwood</x:v>
      </x:c>
      <x:c r="G125" s="16" t="n">
        <x:v>46083.45301398148</x:v>
      </x:c>
      <x:c r="H125" s="15" t="str">
        <x:v>case</x:v>
      </x:c>
      <x:c r="I125" s="15" t="str">
        <x:v>case:armitage v nurse 1998 ch 241</x:v>
      </x:c>
      <x:c r="J125" s="15" t="str">
        <x:v>Armitage v Nurse [1998] Ch 241</x:v>
      </x:c>
      <x:c r="K125" s="15" t="str">
        <x:v>Armitage v Nurse [1998] Ch 241</x:v>
      </x:c>
      <x:c r="L125" s="15" t="str"/>
      <x:c r="M125" s="15" t="str"/>
      <x:c r="N125" s="15" t="str">
        <x:v>legalFramework.precedentCitations[0]</x:v>
      </x:c>
      <x:c r="O125" s="15" t="str">
        <x:v>structured_json</x:v>
      </x:c>
      <x:c r="P125" s="15" t="str">
        <x:v>binding</x:v>
      </x:c>
      <x:c r="Q125" s="15" t="str"/>
      <x:c r="R125" s="15" t="str">
        <x:v>Trustees must administrate with reasonable skill and care when handling beneficiary interests.</x:v>
      </x:c>
      <x:c r="S125" s="15" t="str"/>
    </x:row>
    <x:row r="126">
      <x:c r="A126" s="1" t="str">
        <x:v>O0125</x:v>
      </x:c>
      <x:c r="B126" s="1" t="str">
        <x:v>cmm927sxp000304jp8fpwf2ew</x:v>
      </x:c>
      <x:c r="C126" s="1" t="str">
        <x:v>cmlzojkzd000204l5u8akkk6q</x:v>
      </x:c>
      <x:c r="D126" s="1" t="str">
        <x:v>skeleton-args-ca2018006090-aa90566cb5f6b5de</x:v>
      </x:c>
      <x:c r="E126" s="1" t="str">
        <x:v>synthetic</x:v>
      </x:c>
      <x:c r="F126" s="15" t="str">
        <x:v>Blackwood v Blackwood</x:v>
      </x:c>
      <x:c r="G126" s="16" t="n">
        <x:v>46083.45301398148</x:v>
      </x:c>
      <x:c r="H126" s="15" t="str">
        <x:v>case</x:v>
      </x:c>
      <x:c r="I126" s="15" t="str">
        <x:v>case:2000 1 wlr 377</x:v>
      </x:c>
      <x:c r="J126" s="15" t="str">
        <x:v>Flannery v Halifax Estate Agencies Ltd [2000] 1 WLR 377</x:v>
      </x:c>
      <x:c r="K126" s="15" t="str">
        <x:v>Flannery v Halifax Estate Agencies Ltd [2000] 1 WLR 377</x:v>
      </x:c>
      <x:c r="L126" s="15" t="str"/>
      <x:c r="M126" s="15" t="str"/>
      <x:c r="N126" s="15" t="str">
        <x:v>legalFramework.precedentCitations[1]</x:v>
      </x:c>
      <x:c r="O126" s="15" t="str">
        <x:v>structured_json</x:v>
      </x:c>
      <x:c r="P126" s="15" t="str">
        <x:v>binding</x:v>
      </x:c>
      <x:c r="Q126" s="15" t="str"/>
      <x:c r="R126" s="15" t="str">
        <x:v>Adequate reasons must be provided for decisions affecting parties.</x:v>
      </x:c>
      <x:c r="S126" s="15" t="str"/>
    </x:row>
    <x:row r="127">
      <x:c r="A127" s="1" t="str">
        <x:v>O0126</x:v>
      </x:c>
      <x:c r="B127" s="1" t="str">
        <x:v>cmm927sxp000304jp8fpwf2ew</x:v>
      </x:c>
      <x:c r="C127" s="1" t="str">
        <x:v>cmlzojkzd000204l5u8akkk6q</x:v>
      </x:c>
      <x:c r="D127" s="1" t="str">
        <x:v>skeleton-args-ca2018006090-aa90566cb5f6b5de</x:v>
      </x:c>
      <x:c r="E127" s="1" t="str">
        <x:v>synthetic</x:v>
      </x:c>
      <x:c r="F127" s="15" t="str">
        <x:v>Blackwood v Blackwood</x:v>
      </x:c>
      <x:c r="G127" s="16" t="n">
        <x:v>46083.45301398148</x:v>
      </x:c>
      <x:c r="H127" s="15" t="str">
        <x:v>legislation</x:v>
      </x:c>
      <x:c r="I127" s="15" t="str">
        <x:v>legislation:trustee act 1925 s 1 1</x:v>
      </x:c>
      <x:c r="J127" s="15" t="str">
        <x:v>Trustee Act 1925</x:v>
      </x:c>
      <x:c r="K127" s="15" t="str">
        <x:v>Trustee Act 1925 s.1(1)</x:v>
      </x:c>
      <x:c r="L127" s="15" t="str"/>
      <x:c r="M127" s="15" t="str">
        <x:v>s.1(1)</x:v>
      </x:c>
      <x:c r="N127" s="15" t="str">
        <x:v>legalFramework.statutoryProvisions[0]</x:v>
      </x:c>
      <x:c r="O127" s="15" t="str">
        <x:v>structured_json</x:v>
      </x:c>
      <x:c r="P127" s="15" t="str"/>
      <x:c r="Q127" s="15" t="str"/>
      <x:c r="R127" s="15" t="str">
        <x:v>Establishes standards for trustee behavior and fiduciary duty.</x:v>
      </x:c>
      <x:c r="S127" s="15" t="str"/>
    </x:row>
    <x:row r="128">
      <x:c r="A128" s="1" t="str">
        <x:v>O0127</x:v>
      </x:c>
      <x:c r="B128" s="1" t="str">
        <x:v>cmm927sxp000304jp8fpwf2ew</x:v>
      </x:c>
      <x:c r="C128" s="1" t="str">
        <x:v>cmlzojkzd000204l5u8akkk6q</x:v>
      </x:c>
      <x:c r="D128" s="1" t="str">
        <x:v>skeleton-args-ca2018006090-aa90566cb5f6b5de</x:v>
      </x:c>
      <x:c r="E128" s="1" t="str">
        <x:v>synthetic</x:v>
      </x:c>
      <x:c r="F128" s="15" t="str">
        <x:v>Blackwood v Blackwood</x:v>
      </x:c>
      <x:c r="G128" s="16" t="n">
        <x:v>46083.45301398148</x:v>
      </x:c>
      <x:c r="H128" s="15" t="str">
        <x:v>legislation</x:v>
      </x:c>
      <x:c r="I128" s="15" t="str">
        <x:v>legislation:trustee act 2000 s 4</x:v>
      </x:c>
      <x:c r="J128" s="15" t="str">
        <x:v>Trustee Act 2000</x:v>
      </x:c>
      <x:c r="K128" s="15" t="str">
        <x:v>Trustee Act 2000 s.4</x:v>
      </x:c>
      <x:c r="L128" s="15" t="str"/>
      <x:c r="M128" s="15" t="str">
        <x:v>s.4</x:v>
      </x:c>
      <x:c r="N128" s="15" t="str">
        <x:v>legalFramework.statutoryProvisions[1]</x:v>
      </x:c>
      <x:c r="O128" s="15" t="str">
        <x:v>structured_json</x:v>
      </x:c>
      <x:c r="P128" s="15" t="str"/>
      <x:c r="Q128" s="15" t="str"/>
      <x:c r="R128" s="15" t="str">
        <x:v>Relates to the duty of care in investment decisions.</x:v>
      </x:c>
      <x:c r="S128" s="15" t="str"/>
    </x:row>
    <x:row r="129">
      <x:c r="A129" s="1" t="str">
        <x:v>O0128</x:v>
      </x:c>
      <x:c r="B129" s="1" t="str">
        <x:v>cmm927sxp000304jp8fpwf2ew</x:v>
      </x:c>
      <x:c r="C129" s="1" t="str">
        <x:v>cmlzojkzd000204l5u8akkk6q</x:v>
      </x:c>
      <x:c r="D129" s="1" t="str">
        <x:v>skeleton-args-ca2018006090-aa90566cb5f6b5de</x:v>
      </x:c>
      <x:c r="E129" s="1" t="str">
        <x:v>synthetic</x:v>
      </x:c>
      <x:c r="F129" s="15" t="str">
        <x:v>Blackwood v Blackwood</x:v>
      </x:c>
      <x:c r="G129" s="16" t="n">
        <x:v>46083.45301398148</x:v>
      </x:c>
      <x:c r="H129" s="15" t="str">
        <x:v>legislation</x:v>
      </x:c>
      <x:c r="I129" s="15" t="str">
        <x:v>legislation:senior courts act 1981 s 35a</x:v>
      </x:c>
      <x:c r="J129" s="15" t="str">
        <x:v>Senior Courts Act 1981, s.35A</x:v>
      </x:c>
      <x:c r="K129" s="15" t="str">
        <x:v>Senior Courts Act 1981, s.35A</x:v>
      </x:c>
      <x:c r="L129" s="15" t="str"/>
      <x:c r="M129" s="15" t="str"/>
      <x:c r="N129" s="15" t="str">
        <x:v>decisionAndDisposition.interest.statutoryBasis</x:v>
      </x:c>
      <x:c r="O129" s="15" t="str">
        <x:v>structured_json</x:v>
      </x:c>
      <x:c r="P129" s="15" t="str"/>
      <x:c r="Q129" s="15" t="str"/>
      <x:c r="R129" s="15" t="str"/>
      <x:c r="S129" s="15" t="str"/>
    </x:row>
    <x:row r="130">
      <x:c r="A130" s="1" t="str">
        <x:v>O0129</x:v>
      </x:c>
      <x:c r="B130" s="1" t="str">
        <x:v>cmm927sxp000304jp8fpwf2ew</x:v>
      </x:c>
      <x:c r="C130" s="1" t="str">
        <x:v>cmlzojkzd000204l5u8akkk6q</x:v>
      </x:c>
      <x:c r="D130" s="1" t="str">
        <x:v>skeleton-args-ca2018006090-aa90566cb5f6b5de</x:v>
      </x:c>
      <x:c r="E130" s="1" t="str">
        <x:v>synthetic</x:v>
      </x:c>
      <x:c r="F130" s="15" t="str">
        <x:v>Blackwood v Blackwood</x:v>
      </x:c>
      <x:c r="G130" s="16" t="n">
        <x:v>46083.45301398148</x:v>
      </x:c>
      <x:c r="H130" s="15" t="str">
        <x:v>case</x:v>
      </x:c>
      <x:c r="I130" s="15" t="str">
        <x:v>case:creggy v barnett &amp; anor</x:v>
      </x:c>
      <x:c r="J130" s="15" t="str">
        <x:v>Creggy v Barnett &amp; Anor</x:v>
      </x:c>
      <x:c r="K130" s="15" t="str">
        <x:v>Creggy v Barnett &amp; Anor</x:v>
      </x:c>
      <x:c r="L130" s="15" t="str"/>
      <x:c r="M130" s="15" t="str"/>
      <x:c r="N130" s="15" t="str">
        <x:v>legalFramework.legalTestSummaries[0].sourceAuthority</x:v>
      </x:c>
      <x:c r="O130" s="15" t="str">
        <x:v>structured_json</x:v>
      </x:c>
      <x:c r="P130" s="15" t="str"/>
      <x:c r="Q130" s="15" t="str"/>
      <x:c r="R130" s="15" t="str"/>
      <x:c r="S130" s="15" t="str"/>
    </x:row>
    <x:row r="131">
      <x:c r="A131" s="1" t="str">
        <x:v>O0130</x:v>
      </x:c>
      <x:c r="B131" s="1" t="str">
        <x:v>cmm927sxp000304jp8fpwf2ew</x:v>
      </x:c>
      <x:c r="C131" s="1" t="str">
        <x:v>cmlzojkzd000204l5u8akkk6q</x:v>
      </x:c>
      <x:c r="D131" s="1" t="str">
        <x:v>skeleton-args-ca2018006090-aa90566cb5f6b5de</x:v>
      </x:c>
      <x:c r="E131" s="1" t="str">
        <x:v>synthetic</x:v>
      </x:c>
      <x:c r="F131" s="15" t="str">
        <x:v>Blackwood v Blackwood</x:v>
      </x:c>
      <x:c r="G131" s="16" t="n">
        <x:v>46083.45301398148</x:v>
      </x:c>
      <x:c r="H131" s="15" t="str">
        <x:v>legislation</x:v>
      </x:c>
      <x:c r="I131" s="15" t="str">
        <x:v>legislation:trustee act 2000</x:v>
      </x:c>
      <x:c r="J131" s="15" t="str">
        <x:v>Trustee Act 2000</x:v>
      </x:c>
      <x:c r="K131" s="15" t="str">
        <x:v>Trustee Act 2000</x:v>
      </x:c>
      <x:c r="L131" s="15" t="str"/>
      <x:c r="M131" s="15" t="str"/>
      <x:c r="N131" s="15" t="str">
        <x:v>legalFramework.legalTestSummaries[1].sourceAuthority</x:v>
      </x:c>
      <x:c r="O131" s="15" t="str">
        <x:v>structured_json</x:v>
      </x:c>
      <x:c r="P131" s="15" t="str"/>
      <x:c r="Q131" s="15" t="str"/>
      <x:c r="R131" s="15" t="str"/>
      <x:c r="S131" s="15" t="str"/>
    </x:row>
    <x:row r="132">
      <x:c r="A132" s="1" t="str">
        <x:v>O0131</x:v>
      </x:c>
      <x:c r="B132" s="1" t="str">
        <x:v>cmm927sxp000304jp8fpwf2ew</x:v>
      </x:c>
      <x:c r="C132" s="1" t="str">
        <x:v>cmlzojkzd000204l5u8akkk6q</x:v>
      </x:c>
      <x:c r="D132" s="1" t="str">
        <x:v>skeleton-args-ca2018006090-aa90566cb5f6b5de</x:v>
      </x:c>
      <x:c r="E132" s="1" t="str">
        <x:v>synthetic</x:v>
      </x:c>
      <x:c r="F132" s="15" t="str">
        <x:v>Blackwood v Blackwood</x:v>
      </x:c>
      <x:c r="G132" s="16" t="n">
        <x:v>46083.45301398148</x:v>
      </x:c>
      <x:c r="H132" s="15" t="str">
        <x:v>case</x:v>
      </x:c>
      <x:c r="I132" s="15" t="str">
        <x:v>case:2016 ewca civ 1004</x:v>
      </x:c>
      <x:c r="J132" s="15" t="str">
        <x:v>Creggy v Barnett &amp; Anor</x:v>
      </x:c>
      <x:c r="K132" s="15" t="str">
        <x:v>[2016] EWCA Civ 1004</x:v>
      </x:c>
      <x:c r="L132" s="15" t="str">
        <x:v>4f894b7c-50f6-46f4-b08a-7d5f549411bb</x:v>
      </x:c>
      <x:c r="M132" s="15" t="str"/>
      <x:c r="N132" s="15" t="str">
        <x:v>factualFindings.chronology[1].sourceCases[0]</x:v>
      </x:c>
      <x:c r="O132" s="15" t="str">
        <x:v>structured_json</x:v>
      </x:c>
      <x:c r="P132" s="15" t="str"/>
      <x:c r="Q132" s="15" t="str">
        <x:v>same_proposition</x:v>
      </x:c>
      <x:c r="R132" s="15" t="str">
        <x:v>Involves similar self-dealing issues by a trustee.</x:v>
      </x:c>
      <x:c r="S132" s="15" t="str"/>
    </x:row>
    <x:row r="133">
      <x:c r="A133" s="1" t="str">
        <x:v>O0132</x:v>
      </x:c>
      <x:c r="B133" s="1" t="str">
        <x:v>cmm927sxp000304jp8fpwf2ew</x:v>
      </x:c>
      <x:c r="C133" s="1" t="str">
        <x:v>cmlzojkzd000204l5u8akkk6q</x:v>
      </x:c>
      <x:c r="D133" s="1" t="str">
        <x:v>skeleton-args-ca2018006090-aa90566cb5f6b5de</x:v>
      </x:c>
      <x:c r="E133" s="1" t="str">
        <x:v>synthetic</x:v>
      </x:c>
      <x:c r="F133" s="15" t="str">
        <x:v>Blackwood v Blackwood</x:v>
      </x:c>
      <x:c r="G133" s="16" t="n">
        <x:v>46083.45301398148</x:v>
      </x:c>
      <x:c r="H133" s="15" t="str">
        <x:v>case</x:v>
      </x:c>
      <x:c r="I133" s="15" t="str">
        <x:v>case:2016 ewca civ 1004</x:v>
      </x:c>
      <x:c r="J133" s="15" t="str">
        <x:v>Creggy v Barnett &amp; Anor</x:v>
      </x:c>
      <x:c r="K133" s="15" t="str">
        <x:v>[2016] EWCA Civ 1004</x:v>
      </x:c>
      <x:c r="L133" s="15" t="str">
        <x:v>4f894b7c-50f6-46f4-b08a-7d5f549411bb</x:v>
      </x:c>
      <x:c r="M133" s="15" t="str"/>
      <x:c r="N133" s="15" t="str">
        <x:v>factualFindings.contestedFacts[0].sourceCases[0]</x:v>
      </x:c>
      <x:c r="O133" s="15" t="str">
        <x:v>structured_json</x:v>
      </x:c>
      <x:c r="P133" s="15" t="str"/>
      <x:c r="Q133" s="15" t="str">
        <x:v>applied_differently</x:v>
      </x:c>
      <x:c r="R133" s="15" t="str">
        <x:v>Addresses breaches of fiduciary duty in trust management.</x:v>
      </x:c>
      <x:c r="S133" s="15" t="str"/>
    </x:row>
    <x:row r="134">
      <x:c r="A134" s="1" t="str">
        <x:v>O0133</x:v>
      </x:c>
      <x:c r="B134" s="1" t="str">
        <x:v>cmm927sxp000304jp8fpwf2ew</x:v>
      </x:c>
      <x:c r="C134" s="1" t="str">
        <x:v>cmlzojkzd000204l5u8akkk6q</x:v>
      </x:c>
      <x:c r="D134" s="1" t="str">
        <x:v>skeleton-args-ca2018006090-aa90566cb5f6b5de</x:v>
      </x:c>
      <x:c r="E134" s="1" t="str">
        <x:v>synthetic</x:v>
      </x:c>
      <x:c r="F134" s="15" t="str">
        <x:v>Blackwood v Blackwood</x:v>
      </x:c>
      <x:c r="G134" s="16" t="n">
        <x:v>46083.45301398148</x:v>
      </x:c>
      <x:c r="H134" s="15" t="str">
        <x:v>case</x:v>
      </x:c>
      <x:c r="I134" s="15" t="str">
        <x:v>case:2023 ewca civ 440</x:v>
      </x:c>
      <x:c r="J134" s="15" t="str">
        <x:v>Floreat Investment Management Ltd v Churchill &amp; Ors</x:v>
      </x:c>
      <x:c r="K134" s="15" t="str">
        <x:v>[2023] EWCA Civ 440</x:v>
      </x:c>
      <x:c r="L134" s="15" t="str">
        <x:v>cfb9db03-44c0-4604-926a-a76e01575d88</x:v>
      </x:c>
      <x:c r="M134" s="15" t="str"/>
      <x:c r="N134" s="15" t="str">
        <x:v>factualFindings.contestedFacts[0].sourceCases[1]</x:v>
      </x:c>
      <x:c r="O134" s="15" t="str">
        <x:v>structured_json</x:v>
      </x:c>
      <x:c r="P134" s="15" t="str"/>
      <x:c r="Q134" s="15" t="str">
        <x:v>same_proposition</x:v>
      </x:c>
      <x:c r="R134" s="15" t="str">
        <x:v>Examines issues of fiduciary responsibilities and improper actions of trustees.</x:v>
      </x:c>
      <x:c r="S134" s="15" t="str"/>
    </x:row>
    <x:row r="135">
      <x:c r="A135" s="1" t="str">
        <x:v>O0134</x:v>
      </x:c>
      <x:c r="B135" s="1" t="str">
        <x:v>cmm927sxp000304jp8fpwf2ew</x:v>
      </x:c>
      <x:c r="C135" s="1" t="str">
        <x:v>cmlzojkzd000204l5u8akkk6q</x:v>
      </x:c>
      <x:c r="D135" s="1" t="str">
        <x:v>skeleton-args-ca2018006090-aa90566cb5f6b5de</x:v>
      </x:c>
      <x:c r="E135" s="1" t="str">
        <x:v>synthetic</x:v>
      </x:c>
      <x:c r="F135" s="15" t="str">
        <x:v>Blackwood v Blackwood</x:v>
      </x:c>
      <x:c r="G135" s="16" t="n">
        <x:v>46083.45301398148</x:v>
      </x:c>
      <x:c r="H135" s="15" t="str">
        <x:v>case</x:v>
      </x:c>
      <x:c r="I135" s="15" t="str">
        <x:v>case:2016 ewca civ 1004</x:v>
      </x:c>
      <x:c r="J135" s="15" t="str">
        <x:v>Creggy v Barnett &amp; Anor</x:v>
      </x:c>
      <x:c r="K135" s="15" t="str">
        <x:v>[2016] EWCA Civ 1004</x:v>
      </x:c>
      <x:c r="L135" s="15" t="str">
        <x:v>4f894b7c-50f6-46f4-b08a-7d5f549411bb</x:v>
      </x:c>
      <x:c r="M135" s="15" t="str"/>
      <x:c r="N135" s="15" t="str">
        <x:v>factualFindings.contestedFacts[1].sourceCases[0]</x:v>
      </x:c>
      <x:c r="O135" s="15" t="str">
        <x:v>structured_json</x:v>
      </x:c>
      <x:c r="P135" s="15" t="str"/>
      <x:c r="Q135" s="15" t="str">
        <x:v>distinguished</x:v>
      </x:c>
      <x:c r="R135" s="15" t="str">
        <x:v>Relevant to establishing standards for investment prudence by trustees.</x:v>
      </x:c>
      <x:c r="S135" s="15" t="str"/>
    </x:row>
    <x:row r="136">
      <x:c r="A136" s="1" t="str">
        <x:v>O0135</x:v>
      </x:c>
      <x:c r="B136" s="1" t="str">
        <x:v>cmm927sxp000304jp8fpwf2ew</x:v>
      </x:c>
      <x:c r="C136" s="1" t="str">
        <x:v>cmlzojkzd000204l5u8akkk6q</x:v>
      </x:c>
      <x:c r="D136" s="1" t="str">
        <x:v>skeleton-args-ca2018006090-aa90566cb5f6b5de</x:v>
      </x:c>
      <x:c r="E136" s="1" t="str">
        <x:v>synthetic</x:v>
      </x:c>
      <x:c r="F136" s="15" t="str">
        <x:v>Blackwood v Blackwood</x:v>
      </x:c>
      <x:c r="G136" s="16" t="n">
        <x:v>46083.45301398148</x:v>
      </x:c>
      <x:c r="H136" s="15" t="str">
        <x:v>case</x:v>
      </x:c>
      <x:c r="I136" s="15" t="str">
        <x:v>case:2016 ewca civ 1004</x:v>
      </x:c>
      <x:c r="J136" s="15" t="str">
        <x:v>Creggy v Barnett &amp; Anor</x:v>
      </x:c>
      <x:c r="K136" s="15" t="str">
        <x:v>[2016] EWCA Civ 1004</x:v>
      </x:c>
      <x:c r="L136" s="15" t="str">
        <x:v>4f894b7c-50f6-46f4-b08a-7d5f549411bb</x:v>
      </x:c>
      <x:c r="M136" s="15" t="str"/>
      <x:c r="N136" s="15" t="str">
        <x:v>reasoningStructure[0].sourceCases[0]</x:v>
      </x:c>
      <x:c r="O136" s="15" t="str">
        <x:v>structured_json</x:v>
      </x:c>
      <x:c r="P136" s="15" t="str"/>
      <x:c r="Q136" s="15" t="str">
        <x:v>same_proposition</x:v>
      </x:c>
      <x:c r="R136" s="15" t="str">
        <x:v>Relevant for understanding self-dealing and its implications.</x:v>
      </x:c>
      <x:c r="S136" s="15" t="str"/>
    </x:row>
    <x:row r="137">
      <x:c r="A137" s="1" t="str">
        <x:v>O0136</x:v>
      </x:c>
      <x:c r="B137" s="1" t="str">
        <x:v>cmm927sxp000304jp8fpwf2ew</x:v>
      </x:c>
      <x:c r="C137" s="1" t="str">
        <x:v>cmlzojkzd000204l5u8akkk6q</x:v>
      </x:c>
      <x:c r="D137" s="1" t="str">
        <x:v>skeleton-args-ca2018006090-aa90566cb5f6b5de</x:v>
      </x:c>
      <x:c r="E137" s="1" t="str">
        <x:v>synthetic</x:v>
      </x:c>
      <x:c r="F137" s="15" t="str">
        <x:v>Blackwood v Blackwood</x:v>
      </x:c>
      <x:c r="G137" s="16" t="n">
        <x:v>46083.45301398148</x:v>
      </x:c>
      <x:c r="H137" s="15" t="str">
        <x:v>case</x:v>
      </x:c>
      <x:c r="I137" s="15" t="str">
        <x:v>case:2023 ewca civ 440</x:v>
      </x:c>
      <x:c r="J137" s="15" t="str">
        <x:v>Floreat Investment Management Ltd v Churchill &amp; Ors</x:v>
      </x:c>
      <x:c r="K137" s="15" t="str">
        <x:v>[2023] EWCA Civ 440</x:v>
      </x:c>
      <x:c r="L137" s="15" t="str">
        <x:v>cfb9db03-44c0-4604-926a-a76e01575d88</x:v>
      </x:c>
      <x:c r="M137" s="15" t="str"/>
      <x:c r="N137" s="15" t="str">
        <x:v>reasoningStructure[0].sourceCases[1]</x:v>
      </x:c>
      <x:c r="O137" s="15" t="str">
        <x:v>structured_json</x:v>
      </x:c>
      <x:c r="P137" s="15" t="str"/>
      <x:c r="Q137" s="15" t="str">
        <x:v>applied_differently</x:v>
      </x:c>
      <x:c r="R137" s="15" t="str">
        <x:v>Informs judicial analysis relevant to self-dealing.</x:v>
      </x:c>
      <x:c r="S137" s="15" t="str"/>
    </x:row>
    <x:row r="138">
      <x:c r="A138" s="1" t="str">
        <x:v>O0137</x:v>
      </x:c>
      <x:c r="B138" s="1" t="str">
        <x:v>cmm927sxp000304jp8fpwf2ew</x:v>
      </x:c>
      <x:c r="C138" s="1" t="str">
        <x:v>cmlzojkzd000204l5u8akkk6q</x:v>
      </x:c>
      <x:c r="D138" s="1" t="str">
        <x:v>skeleton-args-ca2018006090-aa90566cb5f6b5de</x:v>
      </x:c>
      <x:c r="E138" s="1" t="str">
        <x:v>synthetic</x:v>
      </x:c>
      <x:c r="F138" s="15" t="str">
        <x:v>Blackwood v Blackwood</x:v>
      </x:c>
      <x:c r="G138" s="16" t="n">
        <x:v>46083.45301398148</x:v>
      </x:c>
      <x:c r="H138" s="15" t="str">
        <x:v>case</x:v>
      </x:c>
      <x:c r="I138" s="15" t="str">
        <x:v>case:2016 ewca civ 1004</x:v>
      </x:c>
      <x:c r="J138" s="15" t="str">
        <x:v>Creggy v Barnett &amp; Anor</x:v>
      </x:c>
      <x:c r="K138" s="15" t="str">
        <x:v>[2016] EWCA Civ 1004</x:v>
      </x:c>
      <x:c r="L138" s="15" t="str">
        <x:v>4f894b7c-50f6-46f4-b08a-7d5f549411bb</x:v>
      </x:c>
      <x:c r="M138" s="15" t="str"/>
      <x:c r="N138" s="15" t="str">
        <x:v>reasoningStructure[1].sourceCases[0]</x:v>
      </x:c>
      <x:c r="O138" s="15" t="str">
        <x:v>structured_json</x:v>
      </x:c>
      <x:c r="P138" s="15" t="str"/>
      <x:c r="Q138" s="15" t="str">
        <x:v>same_proposition</x:v>
      </x:c>
      <x:c r="R138" s="15" t="str">
        <x:v>Relevant in establishing standard of care for trust investments.</x:v>
      </x:c>
      <x:c r="S138" s="15" t="str"/>
    </x:row>
    <x:row r="139">
      <x:c r="A139" s="1" t="str">
        <x:v>O0138</x:v>
      </x:c>
      <x:c r="B139" s="1" t="str">
        <x:v>cmm927sxp000304jp8fpwf2ew</x:v>
      </x:c>
      <x:c r="C139" s="1" t="str">
        <x:v>cmlzojkzd000204l5u8akkk6q</x:v>
      </x:c>
      <x:c r="D139" s="1" t="str">
        <x:v>skeleton-args-ca2018006090-aa90566cb5f6b5de</x:v>
      </x:c>
      <x:c r="E139" s="1" t="str">
        <x:v>synthetic</x:v>
      </x:c>
      <x:c r="F139" s="15" t="str">
        <x:v>Blackwood v Blackwood</x:v>
      </x:c>
      <x:c r="G139" s="16" t="n">
        <x:v>46083.45301398148</x:v>
      </x:c>
      <x:c r="H139" s="15" t="str">
        <x:v>case</x:v>
      </x:c>
      <x:c r="I139" s="15" t="str">
        <x:v>case:2016 ewca civ 1004</x:v>
      </x:c>
      <x:c r="J139" s="15" t="str">
        <x:v>Creggy v Barnett &amp; Anor</x:v>
      </x:c>
      <x:c r="K139" s="15" t="str">
        <x:v>[2016] EWCA Civ 1004</x:v>
      </x:c>
      <x:c r="L139" s="15" t="str">
        <x:v>4f894b7c-50f6-46f4-b08a-7d5f549411bb</x:v>
      </x:c>
      <x:c r="M139" s="15" t="str"/>
      <x:c r="N139" s="15" t="str">
        <x:v>issuesForDetermination.issueMatrix[0].sourceCases[0]</x:v>
      </x:c>
      <x:c r="O139" s="15" t="str">
        <x:v>structured_json</x:v>
      </x:c>
      <x:c r="P139" s="15" t="str"/>
      <x:c r="Q139" s="15" t="str">
        <x:v>same_proposition</x:v>
      </x:c>
      <x:c r="R139" s="15" t="str">
        <x:v>Helpful in framing the definition of self-dealing and fiduciary obligations.</x:v>
      </x:c>
      <x:c r="S139" s="15" t="str"/>
    </x:row>
    <x:row r="140">
      <x:c r="A140" s="1" t="str">
        <x:v>O0139</x:v>
      </x:c>
      <x:c r="B140" s="1" t="str">
        <x:v>cmm927sxp000304jp8fpwf2ew</x:v>
      </x:c>
      <x:c r="C140" s="1" t="str">
        <x:v>cmlzojkzd000204l5u8akkk6q</x:v>
      </x:c>
      <x:c r="D140" s="1" t="str">
        <x:v>skeleton-args-ca2018006090-aa90566cb5f6b5de</x:v>
      </x:c>
      <x:c r="E140" s="1" t="str">
        <x:v>synthetic</x:v>
      </x:c>
      <x:c r="F140" s="15" t="str">
        <x:v>Blackwood v Blackwood</x:v>
      </x:c>
      <x:c r="G140" s="16" t="n">
        <x:v>46083.45301398148</x:v>
      </x:c>
      <x:c r="H140" s="15" t="str">
        <x:v>case</x:v>
      </x:c>
      <x:c r="I140" s="15" t="str">
        <x:v>case:2023 ewca civ 440</x:v>
      </x:c>
      <x:c r="J140" s="15" t="str">
        <x:v>Floreat Investment Management Ltd v Churchill &amp; Ors</x:v>
      </x:c>
      <x:c r="K140" s="15" t="str">
        <x:v>[2023] EWCA Civ 440</x:v>
      </x:c>
      <x:c r="L140" s="15" t="str">
        <x:v>cfb9db03-44c0-4604-926a-a76e01575d88</x:v>
      </x:c>
      <x:c r="M140" s="15" t="str"/>
      <x:c r="N140" s="15" t="str">
        <x:v>issuesForDetermination.issueMatrix[0].sourceCases[1]</x:v>
      </x:c>
      <x:c r="O140" s="15" t="str">
        <x:v>structured_json</x:v>
      </x:c>
      <x:c r="P140" s="15" t="str"/>
      <x:c r="Q140" s="15" t="str">
        <x:v>applied_differently</x:v>
      </x:c>
      <x:c r="R140" s="15" t="str">
        <x:v>Informs the judicial analysis on fiduciary duties and breach.</x:v>
      </x:c>
      <x:c r="S140" s="15" t="str"/>
    </x:row>
    <x:row r="141">
      <x:c r="A141" s="1" t="str">
        <x:v>O0140</x:v>
      </x:c>
      <x:c r="B141" s="1" t="str">
        <x:v>cmm927sxp000304jp8fpwf2ew</x:v>
      </x:c>
      <x:c r="C141" s="1" t="str">
        <x:v>cmlzojkzd000204l5u8akkk6q</x:v>
      </x:c>
      <x:c r="D141" s="1" t="str">
        <x:v>skeleton-args-ca2018006090-aa90566cb5f6b5de</x:v>
      </x:c>
      <x:c r="E141" s="1" t="str">
        <x:v>synthetic</x:v>
      </x:c>
      <x:c r="F141" s="15" t="str">
        <x:v>Blackwood v Blackwood</x:v>
      </x:c>
      <x:c r="G141" s="16" t="n">
        <x:v>46083.45301398148</x:v>
      </x:c>
      <x:c r="H141" s="15" t="str">
        <x:v>case</x:v>
      </x:c>
      <x:c r="I141" s="15" t="str">
        <x:v>case:2016 ewca civ 1004</x:v>
      </x:c>
      <x:c r="J141" s="15" t="str">
        <x:v>Creggy v Barnett &amp; Anor</x:v>
      </x:c>
      <x:c r="K141" s="15" t="str">
        <x:v>[2016] EWCA Civ 1004</x:v>
      </x:c>
      <x:c r="L141" s="15" t="str">
        <x:v>4f894b7c-50f6-46f4-b08a-7d5f549411bb</x:v>
      </x:c>
      <x:c r="M141" s="15" t="str"/>
      <x:c r="N141" s="15" t="str">
        <x:v>issuesForDetermination.issueMatrix[1].sourceCases[0]</x:v>
      </x:c>
      <x:c r="O141" s="15" t="str">
        <x:v>structured_json</x:v>
      </x:c>
      <x:c r="P141" s="15" t="str"/>
      <x:c r="Q141" s="15" t="str">
        <x:v>same_proposition</x:v>
      </x:c>
      <x:c r="R141" s="15" t="str">
        <x:v>Relevant in affirming the investment duty of care imposed on trustees.</x:v>
      </x:c>
      <x:c r="S141" s="15" t="str"/>
    </x:row>
    <x:row r="142">
      <x:c r="A142" s="1" t="str">
        <x:v>O0141</x:v>
      </x:c>
      <x:c r="B142" s="1" t="str">
        <x:v>cmm93eoww000904l4jttzk880</x:v>
      </x:c>
      <x:c r="C142" s="1" t="str">
        <x:v>cmm91vpkv000204ibt9h7gspj</x:v>
      </x:c>
      <x:c r="D142" s="1" t="str">
        <x:v>skeleton-args-ca2019004792-59f1ed0831f20944</x:v>
      </x:c>
      <x:c r="E142" s="1" t="str">
        <x:v>synthetic</x:v>
      </x:c>
      <x:c r="F142" s="15" t="str">
        <x:v>Collins v North Thames NHS Foundation Trust</x:v>
      </x:c>
      <x:c r="G142" s="16" t="n">
        <x:v>46083.47617366898</x:v>
      </x:c>
      <x:c r="H142" s="15" t="str">
        <x:v>case</x:v>
      </x:c>
      <x:c r="I142" s="15" t="str">
        <x:v>case:2002 ewca civ 605</x:v>
      </x:c>
      <x:c r="J142" s="15" t="str">
        <x:v>[2002] EWCA Civ 605</x:v>
      </x:c>
      <x:c r="K142" s="15" t="str">
        <x:v>[2002] EWCA Civ 605</x:v>
      </x:c>
      <x:c r="L142" s="15" t="str"/>
      <x:c r="M142" s="15" t="str"/>
      <x:c r="N142" s="15" t="str">
        <x:v>legalFramework.precedentCitations[0]</x:v>
      </x:c>
      <x:c r="O142" s="15" t="str">
        <x:v>structured_json</x:v>
      </x:c>
      <x:c r="P142" s="15" t="str">
        <x:v>persuasive</x:v>
      </x:c>
      <x:c r="Q142" s="15" t="str"/>
      <x:c r="R142" s="15" t="str">
        <x:v>Adequacy of reasons in judgments is vital for transparency in judicial decisions.</x:v>
      </x:c>
      <x:c r="S142" s="15" t="str"/>
    </x:row>
    <x:row r="143">
      <x:c r="A143" s="1" t="str">
        <x:v>O0142</x:v>
      </x:c>
      <x:c r="B143" s="1" t="str">
        <x:v>cmm93eoww000904l4jttzk880</x:v>
      </x:c>
      <x:c r="C143" s="1" t="str">
        <x:v>cmm91vpkv000204ibt9h7gspj</x:v>
      </x:c>
      <x:c r="D143" s="1" t="str">
        <x:v>skeleton-args-ca2019004792-59f1ed0831f20944</x:v>
      </x:c>
      <x:c r="E143" s="1" t="str">
        <x:v>synthetic</x:v>
      </x:c>
      <x:c r="F143" s="15" t="str">
        <x:v>Collins v North Thames NHS Foundation Trust</x:v>
      </x:c>
      <x:c r="G143" s="16" t="n">
        <x:v>46083.47617366898</x:v>
      </x:c>
      <x:c r="H143" s="15" t="str">
        <x:v>other</x:v>
      </x:c>
      <x:c r="I143" s="15" t="str">
        <x:v>other:2000 1 wlr 377</x:v>
      </x:c>
      <x:c r="J143" s="15" t="str">
        <x:v>[2000] 1 WLR 377</x:v>
      </x:c>
      <x:c r="K143" s="15" t="str">
        <x:v>[2000] 1 WLR 377</x:v>
      </x:c>
      <x:c r="L143" s="15" t="str"/>
      <x:c r="M143" s="15" t="str"/>
      <x:c r="N143" s="15" t="str">
        <x:v>legalFramework.precedentCitations[1]</x:v>
      </x:c>
      <x:c r="O143" s="15" t="str">
        <x:v>structured_json</x:v>
      </x:c>
      <x:c r="P143" s="15" t="str">
        <x:v>persuasive</x:v>
      </x:c>
      <x:c r="Q143" s="15" t="str"/>
      <x:c r="R143" s="15" t="str">
        <x:v>A duty to give reasons for judicial determinations and actions taken, especially critical in clinical negligence cases.</x:v>
      </x:c>
      <x:c r="S143" s="15" t="str"/>
    </x:row>
    <x:row r="144">
      <x:c r="A144" s="1" t="str">
        <x:v>O0143</x:v>
      </x:c>
      <x:c r="B144" s="1" t="str">
        <x:v>cmm93eoww000904l4jttzk880</x:v>
      </x:c>
      <x:c r="C144" s="1" t="str">
        <x:v>cmm91vpkv000204ibt9h7gspj</x:v>
      </x:c>
      <x:c r="D144" s="1" t="str">
        <x:v>skeleton-args-ca2019004792-59f1ed0831f20944</x:v>
      </x:c>
      <x:c r="E144" s="1" t="str">
        <x:v>synthetic</x:v>
      </x:c>
      <x:c r="F144" s="15" t="str">
        <x:v>Collins v North Thames NHS Foundation Trust</x:v>
      </x:c>
      <x:c r="G144" s="16" t="n">
        <x:v>46083.47617366898</x:v>
      </x:c>
      <x:c r="H144" s="15" t="str">
        <x:v>case</x:v>
      </x:c>
      <x:c r="I144" s="15" t="str">
        <x:v>case:2015 uksc 11</x:v>
      </x:c>
      <x:c r="J144" s="15" t="str">
        <x:v>[2015] UKSC 11</x:v>
      </x:c>
      <x:c r="K144" s="15" t="str">
        <x:v>[2015] UKSC 11</x:v>
      </x:c>
      <x:c r="L144" s="15" t="str"/>
      <x:c r="M144" s="15" t="str"/>
      <x:c r="N144" s="15" t="str">
        <x:v>legalFramework.precedentCitations[2]</x:v>
      </x:c>
      <x:c r="O144" s="15" t="str">
        <x:v>structured_json</x:v>
      </x:c>
      <x:c r="P144" s="15" t="str">
        <x:v>binding</x:v>
      </x:c>
      <x:c r="Q144" s="15" t="str"/>
      <x:c r="R144" s="15" t="str">
        <x:v>The principles in Montgomery govern the standard of care owed by healthcare professionals.</x:v>
      </x:c>
      <x:c r="S144" s="15" t="str"/>
    </x:row>
    <x:row r="145">
      <x:c r="A145" s="1" t="str">
        <x:v>O0144</x:v>
      </x:c>
      <x:c r="B145" s="1" t="str">
        <x:v>cmm93eoww000904l4jttzk880</x:v>
      </x:c>
      <x:c r="C145" s="1" t="str">
        <x:v>cmm91vpkv000204ibt9h7gspj</x:v>
      </x:c>
      <x:c r="D145" s="1" t="str">
        <x:v>skeleton-args-ca2019004792-59f1ed0831f20944</x:v>
      </x:c>
      <x:c r="E145" s="1" t="str">
        <x:v>synthetic</x:v>
      </x:c>
      <x:c r="F145" s="15" t="str">
        <x:v>Collins v North Thames NHS Foundation Trust</x:v>
      </x:c>
      <x:c r="G145" s="16" t="n">
        <x:v>46083.47617366898</x:v>
      </x:c>
      <x:c r="H145" s="15" t="str">
        <x:v>legislation</x:v>
      </x:c>
      <x:c r="I145" s="15" t="str">
        <x:v>legislation:nhs act 2006</x:v>
      </x:c>
      <x:c r="J145" s="15" t="str">
        <x:v>NHS Act 2006</x:v>
      </x:c>
      <x:c r="K145" s="15" t="str">
        <x:v>NHS Act 2006</x:v>
      </x:c>
      <x:c r="L145" s="15" t="str"/>
      <x:c r="M145" s="15" t="str"/>
      <x:c r="N145" s="15" t="str">
        <x:v>legalFramework.statutoryProvisions[0]</x:v>
      </x:c>
      <x:c r="O145" s="15" t="str">
        <x:v>structured_json</x:v>
      </x:c>
      <x:c r="P145" s="15" t="str"/>
      <x:c r="Q145" s="15" t="str"/>
      <x:c r="R145" s="15" t="str">
        <x:v>Governs standards of care provided by NHS institutions.</x:v>
      </x:c>
      <x:c r="S145" s="15" t="str"/>
    </x:row>
    <x:row r="146">
      <x:c r="A146" s="1" t="str">
        <x:v>O0145</x:v>
      </x:c>
      <x:c r="B146" s="1" t="str">
        <x:v>cmm93eoww000904l4jttzk880</x:v>
      </x:c>
      <x:c r="C146" s="1" t="str">
        <x:v>cmm91vpkv000204ibt9h7gspj</x:v>
      </x:c>
      <x:c r="D146" s="1" t="str">
        <x:v>skeleton-args-ca2019004792-59f1ed0831f20944</x:v>
      </x:c>
      <x:c r="E146" s="1" t="str">
        <x:v>synthetic</x:v>
      </x:c>
      <x:c r="F146" s="15" t="str">
        <x:v>Collins v North Thames NHS Foundation Trust</x:v>
      </x:c>
      <x:c r="G146" s="16" t="n">
        <x:v>46083.47617366898</x:v>
      </x:c>
      <x:c r="H146" s="15" t="str">
        <x:v>legislation</x:v>
      </x:c>
      <x:c r="I146" s="15" t="str">
        <x:v>legislation:limitation act 1980</x:v>
      </x:c>
      <x:c r="J146" s="15" t="str">
        <x:v>Limitation Act 1980</x:v>
      </x:c>
      <x:c r="K146" s="15" t="str">
        <x:v>Limitation Act 1980</x:v>
      </x:c>
      <x:c r="L146" s="15" t="str"/>
      <x:c r="M146" s="15" t="str"/>
      <x:c r="N146" s="15" t="str">
        <x:v>legalFramework.statutoryProvisions[1]</x:v>
      </x:c>
      <x:c r="O146" s="15" t="str">
        <x:v>structured_json</x:v>
      </x:c>
      <x:c r="P146" s="15" t="str"/>
      <x:c r="Q146" s="15" t="str"/>
      <x:c r="R146" s="15" t="str">
        <x:v>Sets out the timeframes within which a claim must be brought.</x:v>
      </x:c>
      <x:c r="S146" s="15" t="str"/>
    </x:row>
    <x:row r="147">
      <x:c r="A147" s="1" t="str">
        <x:v>O0146</x:v>
      </x:c>
      <x:c r="B147" s="1" t="str">
        <x:v>cmm93eoww000904l4jttzk880</x:v>
      </x:c>
      <x:c r="C147" s="1" t="str">
        <x:v>cmm91vpkv000204ibt9h7gspj</x:v>
      </x:c>
      <x:c r="D147" s="1" t="str">
        <x:v>skeleton-args-ca2019004792-59f1ed0831f20944</x:v>
      </x:c>
      <x:c r="E147" s="1" t="str">
        <x:v>synthetic</x:v>
      </x:c>
      <x:c r="F147" s="15" t="str">
        <x:v>Collins v North Thames NHS Foundation Trust</x:v>
      </x:c>
      <x:c r="G147" s="16" t="n">
        <x:v>46083.47617366898</x:v>
      </x:c>
      <x:c r="H147" s="15" t="str">
        <x:v>legislation</x:v>
      </x:c>
      <x:c r="I147" s="15" t="str">
        <x:v>legislation:senior courts act 1981 s 35a</x:v>
      </x:c>
      <x:c r="J147" s="15" t="str">
        <x:v>Senior Courts Act 1981, s.35A</x:v>
      </x:c>
      <x:c r="K147" s="15" t="str">
        <x:v>Senior Courts Act 1981, s.35A</x:v>
      </x:c>
      <x:c r="L147" s="15" t="str"/>
      <x:c r="M147" s="15" t="str"/>
      <x:c r="N147" s="15" t="str">
        <x:v>decisionAndDisposition.interest.statutoryBasis</x:v>
      </x:c>
      <x:c r="O147" s="15" t="str">
        <x:v>structured_json</x:v>
      </x:c>
      <x:c r="P147" s="15" t="str"/>
      <x:c r="Q147" s="15" t="str"/>
      <x:c r="R147" s="15" t="str"/>
      <x:c r="S147" s="15" t="str"/>
    </x:row>
    <x:row r="148">
      <x:c r="A148" s="1" t="str">
        <x:v>O0147</x:v>
      </x:c>
      <x:c r="B148" s="1" t="str">
        <x:v>cmmafut12000904l4kjskwky4</x:v>
      </x:c>
      <x:c r="C148" s="1" t="str">
        <x:v>cmm3awy72000404jtfbucs83q</x:v>
      </x:c>
      <x:c r="D148" s="1" t="str">
        <x:v>skeleton-args-ca2025000412-e17d5e10793fe216</x:v>
      </x:c>
      <x:c r="E148" s="1" t="str">
        <x:v>synthetic</x:v>
      </x:c>
      <x:c r="F148" s="15" t="str">
        <x:v>R (Harrison) v Secretary of State for Justice</x:v>
      </x:c>
      <x:c r="G148" s="16" t="n">
        <x:v>46084.41799541667</x:v>
      </x:c>
      <x:c r="H148" s="15" t="str">
        <x:v>case</x:v>
      </x:c>
      <x:c r="I148" s="15" t="str">
        <x:v>case:2002 ewca civ 605</x:v>
      </x:c>
      <x:c r="J148" s="15" t="str">
        <x:v>English v Emery Reimbold &amp; Strick Ltd [2002] EWCA Civ 605</x:v>
      </x:c>
      <x:c r="K148" s="15" t="str">
        <x:v>English v Emery Reimbold &amp; Strick Ltd [2002] EWCA Civ 605</x:v>
      </x:c>
      <x:c r="L148" s="15" t="str"/>
      <x:c r="M148" s="15" t="str"/>
      <x:c r="N148" s="15" t="str">
        <x:v>legalFramework.precedentCitations[0]</x:v>
      </x:c>
      <x:c r="O148" s="15" t="str">
        <x:v>structured_json</x:v>
      </x:c>
      <x:c r="P148" s="15" t="str">
        <x:v>binding</x:v>
      </x:c>
      <x:c r="Q148" s="15" t="str"/>
      <x:c r="R148" s="15" t="str">
        <x:v>Adequacy of reasons in judgments is essential for compliance with legal obligations.</x:v>
      </x:c>
      <x:c r="S148" s="15" t="str"/>
    </x:row>
    <x:row r="149">
      <x:c r="A149" s="1" t="str">
        <x:v>O0148</x:v>
      </x:c>
      <x:c r="B149" s="1" t="str">
        <x:v>cmmafut12000904l4kjskwky4</x:v>
      </x:c>
      <x:c r="C149" s="1" t="str">
        <x:v>cmm3awy72000404jtfbucs83q</x:v>
      </x:c>
      <x:c r="D149" s="1" t="str">
        <x:v>skeleton-args-ca2025000412-e17d5e10793fe216</x:v>
      </x:c>
      <x:c r="E149" s="1" t="str">
        <x:v>synthetic</x:v>
      </x:c>
      <x:c r="F149" s="15" t="str">
        <x:v>R (Harrison) v Secretary of State for Justice</x:v>
      </x:c>
      <x:c r="G149" s="16" t="n">
        <x:v>46084.41799541667</x:v>
      </x:c>
      <x:c r="H149" s="15" t="str">
        <x:v>legislation</x:v>
      </x:c>
      <x:c r="I149" s="15" t="str">
        <x:v>legislation:senior courts act 1981 s 35a</x:v>
      </x:c>
      <x:c r="J149" s="15" t="str">
        <x:v>Senior Courts Act 1981</x:v>
      </x:c>
      <x:c r="K149" s="15" t="str">
        <x:v>Senior Courts Act 1981 s.35A</x:v>
      </x:c>
      <x:c r="L149" s="15" t="str"/>
      <x:c r="M149" s="15" t="str">
        <x:v>s.35A</x:v>
      </x:c>
      <x:c r="N149" s="15" t="str">
        <x:v>legalFramework.statutoryProvisions[0]</x:v>
      </x:c>
      <x:c r="O149" s="15" t="str">
        <x:v>structured_json</x:v>
      </x:c>
      <x:c r="P149" s="15" t="str"/>
      <x:c r="Q149" s="15" t="str"/>
      <x:c r="R149" s="15" t="str">
        <x:v>Addresses the provision for interest on debts and damages, relevant to potential claims for loss of educational access.</x:v>
      </x:c>
      <x:c r="S149" s="15" t="str"/>
    </x:row>
    <x:row r="150">
      <x:c r="A150" s="1" t="str">
        <x:v>O0149</x:v>
      </x:c>
      <x:c r="B150" s="1" t="str">
        <x:v>cmmafut12000904l4kjskwky4</x:v>
      </x:c>
      <x:c r="C150" s="1" t="str">
        <x:v>cmm3awy72000404jtfbucs83q</x:v>
      </x:c>
      <x:c r="D150" s="1" t="str">
        <x:v>skeleton-args-ca2025000412-e17d5e10793fe216</x:v>
      </x:c>
      <x:c r="E150" s="1" t="str">
        <x:v>synthetic</x:v>
      </x:c>
      <x:c r="F150" s="15" t="str">
        <x:v>R (Harrison) v Secretary of State for Justice</x:v>
      </x:c>
      <x:c r="G150" s="16" t="n">
        <x:v>46084.41799541667</x:v>
      </x:c>
      <x:c r="H150" s="15" t="str">
        <x:v>case</x:v>
      </x:c>
      <x:c r="I150" s="15" t="str">
        <x:v>case:velyo velev v bulgaria app no 16032 07 echr 27 may 2014</x:v>
      </x:c>
      <x:c r="J150" s="15" t="str">
        <x:v>Velyo Velev v Bulgaria (App No 16032/07) ECHR 27 May 2014</x:v>
      </x:c>
      <x:c r="K150" s="15" t="str">
        <x:v>Velyo Velev v Bulgaria (App No 16032/07) ECHR 27 May 2014</x:v>
      </x:c>
      <x:c r="L150" s="15" t="str"/>
      <x:c r="M150" s="15" t="str"/>
      <x:c r="N150" s="15" t="str">
        <x:v>legalFramework.legalTestSummaries[0].sourceAuthority</x:v>
      </x:c>
      <x:c r="O150" s="15" t="str">
        <x:v>structured_json</x:v>
      </x:c>
      <x:c r="P150" s="15" t="str"/>
      <x:c r="Q150" s="15" t="str"/>
      <x:c r="R150" s="15" t="str"/>
      <x:c r="S150" s="15" t="str"/>
    </x:row>
    <x:row r="151">
      <x:c r="A151" s="1" t="str">
        <x:v>O0150</x:v>
      </x:c>
      <x:c r="B151" s="1" t="str">
        <x:v>cmmafut12000904l4kjskwky4</x:v>
      </x:c>
      <x:c r="C151" s="1" t="str">
        <x:v>cmm3awy72000404jtfbucs83q</x:v>
      </x:c>
      <x:c r="D151" s="1" t="str">
        <x:v>skeleton-args-ca2025000412-e17d5e10793fe216</x:v>
      </x:c>
      <x:c r="E151" s="1" t="str">
        <x:v>synthetic</x:v>
      </x:c>
      <x:c r="F151" s="15" t="str">
        <x:v>R (Harrison) v Secretary of State for Justice</x:v>
      </x:c>
      <x:c r="G151" s="16" t="n">
        <x:v>46084.41799541667</x:v>
      </x:c>
      <x:c r="H151" s="15" t="str">
        <x:v>case</x:v>
      </x:c>
      <x:c r="I151" s="15" t="str">
        <x:v>case:the howard league for penal reform and prisoners advice service v the lord chancellor</x:v>
      </x:c>
      <x:c r="J151" s="15" t="str">
        <x:v>The Howard League for Penal Reform and Prisoners' Advice Service v The Lord Chancellor</x:v>
      </x:c>
      <x:c r="K151" s="15" t="str">
        <x:v>N/A</x:v>
      </x:c>
      <x:c r="L151" s="15" t="str">
        <x:v>d60a5323-796e-4110-a6de-012ec16860c1</x:v>
      </x:c>
      <x:c r="M151" s="15" t="str"/>
      <x:c r="N151" s="15" t="str">
        <x:v>factualFindings.contestedFacts[0].sourceCases[0]</x:v>
      </x:c>
      <x:c r="O151" s="15" t="str">
        <x:v>structured_json</x:v>
      </x:c>
      <x:c r="P151" s="15" t="str"/>
      <x:c r="Q151" s="15" t="str"/>
      <x:c r="R151" s="15" t="str">
        <x:v>This case discusses the intersection of prison regulations and educational access, highlighting similar themes regarding access limitations in educational contexts.</x:v>
      </x:c>
      <x:c r="S151" s="15" t="str"/>
    </x:row>
    <x:row r="152">
      <x:c r="A152" s="1" t="str">
        <x:v>O0151</x:v>
      </x:c>
      <x:c r="B152" s="1" t="str">
        <x:v>cmmafut12000904l4kjskwky4</x:v>
      </x:c>
      <x:c r="C152" s="1" t="str">
        <x:v>cmm3awy72000404jtfbucs83q</x:v>
      </x:c>
      <x:c r="D152" s="1" t="str">
        <x:v>skeleton-args-ca2025000412-e17d5e10793fe216</x:v>
      </x:c>
      <x:c r="E152" s="1" t="str">
        <x:v>synthetic</x:v>
      </x:c>
      <x:c r="F152" s="15" t="str">
        <x:v>R (Harrison) v Secretary of State for Justice</x:v>
      </x:c>
      <x:c r="G152" s="16" t="n">
        <x:v>46084.41799541667</x:v>
      </x:c>
      <x:c r="H152" s="15" t="str">
        <x:v>case</x:v>
      </x:c>
      <x:c r="I152" s="15" t="str">
        <x:v>case:james v hm prison birmingham judicial review on committal for civil contempt</x:v>
      </x:c>
      <x:c r="J152" s="15" t="str">
        <x:v>James v HM Prison Birmingham: Judicial Review on Committal for Civil Contempt</x:v>
      </x:c>
      <x:c r="K152" s="15" t="str">
        <x:v>N/A</x:v>
      </x:c>
      <x:c r="L152" s="15" t="str">
        <x:v>47c9c661-fe50-444e-8eb2-faf3fa2b12ba</x:v>
      </x:c>
      <x:c r="M152" s="15" t="str"/>
      <x:c r="N152" s="15" t="str">
        <x:v>reasoningStructure[0].sourceCases[0]</x:v>
      </x:c>
      <x:c r="O152" s="15" t="str">
        <x:v>structured_json</x:v>
      </x:c>
      <x:c r="P152" s="15" t="str"/>
      <x:c r="Q152" s="15" t="str"/>
      <x:c r="R152" s="15" t="str">
        <x:v>This case reiterates the importance of educational access within the prison system and serves as a comparative legal basis.</x:v>
      </x:c>
      <x:c r="S152" s="15" t="str"/>
    </x:row>
    <x:row r="153">
      <x:c r="A153" s="1" t="str">
        <x:v>O0152</x:v>
      </x:c>
      <x:c r="B153" s="1" t="str">
        <x:v>cmmafut12000904l4kjskwky4</x:v>
      </x:c>
      <x:c r="C153" s="1" t="str">
        <x:v>cmm3awy72000404jtfbucs83q</x:v>
      </x:c>
      <x:c r="D153" s="1" t="str">
        <x:v>skeleton-args-ca2025000412-e17d5e10793fe216</x:v>
      </x:c>
      <x:c r="E153" s="1" t="str">
        <x:v>synthetic</x:v>
      </x:c>
      <x:c r="F153" s="15" t="str">
        <x:v>R (Harrison) v Secretary of State for Justice</x:v>
      </x:c>
      <x:c r="G153" s="16" t="n">
        <x:v>46084.41799541667</x:v>
      </x:c>
      <x:c r="H153" s="15" t="str">
        <x:v>case</x:v>
      </x:c>
      <x:c r="I153" s="15" t="str">
        <x:v>case:2015 ewca civ 1170</x:v>
      </x:c>
      <x:c r="J153" s="15" t="str">
        <x:v>Bristow v The Secretary of State for Justice &amp; Anor</x:v>
      </x:c>
      <x:c r="K153" s="15" t="str">
        <x:v>[2015] EWCA Civ 1170</x:v>
      </x:c>
      <x:c r="L153" s="15" t="str">
        <x:v>1dbb4242-42ac-456f-989f-5098066d87ca</x:v>
      </x:c>
      <x:c r="M153" s="15" t="str"/>
      <x:c r="N153" s="15" t="str">
        <x:v>issuesForDetermination.issueMatrix[0].sourceCases[0]</x:v>
      </x:c>
      <x:c r="O153" s="15" t="str">
        <x:v>structured_json</x:v>
      </x:c>
      <x:c r="P153" s="15" t="str"/>
      <x:c r="Q153" s="15" t="str"/>
      <x:c r="R153" s="15" t="str">
        <x:v>This case deals with the balancing of rights to education against security measures.</x:v>
      </x:c>
      <x:c r="S153" s="15" t="str"/>
    </x:row>
    <x:row r="154">
      <x:c r="A154" s="1" t="str">
        <x:v>O0153</x:v>
      </x:c>
      <x:c r="B154" s="1" t="str">
        <x:v>cmmc2zaji000h04l23a3cp61p</x:v>
      </x:c>
      <x:c r="C154" s="1" t="str">
        <x:v>cmlzon435000504jsyulxanb5</x:v>
      </x:c>
      <x:c r="D154" s="1" t="str">
        <x:v>skeleton-args-ca2022002088-9a827e5fc9cfa270</x:v>
      </x:c>
      <x:c r="E154" s="1" t="str">
        <x:v>synthetic</x:v>
      </x:c>
      <x:c r="F154" s="15" t="str">
        <x:v>HMRC v Dolphin Drilling Ltd</x:v>
      </x:c>
      <x:c r="G154" s="16" t="n">
        <x:v>46085.56737810185</x:v>
      </x:c>
      <x:c r="H154" s="15" t="str">
        <x:v>case</x:v>
      </x:c>
      <x:c r="I154" s="15" t="str">
        <x:v>case:2002 ewca civ 605</x:v>
      </x:c>
      <x:c r="J154" s="15" t="str">
        <x:v>English v Emery Reimbold &amp; Strick Ltd [2002] EWCA Civ 605</x:v>
      </x:c>
      <x:c r="K154" s="15" t="str">
        <x:v>English v Emery Reimbold &amp; Strick Ltd [2002] EWCA Civ 605</x:v>
      </x:c>
      <x:c r="L154" s="15" t="str"/>
      <x:c r="M154" s="15" t="str"/>
      <x:c r="N154" s="15" t="str">
        <x:v>legalFramework.precedentCitations[0]</x:v>
      </x:c>
      <x:c r="O154" s="15" t="str">
        <x:v>structured_json</x:v>
      </x:c>
      <x:c r="P154" s="15" t="str">
        <x:v>binding</x:v>
      </x:c>
      <x:c r="Q154" s="15" t="str"/>
      <x:c r="R154" s="15" t="str">
        <x:v>Adequacy of reasons in judgments</x:v>
      </x:c>
      <x:c r="S154" s="15" t="str"/>
    </x:row>
    <x:row r="155">
      <x:c r="A155" s="1" t="str">
        <x:v>O0154</x:v>
      </x:c>
      <x:c r="B155" s="1" t="str">
        <x:v>cmmc2zaji000h04l23a3cp61p</x:v>
      </x:c>
      <x:c r="C155" s="1" t="str">
        <x:v>cmlzon435000504jsyulxanb5</x:v>
      </x:c>
      <x:c r="D155" s="1" t="str">
        <x:v>skeleton-args-ca2022002088-9a827e5fc9cfa270</x:v>
      </x:c>
      <x:c r="E155" s="1" t="str">
        <x:v>synthetic</x:v>
      </x:c>
      <x:c r="F155" s="15" t="str">
        <x:v>HMRC v Dolphin Drilling Ltd</x:v>
      </x:c>
      <x:c r="G155" s="16" t="n">
        <x:v>46085.56737810185</x:v>
      </x:c>
      <x:c r="H155" s="15" t="str">
        <x:v>case</x:v>
      </x:c>
      <x:c r="I155" s="15" t="str">
        <x:v>case:2000 1 wlr 377</x:v>
      </x:c>
      <x:c r="J155" s="15" t="str">
        <x:v>Flannery v Halifax Estate Agencies Ltd [2000] 1 WLR 377</x:v>
      </x:c>
      <x:c r="K155" s="15" t="str">
        <x:v>Flannery v Halifax Estate Agencies Ltd [2000] 1 WLR 377</x:v>
      </x:c>
      <x:c r="L155" s="15" t="str"/>
      <x:c r="M155" s="15" t="str"/>
      <x:c r="N155" s="15" t="str">
        <x:v>legalFramework.precedentCitations[1]</x:v>
      </x:c>
      <x:c r="O155" s="15" t="str">
        <x:v>structured_json</x:v>
      </x:c>
      <x:c r="P155" s="15" t="str">
        <x:v>binding</x:v>
      </x:c>
      <x:c r="Q155" s="15" t="str"/>
      <x:c r="R155" s="15" t="str">
        <x:v>Duty to give reasons</x:v>
      </x:c>
      <x:c r="S155" s="15" t="str"/>
    </x:row>
    <x:row r="156">
      <x:c r="A156" s="1" t="str">
        <x:v>O0155</x:v>
      </x:c>
      <x:c r="B156" s="1" t="str">
        <x:v>cmmc2zaji000h04l23a3cp61p</x:v>
      </x:c>
      <x:c r="C156" s="1" t="str">
        <x:v>cmlzon435000504jsyulxanb5</x:v>
      </x:c>
      <x:c r="D156" s="1" t="str">
        <x:v>skeleton-args-ca2022002088-9a827e5fc9cfa270</x:v>
      </x:c>
      <x:c r="E156" s="1" t="str">
        <x:v>synthetic</x:v>
      </x:c>
      <x:c r="F156" s="15" t="str">
        <x:v>HMRC v Dolphin Drilling Ltd</x:v>
      </x:c>
      <x:c r="G156" s="16" t="n">
        <x:v>46085.56737810185</x:v>
      </x:c>
      <x:c r="H156" s="15" t="str">
        <x:v>legislation</x:v>
      </x:c>
      <x:c r="I156" s="15" t="str">
        <x:v>legislation:corporation tax act 2010 part 8za</x:v>
      </x:c>
      <x:c r="J156" s="15" t="str">
        <x:v>Corporation Tax Act 2010</x:v>
      </x:c>
      <x:c r="K156" s="15" t="str">
        <x:v>Corporation Tax Act 2010 Part 8ZA</x:v>
      </x:c>
      <x:c r="L156" s="15" t="str"/>
      <x:c r="M156" s="15" t="str">
        <x:v>Part 8ZA</x:v>
      </x:c>
      <x:c r="N156" s="15" t="str">
        <x:v>legalFramework.statutoryProvisions[0]</x:v>
      </x:c>
      <x:c r="O156" s="15" t="str">
        <x:v>structured_json</x:v>
      </x:c>
      <x:c r="P156" s="15" t="str"/>
      <x:c r="Q156" s="15" t="str"/>
      <x:c r="R156" s="15" t="str">
        <x:v>Establishes definitions and conditions under which assets qualify for relevant asset status in tax assessments.</x:v>
      </x:c>
      <x:c r="S156" s="15" t="str">
        <x:v>N/A</x:v>
      </x:c>
    </x:row>
    <x:row r="157">
      <x:c r="A157" s="1" t="str">
        <x:v>O0156</x:v>
      </x:c>
      <x:c r="B157" s="1" t="str">
        <x:v>cmmc2zaji000h04l23a3cp61p</x:v>
      </x:c>
      <x:c r="C157" s="1" t="str">
        <x:v>cmlzon435000504jsyulxanb5</x:v>
      </x:c>
      <x:c r="D157" s="1" t="str">
        <x:v>skeleton-args-ca2022002088-9a827e5fc9cfa270</x:v>
      </x:c>
      <x:c r="E157" s="1" t="str">
        <x:v>synthetic</x:v>
      </x:c>
      <x:c r="F157" s="15" t="str">
        <x:v>HMRC v Dolphin Drilling Ltd</x:v>
      </x:c>
      <x:c r="G157" s="16" t="n">
        <x:v>46085.56737810185</x:v>
      </x:c>
      <x:c r="H157" s="15" t="str">
        <x:v>legislation</x:v>
      </x:c>
      <x:c r="I157" s="15" t="str">
        <x:v>legislation:senior courts act 1981 s 35a</x:v>
      </x:c>
      <x:c r="J157" s="15" t="str">
        <x:v>Senior Courts Act 1981</x:v>
      </x:c>
      <x:c r="K157" s="15" t="str">
        <x:v>Senior Courts Act 1981 s.35A</x:v>
      </x:c>
      <x:c r="L157" s="15" t="str"/>
      <x:c r="M157" s="15" t="str">
        <x:v>s.35A</x:v>
      </x:c>
      <x:c r="N157" s="15" t="str">
        <x:v>legalFramework.statutoryProvisions[1]</x:v>
      </x:c>
      <x:c r="O157" s="15" t="str">
        <x:v>structured_json</x:v>
      </x:c>
      <x:c r="P157" s="15" t="str"/>
      <x:c r="Q157" s="15" t="str"/>
      <x:c r="R157" s="15" t="str">
        <x:v>Addresses interest on debts and damages relating to tax liability assessments, clarifying interest computations.</x:v>
      </x:c>
      <x:c r="S157" s="15" t="str">
        <x:v>N/A</x:v>
      </x:c>
    </x:row>
    <x:row r="158">
      <x:c r="A158" s="1" t="str">
        <x:v>O0157</x:v>
      </x:c>
      <x:c r="B158" s="1" t="str">
        <x:v>cmmc2zaji000h04l23a3cp61p</x:v>
      </x:c>
      <x:c r="C158" s="1" t="str">
        <x:v>cmlzon435000504jsyulxanb5</x:v>
      </x:c>
      <x:c r="D158" s="1" t="str">
        <x:v>skeleton-args-ca2022002088-9a827e5fc9cfa270</x:v>
      </x:c>
      <x:c r="E158" s="1" t="str">
        <x:v>synthetic</x:v>
      </x:c>
      <x:c r="F158" s="15" t="str">
        <x:v>HMRC v Dolphin Drilling Ltd</x:v>
      </x:c>
      <x:c r="G158" s="16" t="n">
        <x:v>46085.56737810185</x:v>
      </x:c>
      <x:c r="H158" s="15" t="str">
        <x:v>legislation</x:v>
      </x:c>
      <x:c r="I158" s="15" t="str">
        <x:v>legislation:corporation tax act 2010 356k to 356l</x:v>
      </x:c>
      <x:c r="J158" s="15" t="str">
        <x:v>Corporation Tax Act 2010</x:v>
      </x:c>
      <x:c r="K158" s="15" t="str">
        <x:v>Corporation Tax Act 2010 356K to 356L</x:v>
      </x:c>
      <x:c r="L158" s="15" t="str"/>
      <x:c r="M158" s="15" t="str">
        <x:v>356K to 356L</x:v>
      </x:c>
      <x:c r="N158" s="15" t="str">
        <x:v>legalFramework.statutoryProvisions[2]</x:v>
      </x:c>
      <x:c r="O158" s="15" t="str">
        <x:v>structured_json</x:v>
      </x:c>
      <x:c r="P158" s="15" t="str"/>
      <x:c r="Q158" s="15" t="str"/>
      <x:c r="R158" s="15" t="str">
        <x:v>Defines relevant asset parameters for taxation and accountability in corporate financial operations.</x:v>
      </x:c>
      <x:c r="S158" s="15" t="str">
        <x:v>N/A</x:v>
      </x:c>
    </x:row>
    <x:row r="159">
      <x:c r="A159" s="1" t="str">
        <x:v>O0158</x:v>
      </x:c>
      <x:c r="B159" s="1" t="str">
        <x:v>cmmc2zaji000h04l23a3cp61p</x:v>
      </x:c>
      <x:c r="C159" s="1" t="str">
        <x:v>cmlzon435000504jsyulxanb5</x:v>
      </x:c>
      <x:c r="D159" s="1" t="str">
        <x:v>skeleton-args-ca2022002088-9a827e5fc9cfa270</x:v>
      </x:c>
      <x:c r="E159" s="1" t="str">
        <x:v>synthetic</x:v>
      </x:c>
      <x:c r="F159" s="15" t="str">
        <x:v>HMRC v Dolphin Drilling Ltd</x:v>
      </x:c>
      <x:c r="G159" s="16" t="n">
        <x:v>46085.56737810185</x:v>
      </x:c>
      <x:c r="H159" s="15" t="str">
        <x:v>legislation</x:v>
      </x:c>
      <x:c r="I159" s="15" t="str">
        <x:v>legislation:as per senior courts act 1981 s 35a</x:v>
      </x:c>
      <x:c r="J159" s="15" t="str">
        <x:v>as per Senior Courts Act 1981, s.35A</x:v>
      </x:c>
      <x:c r="K159" s="15" t="str">
        <x:v>as per Senior Courts Act 1981, s.35A</x:v>
      </x:c>
      <x:c r="L159" s="15" t="str"/>
      <x:c r="M159" s="15" t="str"/>
      <x:c r="N159" s="15" t="str">
        <x:v>decisionAndDisposition.interest.statutoryBasis</x:v>
      </x:c>
      <x:c r="O159" s="15" t="str">
        <x:v>structured_json</x:v>
      </x:c>
      <x:c r="P159" s="15" t="str"/>
      <x:c r="Q159" s="15" t="str"/>
      <x:c r="R159" s="15" t="str"/>
      <x:c r="S159" s="15" t="str"/>
    </x:row>
    <x:row r="160">
      <x:c r="A160" s="1" t="str">
        <x:v>O0159</x:v>
      </x:c>
      <x:c r="B160" s="1" t="str">
        <x:v>cmmc2zaji000h04l23a3cp61p</x:v>
      </x:c>
      <x:c r="C160" s="1" t="str">
        <x:v>cmlzon435000504jsyulxanb5</x:v>
      </x:c>
      <x:c r="D160" s="1" t="str">
        <x:v>skeleton-args-ca2022002088-9a827e5fc9cfa270</x:v>
      </x:c>
      <x:c r="E160" s="1" t="str">
        <x:v>synthetic</x:v>
      </x:c>
      <x:c r="F160" s="15" t="str">
        <x:v>HMRC v Dolphin Drilling Ltd</x:v>
      </x:c>
      <x:c r="G160" s="16" t="n">
        <x:v>46085.56737810185</x:v>
      </x:c>
      <x:c r="H160" s="15" t="str">
        <x:v>case</x:v>
      </x:c>
      <x:c r="I160" s="15" t="str">
        <x:v>case:2022 ewca civ 1422</x:v>
      </x:c>
      <x:c r="J160" s="15" t="str">
        <x:v>Cobalt Data Centre 2 LLP &amp; Anor v HM Revenue &amp; Customs</x:v>
      </x:c>
      <x:c r="K160" s="15" t="str">
        <x:v>[2022] EWCA Civ 1422</x:v>
      </x:c>
      <x:c r="L160" s="15" t="str">
        <x:v>3b5f0b35-9abc-4644-bd76-178e4ddaa226</x:v>
      </x:c>
      <x:c r="M160" s="15" t="str"/>
      <x:c r="N160" s="15" t="str">
        <x:v>legalFramework.statutoryProvisions[0].sourceCases[0]</x:v>
      </x:c>
      <x:c r="O160" s="15" t="str">
        <x:v>structured_json</x:v>
      </x:c>
      <x:c r="P160" s="15" t="str"/>
      <x:c r="Q160" s="15" t="str">
        <x:v>applied_differently</x:v>
      </x:c>
      <x:c r="R160" s="15" t="str">
        <x:v>Cases interpreting this Act inform ongoing asset classification assessments.</x:v>
      </x:c>
      <x:c r="S160" s="15" t="str"/>
    </x:row>
    <x:row r="161">
      <x:c r="A161" s="1" t="str">
        <x:v>O0160</x:v>
      </x:c>
      <x:c r="B161" s="1" t="str">
        <x:v>cmmc2zaji000h04l23a3cp61p</x:v>
      </x:c>
      <x:c r="C161" s="1" t="str">
        <x:v>cmlzon435000504jsyulxanb5</x:v>
      </x:c>
      <x:c r="D161" s="1" t="str">
        <x:v>skeleton-args-ca2022002088-9a827e5fc9cfa270</x:v>
      </x:c>
      <x:c r="E161" s="1" t="str">
        <x:v>synthetic</x:v>
      </x:c>
      <x:c r="F161" s="15" t="str">
        <x:v>HMRC v Dolphin Drilling Ltd</x:v>
      </x:c>
      <x:c r="G161" s="16" t="n">
        <x:v>46085.56737810185</x:v>
      </x:c>
      <x:c r="H161" s="15" t="str">
        <x:v>case</x:v>
      </x:c>
      <x:c r="I161" s="15" t="str">
        <x:v>case:2014 ewca civ 1062</x:v>
      </x:c>
      <x:c r="J161" s="15" t="str">
        <x:v>Revenue and Customs v Lloyds TSB Equipment Leasing (No 1) Ltd</x:v>
      </x:c>
      <x:c r="K161" s="15" t="str">
        <x:v>[2014] EWCA Civ 1062</x:v>
      </x:c>
      <x:c r="L161" s="15" t="str">
        <x:v>43ef5de1-aec0-41aa-83ef-7f2ecf54e8b8</x:v>
      </x:c>
      <x:c r="M161" s="15" t="str"/>
      <x:c r="N161" s="15" t="str">
        <x:v>legalFramework.statutoryProvisions[0].sourceCases[1]</x:v>
      </x:c>
      <x:c r="O161" s="15" t="str">
        <x:v>structured_json</x:v>
      </x:c>
      <x:c r="P161" s="15" t="str"/>
      <x:c r="Q161" s="15" t="str">
        <x:v>applied_differently</x:v>
      </x:c>
      <x:c r="R161" s="15" t="str">
        <x:v>Relevant to statutory classifications in asset assessment.</x:v>
      </x:c>
      <x:c r="S161" s="15" t="str"/>
    </x:row>
    <x:row r="162">
      <x:c r="A162" s="1" t="str">
        <x:v>O0161</x:v>
      </x:c>
      <x:c r="B162" s="1" t="str">
        <x:v>cmmc2zaji000h04l23a3cp61p</x:v>
      </x:c>
      <x:c r="C162" s="1" t="str">
        <x:v>cmlzon435000504jsyulxanb5</x:v>
      </x:c>
      <x:c r="D162" s="1" t="str">
        <x:v>skeleton-args-ca2022002088-9a827e5fc9cfa270</x:v>
      </x:c>
      <x:c r="E162" s="1" t="str">
        <x:v>synthetic</x:v>
      </x:c>
      <x:c r="F162" s="15" t="str">
        <x:v>HMRC v Dolphin Drilling Ltd</x:v>
      </x:c>
      <x:c r="G162" s="16" t="n">
        <x:v>46085.56737810185</x:v>
      </x:c>
      <x:c r="H162" s="15" t="str">
        <x:v>case</x:v>
      </x:c>
      <x:c r="I162" s="15" t="str">
        <x:v>case:2022 ewca civ 1422</x:v>
      </x:c>
      <x:c r="J162" s="15" t="str">
        <x:v>Cobalt Data Centre 2 LLP &amp; Anor v HM Revenue &amp; Customs</x:v>
      </x:c>
      <x:c r="K162" s="15" t="str">
        <x:v>[2022] EWCA Civ 1422</x:v>
      </x:c>
      <x:c r="L162" s="15" t="str">
        <x:v>3b5f0b35-9abc-4644-bd76-178e4ddaa226</x:v>
      </x:c>
      <x:c r="M162" s="15" t="str"/>
      <x:c r="N162" s="15" t="str">
        <x:v>factualFindings.contestedFacts[0].sourceCases[0]</x:v>
      </x:c>
      <x:c r="O162" s="15" t="str">
        <x:v>structured_json</x:v>
      </x:c>
      <x:c r="P162" s="15" t="str"/>
      <x:c r="Q162" s="15" t="str">
        <x:v>applied_differently</x:v>
      </x:c>
      <x:c r="R162" s="15" t="str">
        <x:v>This case dealt with the classification of operational assets under similar tax law provisions.</x:v>
      </x:c>
      <x:c r="S162" s="15" t="str"/>
    </x:row>
    <x:row r="163">
      <x:c r="A163" s="1" t="str">
        <x:v>O0162</x:v>
      </x:c>
      <x:c r="B163" s="1" t="str">
        <x:v>cmmc2zaji000h04l23a3cp61p</x:v>
      </x:c>
      <x:c r="C163" s="1" t="str">
        <x:v>cmlzon435000504jsyulxanb5</x:v>
      </x:c>
      <x:c r="D163" s="1" t="str">
        <x:v>skeleton-args-ca2022002088-9a827e5fc9cfa270</x:v>
      </x:c>
      <x:c r="E163" s="1" t="str">
        <x:v>synthetic</x:v>
      </x:c>
      <x:c r="F163" s="15" t="str">
        <x:v>HMRC v Dolphin Drilling Ltd</x:v>
      </x:c>
      <x:c r="G163" s="16" t="n">
        <x:v>46085.56737810185</x:v>
      </x:c>
      <x:c r="H163" s="15" t="str">
        <x:v>case</x:v>
      </x:c>
      <x:c r="I163" s="15" t="str">
        <x:v>case:2014 ewca civ 1062</x:v>
      </x:c>
      <x:c r="J163" s="15" t="str">
        <x:v>Revenue and Customs v Lloyds TSB Equipment Leasing (No 1) Ltd</x:v>
      </x:c>
      <x:c r="K163" s="15" t="str">
        <x:v>[2014] EWCA Civ 1062</x:v>
      </x:c>
      <x:c r="L163" s="15" t="str">
        <x:v>43ef5de1-aec0-41aa-83ef-7f2ecf54e8b8</x:v>
      </x:c>
      <x:c r="M163" s="15" t="str"/>
      <x:c r="N163" s="15" t="str">
        <x:v>factualFindings.contestedFacts[1].sourceCases[0]</x:v>
      </x:c>
      <x:c r="O163" s="15" t="str">
        <x:v>structured_json</x:v>
      </x:c>
      <x:c r="P163" s="15" t="str"/>
      <x:c r="Q163" s="15" t="str">
        <x:v>applied_differently</x:v>
      </x:c>
      <x:c r="R163" s="15" t="str">
        <x:v>This case highlights the distinction between ancillary and integral functions of assets, crucial to classification matters.</x:v>
      </x:c>
      <x:c r="S163" s="15" t="str"/>
    </x:row>
    <x:row r="164">
      <x:c r="A164" s="1" t="str">
        <x:v>O0163</x:v>
      </x:c>
      <x:c r="B164" s="1" t="str">
        <x:v>cmmc2zaji000h04l23a3cp61p</x:v>
      </x:c>
      <x:c r="C164" s="1" t="str">
        <x:v>cmlzon435000504jsyulxanb5</x:v>
      </x:c>
      <x:c r="D164" s="1" t="str">
        <x:v>skeleton-args-ca2022002088-9a827e5fc9cfa270</x:v>
      </x:c>
      <x:c r="E164" s="1" t="str">
        <x:v>synthetic</x:v>
      </x:c>
      <x:c r="F164" s="15" t="str">
        <x:v>HMRC v Dolphin Drilling Ltd</x:v>
      </x:c>
      <x:c r="G164" s="16" t="n">
        <x:v>46085.56737810185</x:v>
      </x:c>
      <x:c r="H164" s="15" t="str">
        <x:v>case</x:v>
      </x:c>
      <x:c r="I164" s="15" t="str">
        <x:v>case:2022 ewca civ 1422</x:v>
      </x:c>
      <x:c r="J164" s="15" t="str">
        <x:v>Cobalt Data Centre 2 LLP &amp; Anor v HM Revenue &amp; Customs</x:v>
      </x:c>
      <x:c r="K164" s="15" t="str">
        <x:v>[2022] EWCA Civ 1422</x:v>
      </x:c>
      <x:c r="L164" s="15" t="str">
        <x:v>3b5f0b35-9abc-4644-bd76-178e4ddaa226</x:v>
      </x:c>
      <x:c r="M164" s="15" t="str"/>
      <x:c r="N164" s="15" t="str">
        <x:v>reasoningStructure[0].sourceCases[0]</x:v>
      </x:c>
      <x:c r="O164" s="15" t="str">
        <x:v>structured_json</x:v>
      </x:c>
      <x:c r="P164" s="15" t="str"/>
      <x:c r="Q164" s="15" t="str">
        <x:v>applied_differently</x:v>
      </x:c>
      <x:c r="R164" s="15" t="str">
        <x:v>This case's interpretation of relevant assets provides analogous support for determining asset classifications based on functional necessity.</x:v>
      </x:c>
      <x:c r="S164" s="15" t="str"/>
    </x:row>
    <x:row r="165">
      <x:c r="A165" s="1" t="str">
        <x:v>O0164</x:v>
      </x:c>
      <x:c r="B165" s="1" t="str">
        <x:v>cmmc2zaji000h04l23a3cp61p</x:v>
      </x:c>
      <x:c r="C165" s="1" t="str">
        <x:v>cmlzon435000504jsyulxanb5</x:v>
      </x:c>
      <x:c r="D165" s="1" t="str">
        <x:v>skeleton-args-ca2022002088-9a827e5fc9cfa270</x:v>
      </x:c>
      <x:c r="E165" s="1" t="str">
        <x:v>synthetic</x:v>
      </x:c>
      <x:c r="F165" s="15" t="str">
        <x:v>HMRC v Dolphin Drilling Ltd</x:v>
      </x:c>
      <x:c r="G165" s="16" t="n">
        <x:v>46085.56737810185</x:v>
      </x:c>
      <x:c r="H165" s="15" t="str">
        <x:v>case</x:v>
      </x:c>
      <x:c r="I165" s="15" t="str">
        <x:v>case:2014 ewca civ 1062</x:v>
      </x:c>
      <x:c r="J165" s="15" t="str">
        <x:v>Revenue and Customs v Lloyds TSB Equipment Leasing (No 1) Ltd</x:v>
      </x:c>
      <x:c r="K165" s="15" t="str">
        <x:v>[2014] EWCA Civ 1062</x:v>
      </x:c>
      <x:c r="L165" s="15" t="str">
        <x:v>43ef5de1-aec0-41aa-83ef-7f2ecf54e8b8</x:v>
      </x:c>
      <x:c r="M165" s="15" t="str"/>
      <x:c r="N165" s="15" t="str">
        <x:v>reasoningStructure[1].sourceCases[0]</x:v>
      </x:c>
      <x:c r="O165" s="15" t="str">
        <x:v>structured_json</x:v>
      </x:c>
      <x:c r="P165" s="15" t="str"/>
      <x:c r="Q165" s="15" t="str">
        <x:v>applied_differently</x:v>
      </x:c>
      <x:c r="R165" s="15" t="str">
        <x:v>This case reinforces understanding assets’ operational classifications in tax contexts, which mirrors the situation here.</x:v>
      </x:c>
      <x:c r="S165" s="15" t="str"/>
    </x:row>
    <x:row r="166">
      <x:c r="A166" s="1" t="str">
        <x:v>O0165</x:v>
      </x:c>
      <x:c r="B166" s="1" t="str">
        <x:v>cmmc2zaji000h04l23a3cp61p</x:v>
      </x:c>
      <x:c r="C166" s="1" t="str">
        <x:v>cmlzon435000504jsyulxanb5</x:v>
      </x:c>
      <x:c r="D166" s="1" t="str">
        <x:v>skeleton-args-ca2022002088-9a827e5fc9cfa270</x:v>
      </x:c>
      <x:c r="E166" s="1" t="str">
        <x:v>synthetic</x:v>
      </x:c>
      <x:c r="F166" s="15" t="str">
        <x:v>HMRC v Dolphin Drilling Ltd</x:v>
      </x:c>
      <x:c r="G166" s="16" t="n">
        <x:v>46085.56737810185</x:v>
      </x:c>
      <x:c r="H166" s="15" t="str">
        <x:v>case</x:v>
      </x:c>
      <x:c r="I166" s="15" t="str">
        <x:v>case:2022 ewca civ 1422</x:v>
      </x:c>
      <x:c r="J166" s="15" t="str">
        <x:v>Cobalt Data Centre 2 LLP &amp; Anor v HM Revenue &amp; Customs</x:v>
      </x:c>
      <x:c r="K166" s="15" t="str">
        <x:v>[2022] EWCA Civ 1422</x:v>
      </x:c>
      <x:c r="L166" s="15" t="str">
        <x:v>3b5f0b35-9abc-4644-bd76-178e4ddaa226</x:v>
      </x:c>
      <x:c r="M166" s="15" t="str"/>
      <x:c r="N166" s="15" t="str">
        <x:v>issuesForDetermination.issueMatrix[0].sourceCases[0]</x:v>
      </x:c>
      <x:c r="O166" s="15" t="str">
        <x:v>structured_json</x:v>
      </x:c>
      <x:c r="P166" s="15" t="str"/>
      <x:c r="Q166" s="15" t="str">
        <x:v>applied_differently</x:v>
      </x:c>
      <x:c r="R166" s="15" t="str">
        <x:v>This case illustrates how functional necessity can dictate asset classification in tax matters.</x:v>
      </x:c>
      <x:c r="S166" s="15" t="str"/>
    </x:row>
    <x:row r="167">
      <x:c r="A167" s="1" t="str">
        <x:v>O0166</x:v>
      </x:c>
      <x:c r="B167" s="1" t="str">
        <x:v>cmmc2zaji000h04l23a3cp61p</x:v>
      </x:c>
      <x:c r="C167" s="1" t="str">
        <x:v>cmlzon435000504jsyulxanb5</x:v>
      </x:c>
      <x:c r="D167" s="1" t="str">
        <x:v>skeleton-args-ca2022002088-9a827e5fc9cfa270</x:v>
      </x:c>
      <x:c r="E167" s="1" t="str">
        <x:v>synthetic</x:v>
      </x:c>
      <x:c r="F167" s="15" t="str">
        <x:v>HMRC v Dolphin Drilling Ltd</x:v>
      </x:c>
      <x:c r="G167" s="16" t="n">
        <x:v>46085.56737810185</x:v>
      </x:c>
      <x:c r="H167" s="15" t="str">
        <x:v>case</x:v>
      </x:c>
      <x:c r="I167" s="15" t="str">
        <x:v>case:2014 ewca civ 1062</x:v>
      </x:c>
      <x:c r="J167" s="15" t="str">
        <x:v>Revenue and Customs v Lloyds TSB Equipment Leasing (No 1) Ltd</x:v>
      </x:c>
      <x:c r="K167" s="15" t="str">
        <x:v>[2014] EWCA Civ 1062</x:v>
      </x:c>
      <x:c r="L167" s="15" t="str">
        <x:v>43ef5de1-aec0-41aa-83ef-7f2ecf54e8b8</x:v>
      </x:c>
      <x:c r="M167" s="15" t="str"/>
      <x:c r="N167" s="15" t="str">
        <x:v>issuesForDetermination.issueMatrix[1].sourceCases[0]</x:v>
      </x:c>
      <x:c r="O167" s="15" t="str">
        <x:v>structured_json</x:v>
      </x:c>
      <x:c r="P167" s="15" t="str"/>
      <x:c r="Q167" s="15" t="str">
        <x:v>applied_differently</x:v>
      </x:c>
      <x:c r="R167" s="15" t="str">
        <x:v>This case is pertinent to understanding tax law assets, focusing on how operational usage determines classifications.</x:v>
      </x:c>
      <x:c r="S167" s="15" t="str"/>
    </x:row>
    <x:row r="168">
      <x:c r="A168" s="1" t="str">
        <x:v>O0167</x:v>
      </x:c>
      <x:c r="B168" s="1" t="str">
        <x:v>cmmc4a8zu000h04jx2w3r0hzo</x:v>
      </x:c>
      <x:c r="C168" s="1" t="str">
        <x:v>cmmc45761000204jx6bd5kxqk</x:v>
      </x:c>
      <x:c r="D168" s="1" t="str">
        <x:v>ca-2024-000255-ellis-v-ssj-appellant-skeleton</x:v>
      </x:c>
      <x:c r="E168" s="1" t="str">
        <x:v>real</x:v>
      </x:c>
      <x:c r="F168" s="15" t="str">
        <x:v>R (Fajr Ellis) v Secretary of State for Justice</x:v>
      </x:c>
      <x:c r="G168" s="16" t="n">
        <x:v>46085.592734907405</x:v>
      </x:c>
      <x:c r="H168" s="15" t="str">
        <x:v>case</x:v>
      </x:c>
      <x:c r="I168" s="15" t="str">
        <x:v>case:r johnson v sshd</x:v>
      </x:c>
      <x:c r="J168" s="15" t="str">
        <x:v>R (Johnson) v SSHD</x:v>
      </x:c>
      <x:c r="K168" s="15" t="str">
        <x:v>R (Johnson) v SSHD</x:v>
      </x:c>
      <x:c r="L168" s="15" t="str"/>
      <x:c r="M168" s="15" t="str"/>
      <x:c r="N168" s="15" t="str">
        <x:v>legalFramework.precedentCitations[0]</x:v>
      </x:c>
      <x:c r="O168" s="15" t="str">
        <x:v>structured_json</x:v>
      </x:c>
      <x:c r="P168" s="15" t="str">
        <x:v>binding</x:v>
      </x:c>
      <x:c r="Q168" s="15" t="str"/>
      <x:c r="R168" s="15" t="str">
        <x:v>Threshold for breach of rights requires evaluation of proportionality against security concerns in prison settings.</x:v>
      </x:c>
      <x:c r="S168" s="15" t="str"/>
    </x:row>
    <x:row r="169">
      <x:c r="A169" s="1" t="str">
        <x:v>O0168</x:v>
      </x:c>
      <x:c r="B169" s="1" t="str">
        <x:v>cmmc4a8zu000h04jx2w3r0hzo</x:v>
      </x:c>
      <x:c r="C169" s="1" t="str">
        <x:v>cmmc45761000204jx6bd5kxqk</x:v>
      </x:c>
      <x:c r="D169" s="1" t="str">
        <x:v>ca-2024-000255-ellis-v-ssj-appellant-skeleton</x:v>
      </x:c>
      <x:c r="E169" s="1" t="str">
        <x:v>real</x:v>
      </x:c>
      <x:c r="F169" s="15" t="str">
        <x:v>R (Fajr Ellis) v Secretary of State for Justice</x:v>
      </x:c>
      <x:c r="G169" s="16" t="n">
        <x:v>46085.592734907405</x:v>
      </x:c>
      <x:c r="H169" s="15" t="str">
        <x:v>case</x:v>
      </x:c>
      <x:c r="I169" s="15" t="str">
        <x:v>case:flannery v halifax estate agencies ltd</x:v>
      </x:c>
      <x:c r="J169" s="15" t="str">
        <x:v>Flannery v Halifax Estate Agencies Ltd</x:v>
      </x:c>
      <x:c r="K169" s="15" t="str">
        <x:v>Flannery v Halifax Estate Agencies Ltd</x:v>
      </x:c>
      <x:c r="L169" s="15" t="str"/>
      <x:c r="M169" s="15" t="str"/>
      <x:c r="N169" s="15" t="str">
        <x:v>legalFramework.precedentCitations[1]</x:v>
      </x:c>
      <x:c r="O169" s="15" t="str">
        <x:v>structured_json</x:v>
      </x:c>
      <x:c r="P169" s="15" t="str">
        <x:v>binding</x:v>
      </x:c>
      <x:c r="Q169" s="15" t="str"/>
      <x:c r="R169" s="15" t="str">
        <x:v>Duty to provide reasons must be adequately respected even in administrative settings.</x:v>
      </x:c>
      <x:c r="S169" s="15" t="str"/>
    </x:row>
    <x:row r="170">
      <x:c r="A170" s="1" t="str">
        <x:v>O0169</x:v>
      </x:c>
      <x:c r="B170" s="1" t="str">
        <x:v>cmmc4a8zu000h04jx2w3r0hzo</x:v>
      </x:c>
      <x:c r="C170" s="1" t="str">
        <x:v>cmmc45761000204jx6bd5kxqk</x:v>
      </x:c>
      <x:c r="D170" s="1" t="str">
        <x:v>ca-2024-000255-ellis-v-ssj-appellant-skeleton</x:v>
      </x:c>
      <x:c r="E170" s="1" t="str">
        <x:v>real</x:v>
      </x:c>
      <x:c r="F170" s="15" t="str">
        <x:v>R (Fajr Ellis) v Secretary of State for Justice</x:v>
      </x:c>
      <x:c r="G170" s="16" t="n">
        <x:v>46085.592734907405</x:v>
      </x:c>
      <x:c r="H170" s="15" t="str">
        <x:v>legislation</x:v>
      </x:c>
      <x:c r="I170" s="15" t="str">
        <x:v>legislation:human rights act 1998 2 1</x:v>
      </x:c>
      <x:c r="J170" s="15" t="str">
        <x:v>Human Rights Act 1998</x:v>
      </x:c>
      <x:c r="K170" s="15" t="str">
        <x:v>Human Rights Act 1998 2 (1)</x:v>
      </x:c>
      <x:c r="L170" s="15" t="str"/>
      <x:c r="M170" s="15" t="str">
        <x:v>2 (1)</x:v>
      </x:c>
      <x:c r="N170" s="15" t="str">
        <x:v>legalFramework.statutoryProvisions[0]</x:v>
      </x:c>
      <x:c r="O170" s="15" t="str">
        <x:v>structured_json</x:v>
      </x:c>
      <x:c r="P170" s="15" t="str"/>
      <x:c r="Q170" s="15" t="str"/>
      <x:c r="R170" s="15" t="str">
        <x:v>Obligation to respect rights under the European Convention and thresholds for interference.</x:v>
      </x:c>
      <x:c r="S170" s="15" t="str"/>
    </x:row>
    <x:row r="171">
      <x:c r="A171" s="1" t="str">
        <x:v>O0170</x:v>
      </x:c>
      <x:c r="B171" s="1" t="str">
        <x:v>cmmc4a8zu000h04jx2w3r0hzo</x:v>
      </x:c>
      <x:c r="C171" s="1" t="str">
        <x:v>cmmc45761000204jx6bd5kxqk</x:v>
      </x:c>
      <x:c r="D171" s="1" t="str">
        <x:v>ca-2024-000255-ellis-v-ssj-appellant-skeleton</x:v>
      </x:c>
      <x:c r="E171" s="1" t="str">
        <x:v>real</x:v>
      </x:c>
      <x:c r="F171" s="15" t="str">
        <x:v>R (Fajr Ellis) v Secretary of State for Justice</x:v>
      </x:c>
      <x:c r="G171" s="16" t="n">
        <x:v>46085.592734907405</x:v>
      </x:c>
      <x:c r="H171" s="15" t="str">
        <x:v>legislation</x:v>
      </x:c>
      <x:c r="I171" s="15" t="str">
        <x:v>legislation:prison act 1952 1</x:v>
      </x:c>
      <x:c r="J171" s="15" t="str">
        <x:v>Prison Act 1952</x:v>
      </x:c>
      <x:c r="K171" s="15" t="str">
        <x:v>Prison Act 1952 1</x:v>
      </x:c>
      <x:c r="L171" s="15" t="str"/>
      <x:c r="M171" s="15" t="str">
        <x:v>1</x:v>
      </x:c>
      <x:c r="N171" s="15" t="str">
        <x:v>legalFramework.statutoryProvisions[1]</x:v>
      </x:c>
      <x:c r="O171" s="15" t="str">
        <x:v>structured_json</x:v>
      </x:c>
      <x:c r="P171" s="15" t="str"/>
      <x:c r="Q171" s="15" t="str"/>
      <x:c r="R171" s="15" t="str">
        <x:v>Establishes the duty of care over prisoners, including educational provisions.</x:v>
      </x:c>
      <x:c r="S171" s="15" t="str"/>
    </x:row>
    <x:row r="172">
      <x:c r="A172" s="1" t="str">
        <x:v>O0171</x:v>
      </x:c>
      <x:c r="B172" s="1" t="str">
        <x:v>cmmc4a8zu000h04jx2w3r0hzo</x:v>
      </x:c>
      <x:c r="C172" s="1" t="str">
        <x:v>cmmc45761000204jx6bd5kxqk</x:v>
      </x:c>
      <x:c r="D172" s="1" t="str">
        <x:v>ca-2024-000255-ellis-v-ssj-appellant-skeleton</x:v>
      </x:c>
      <x:c r="E172" s="1" t="str">
        <x:v>real</x:v>
      </x:c>
      <x:c r="F172" s="15" t="str">
        <x:v>R (Fajr Ellis) v Secretary of State for Justice</x:v>
      </x:c>
      <x:c r="G172" s="16" t="n">
        <x:v>46085.592734907405</x:v>
      </x:c>
      <x:c r="H172" s="15" t="str">
        <x:v>legislation</x:v>
      </x:c>
      <x:c r="I172" s="15" t="str">
        <x:v>legislation:sections 35a of the senior courts act 1981</x:v>
      </x:c>
      <x:c r="J172" s="15" t="str">
        <x:v>Sections 35A of the Senior Courts Act 1981.</x:v>
      </x:c>
      <x:c r="K172" s="15" t="str">
        <x:v>Sections 35A of the Senior Courts Act 1981.</x:v>
      </x:c>
      <x:c r="L172" s="15" t="str"/>
      <x:c r="M172" s="15" t="str"/>
      <x:c r="N172" s="15" t="str">
        <x:v>decisionAndDisposition.interest.statutoryBasis</x:v>
      </x:c>
      <x:c r="O172" s="15" t="str">
        <x:v>structured_json</x:v>
      </x:c>
      <x:c r="P172" s="15" t="str"/>
      <x:c r="Q172" s="15" t="str"/>
      <x:c r="R172" s="15" t="str"/>
      <x:c r="S172" s="15" t="str"/>
    </x:row>
    <x:row r="173">
      <x:c r="A173" s="1" t="str">
        <x:v>O0172</x:v>
      </x:c>
      <x:c r="B173" s="1" t="str">
        <x:v>cmmc4a8zu000h04jx2w3r0hzo</x:v>
      </x:c>
      <x:c r="C173" s="1" t="str">
        <x:v>cmmc45761000204jx6bd5kxqk</x:v>
      </x:c>
      <x:c r="D173" s="1" t="str">
        <x:v>ca-2024-000255-ellis-v-ssj-appellant-skeleton</x:v>
      </x:c>
      <x:c r="E173" s="1" t="str">
        <x:v>real</x:v>
      </x:c>
      <x:c r="F173" s="15" t="str">
        <x:v>R (Fajr Ellis) v Secretary of State for Justice</x:v>
      </x:c>
      <x:c r="G173" s="16" t="n">
        <x:v>46085.592734907405</x:v>
      </x:c>
      <x:c r="H173" s="15" t="str">
        <x:v>legislation</x:v>
      </x:c>
      <x:c r="I173" s="15" t="str">
        <x:v>legislation:article 2 of the first protocol to the echr</x:v>
      </x:c>
      <x:c r="J173" s="15" t="str">
        <x:v>Article 2 of the First Protocol to the ECHR</x:v>
      </x:c>
      <x:c r="K173" s="15" t="str">
        <x:v>Article 2 of the First Protocol to the ECHR</x:v>
      </x:c>
      <x:c r="L173" s="15" t="str"/>
      <x:c r="M173" s="15" t="str"/>
      <x:c r="N173" s="15" t="str">
        <x:v>legalFramework.legalTestSummaries[0].sourceAuthority</x:v>
      </x:c>
      <x:c r="O173" s="15" t="str">
        <x:v>structured_json</x:v>
      </x:c>
      <x:c r="P173" s="15" t="str"/>
      <x:c r="Q173" s="15" t="str"/>
      <x:c r="R173" s="15" t="str"/>
      <x:c r="S173" s="15" t="str"/>
    </x:row>
    <x:row r="174">
      <x:c r="A174" s="1" t="str">
        <x:v>O0173</x:v>
      </x:c>
      <x:c r="B174" s="1" t="str">
        <x:v>cmmc4a8zu000h04jx2w3r0hzo</x:v>
      </x:c>
      <x:c r="C174" s="1" t="str">
        <x:v>cmmc45761000204jx6bd5kxqk</x:v>
      </x:c>
      <x:c r="D174" s="1" t="str">
        <x:v>ca-2024-000255-ellis-v-ssj-appellant-skeleton</x:v>
      </x:c>
      <x:c r="E174" s="1" t="str">
        <x:v>real</x:v>
      </x:c>
      <x:c r="F174" s="15" t="str">
        <x:v>R (Fajr Ellis) v Secretary of State for Justice</x:v>
      </x:c>
      <x:c r="G174" s="16" t="n">
        <x:v>46085.592734907405</x:v>
      </x:c>
      <x:c r="H174" s="15" t="str">
        <x:v>legislation</x:v>
      </x:c>
      <x:c r="I174" s="15" t="str">
        <x:v>legislation:prison act 1952</x:v>
      </x:c>
      <x:c r="J174" s="15" t="str">
        <x:v>Prison Act 1952</x:v>
      </x:c>
      <x:c r="K174" s="15" t="str">
        <x:v>Prison Act 1952</x:v>
      </x:c>
      <x:c r="L174" s="15" t="str"/>
      <x:c r="M174" s="15" t="str"/>
      <x:c r="N174" s="15" t="str">
        <x:v>legalFramework.legalTestSummaries[1].sourceAuthority</x:v>
      </x:c>
      <x:c r="O174" s="15" t="str">
        <x:v>structured_json</x:v>
      </x:c>
      <x:c r="P174" s="15" t="str"/>
      <x:c r="Q174" s="15" t="str"/>
      <x:c r="R174" s="15" t="str"/>
      <x:c r="S174" s="15" t="str"/>
    </x:row>
    <x:row r="175">
      <x:c r="A175" s="1" t="str">
        <x:v>O0174</x:v>
      </x:c>
      <x:c r="B175" s="1" t="str">
        <x:v>cmmc4a8zu000h04jx2w3r0hzo</x:v>
      </x:c>
      <x:c r="C175" s="1" t="str">
        <x:v>cmmc45761000204jx6bd5kxqk</x:v>
      </x:c>
      <x:c r="D175" s="1" t="str">
        <x:v>ca-2024-000255-ellis-v-ssj-appellant-skeleton</x:v>
      </x:c>
      <x:c r="E175" s="1" t="str">
        <x:v>real</x:v>
      </x:c>
      <x:c r="F175" s="15" t="str">
        <x:v>R (Fajr Ellis) v Secretary of State for Justice</x:v>
      </x:c>
      <x:c r="G175" s="16" t="n">
        <x:v>46085.592734907405</x:v>
      </x:c>
      <x:c r="H175" s="15" t="str">
        <x:v>case</x:v>
      </x:c>
      <x:c r="I175" s="15" t="str">
        <x:v>case:2022 ewca civ 4</x:v>
      </x:c>
      <x:c r="J175" s="15" t="str">
        <x:v>Pearce, R (On the Application Of) v Parole Board of England and Wales &amp; Anor</x:v>
      </x:c>
      <x:c r="K175" s="15" t="str">
        <x:v>[2022] EWCA Civ 4</x:v>
      </x:c>
      <x:c r="L175" s="15" t="str">
        <x:v>6704e94e-e6b0-4dfe-b4c9-c5d695bdc6aa</x:v>
      </x:c>
      <x:c r="M175" s="15" t="str"/>
      <x:c r="N175" s="15" t="str">
        <x:v>factualFindings.chronology[1].sourceCases[0]</x:v>
      </x:c>
      <x:c r="O175" s="15" t="str">
        <x:v>structured_json</x:v>
      </x:c>
      <x:c r="P175" s="15" t="str"/>
      <x:c r="Q175" s="15" t="str">
        <x:v>applied_differently</x:v>
      </x:c>
      <x:c r="R175" s="15" t="str">
        <x:v>Clarifies the standards for reviewing administrative decisions affecting rights, important for the subsequent appeal.</x:v>
      </x:c>
      <x:c r="S175" s="15" t="str"/>
    </x:row>
    <x:row r="176">
      <x:c r="A176" s="1" t="str">
        <x:v>O0175</x:v>
      </x:c>
      <x:c r="B176" s="1" t="str">
        <x:v>cmmc4a8zu000h04jx2w3r0hzo</x:v>
      </x:c>
      <x:c r="C176" s="1" t="str">
        <x:v>cmmc45761000204jx6bd5kxqk</x:v>
      </x:c>
      <x:c r="D176" s="1" t="str">
        <x:v>ca-2024-000255-ellis-v-ssj-appellant-skeleton</x:v>
      </x:c>
      <x:c r="E176" s="1" t="str">
        <x:v>real</x:v>
      </x:c>
      <x:c r="F176" s="15" t="str">
        <x:v>R (Fajr Ellis) v Secretary of State for Justice</x:v>
      </x:c>
      <x:c r="G176" s="16" t="n">
        <x:v>46085.592734907405</x:v>
      </x:c>
      <x:c r="H176" s="15" t="str">
        <x:v>case</x:v>
      </x:c>
      <x:c r="I176" s="15" t="str">
        <x:v>case:2015 ewca civ 1170</x:v>
      </x:c>
      <x:c r="J176" s="15" t="str">
        <x:v>Bristow v The Secretary of State for Justice &amp; Anor</x:v>
      </x:c>
      <x:c r="K176" s="15" t="str">
        <x:v>[2015] EWCA Civ 1170</x:v>
      </x:c>
      <x:c r="L176" s="15" t="str">
        <x:v>1dbb4242-42ac-456f-989f-5098066d87ca</x:v>
      </x:c>
      <x:c r="M176" s="15" t="str"/>
      <x:c r="N176" s="15" t="str">
        <x:v>factualFindings.contestedFacts[0].sourceCases[0]</x:v>
      </x:c>
      <x:c r="O176" s="15" t="str">
        <x:v>structured_json</x:v>
      </x:c>
      <x:c r="P176" s="15" t="str"/>
      <x:c r="Q176" s="15" t="str">
        <x:v>applied_differently</x:v>
      </x:c>
      <x:c r="R176" s="15" t="str">
        <x:v>This case discusses the balancing of security interests against educational access rights.</x:v>
      </x:c>
      <x:c r="S176" s="15" t="str"/>
    </x:row>
    <x:row r="177">
      <x:c r="A177" s="1" t="str">
        <x:v>O0176</x:v>
      </x:c>
      <x:c r="B177" s="1" t="str">
        <x:v>cmmc4a8zu000h04jx2w3r0hzo</x:v>
      </x:c>
      <x:c r="C177" s="1" t="str">
        <x:v>cmmc45761000204jx6bd5kxqk</x:v>
      </x:c>
      <x:c r="D177" s="1" t="str">
        <x:v>ca-2024-000255-ellis-v-ssj-appellant-skeleton</x:v>
      </x:c>
      <x:c r="E177" s="1" t="str">
        <x:v>real</x:v>
      </x:c>
      <x:c r="F177" s="15" t="str">
        <x:v>R (Fajr Ellis) v Secretary of State for Justice</x:v>
      </x:c>
      <x:c r="G177" s="16" t="n">
        <x:v>46085.592734907405</x:v>
      </x:c>
      <x:c r="H177" s="15" t="str">
        <x:v>case</x:v>
      </x:c>
      <x:c r="I177" s="15" t="str">
        <x:v>case:the howard league for penal reform and prisoners advice service v the lord chancellor</x:v>
      </x:c>
      <x:c r="J177" s="15" t="str">
        <x:v>The Howard League for Penal Reform and Prisoners' Advice Service v The Lord Chancellor</x:v>
      </x:c>
      <x:c r="K177" s="15" t="str">
        <x:v>N/A</x:v>
      </x:c>
      <x:c r="L177" s="15" t="str">
        <x:v>d60a5323-796e-4110-a6de-012ec16860c1</x:v>
      </x:c>
      <x:c r="M177" s="15" t="str"/>
      <x:c r="N177" s="15" t="str">
        <x:v>factualFindings.contestedFacts[1].sourceCases[0]</x:v>
      </x:c>
      <x:c r="O177" s="15" t="str">
        <x:v>structured_json</x:v>
      </x:c>
      <x:c r="P177" s="15" t="str"/>
      <x:c r="Q177" s="15" t="str">
        <x:v>same_proposition</x:v>
      </x:c>
      <x:c r="R177" s="15" t="str">
        <x:v>Similar themes of balancing security measures with educational access highlighted the need for justified limitations on access to resources.</x:v>
      </x:c>
      <x:c r="S177" s="15" t="str"/>
    </x:row>
    <x:row r="178">
      <x:c r="A178" s="1" t="str">
        <x:v>O0177</x:v>
      </x:c>
      <x:c r="B178" s="1" t="str">
        <x:v>cmmc4a8zu000h04jx2w3r0hzo</x:v>
      </x:c>
      <x:c r="C178" s="1" t="str">
        <x:v>cmmc45761000204jx6bd5kxqk</x:v>
      </x:c>
      <x:c r="D178" s="1" t="str">
        <x:v>ca-2024-000255-ellis-v-ssj-appellant-skeleton</x:v>
      </x:c>
      <x:c r="E178" s="1" t="str">
        <x:v>real</x:v>
      </x:c>
      <x:c r="F178" s="15" t="str">
        <x:v>R (Fajr Ellis) v Secretary of State for Justice</x:v>
      </x:c>
      <x:c r="G178" s="16" t="n">
        <x:v>46085.592734907405</x:v>
      </x:c>
      <x:c r="H178" s="15" t="str">
        <x:v>case</x:v>
      </x:c>
      <x:c r="I178" s="15" t="str">
        <x:v>case:2015 ewca civ 1170</x:v>
      </x:c>
      <x:c r="J178" s="15" t="str">
        <x:v>Bristow v The Secretary of State for Justice &amp; Anor</x:v>
      </x:c>
      <x:c r="K178" s="15" t="str">
        <x:v>[2015] EWCA Civ 1170</x:v>
      </x:c>
      <x:c r="L178" s="15" t="str">
        <x:v>1dbb4242-42ac-456f-989f-5098066d87ca</x:v>
      </x:c>
      <x:c r="M178" s="15" t="str"/>
      <x:c r="N178" s="15" t="str">
        <x:v>reasoningStructure[0].sourceCases[0]</x:v>
      </x:c>
      <x:c r="O178" s="15" t="str">
        <x:v>structured_json</x:v>
      </x:c>
      <x:c r="P178" s="15" t="str"/>
      <x:c r="Q178" s="15" t="str">
        <x:v>distinguished</x:v>
      </x:c>
      <x:c r="R178" s="15" t="str">
        <x:v>This case demonstrated similar rights arguments concerning prisoner educational access under public law.</x:v>
      </x:c>
      <x:c r="S178" s="15" t="str"/>
    </x:row>
    <x:row r="179">
      <x:c r="A179" s="1" t="str">
        <x:v>O0178</x:v>
      </x:c>
      <x:c r="B179" s="1" t="str">
        <x:v>cmmc4a8zu000h04jx2w3r0hzo</x:v>
      </x:c>
      <x:c r="C179" s="1" t="str">
        <x:v>cmmc45761000204jx6bd5kxqk</x:v>
      </x:c>
      <x:c r="D179" s="1" t="str">
        <x:v>ca-2024-000255-ellis-v-ssj-appellant-skeleton</x:v>
      </x:c>
      <x:c r="E179" s="1" t="str">
        <x:v>real</x:v>
      </x:c>
      <x:c r="F179" s="15" t="str">
        <x:v>R (Fajr Ellis) v Secretary of State for Justice</x:v>
      </x:c>
      <x:c r="G179" s="16" t="n">
        <x:v>46085.592734907405</x:v>
      </x:c>
      <x:c r="H179" s="15" t="str">
        <x:v>case</x:v>
      </x:c>
      <x:c r="I179" s="15" t="str">
        <x:v>case:the howard league for penal reform and prisoners advice service v the lord chancellor</x:v>
      </x:c>
      <x:c r="J179" s="15" t="str">
        <x:v>The Howard League for Penal Reform and Prisoners' Advice Service v The Lord Chancellor</x:v>
      </x:c>
      <x:c r="K179" s="15" t="str">
        <x:v>N/A</x:v>
      </x:c>
      <x:c r="L179" s="15" t="str">
        <x:v>d60a5323-796e-4110-a6de-012ec16860c1</x:v>
      </x:c>
      <x:c r="M179" s="15" t="str"/>
      <x:c r="N179" s="15" t="str">
        <x:v>reasoningStructure[1].sourceCases[0]</x:v>
      </x:c>
      <x:c r="O179" s="15" t="str">
        <x:v>structured_json</x:v>
      </x:c>
      <x:c r="P179" s="15" t="str"/>
      <x:c r="Q179" s="15" t="str">
        <x:v>same_proposition</x:v>
      </x:c>
      <x:c r="R179" s="15" t="str">
        <x:v>Examined extensive balancing tests relevant to prisoner educational access versus security concerns.</x:v>
      </x:c>
      <x:c r="S179" s="15" t="str"/>
    </x:row>
    <x:row r="180">
      <x:c r="A180" s="1" t="str">
        <x:v>O0179</x:v>
      </x:c>
      <x:c r="B180" s="1" t="str">
        <x:v>cmmc4a8zu000h04jx2w3r0hzo</x:v>
      </x:c>
      <x:c r="C180" s="1" t="str">
        <x:v>cmmc45761000204jx6bd5kxqk</x:v>
      </x:c>
      <x:c r="D180" s="1" t="str">
        <x:v>ca-2024-000255-ellis-v-ssj-appellant-skeleton</x:v>
      </x:c>
      <x:c r="E180" s="1" t="str">
        <x:v>real</x:v>
      </x:c>
      <x:c r="F180" s="15" t="str">
        <x:v>R (Fajr Ellis) v Secretary of State for Justice</x:v>
      </x:c>
      <x:c r="G180" s="16" t="n">
        <x:v>46085.592734907405</x:v>
      </x:c>
      <x:c r="H180" s="15" t="str">
        <x:v>case</x:v>
      </x:c>
      <x:c r="I180" s="15" t="str">
        <x:v>case:2015 ewca civ 1170</x:v>
      </x:c>
      <x:c r="J180" s="15" t="str">
        <x:v>Bristow v The Secretary of State for Justice &amp; Anor</x:v>
      </x:c>
      <x:c r="K180" s="15" t="str">
        <x:v>[2015] EWCA Civ 1170</x:v>
      </x:c>
      <x:c r="L180" s="15" t="str">
        <x:v>1dbb4242-42ac-456f-989f-5098066d87ca</x:v>
      </x:c>
      <x:c r="M180" s="15" t="str"/>
      <x:c r="N180" s="15" t="str">
        <x:v>issuesForDetermination.issueMatrix[0].sourceCases[0]</x:v>
      </x:c>
      <x:c r="O180" s="15" t="str">
        <x:v>structured_json</x:v>
      </x:c>
      <x:c r="P180" s="15" t="str"/>
      <x:c r="Q180" s="15" t="str">
        <x:v>distinguished</x:v>
      </x:c>
      <x:c r="R180" s="15" t="str">
        <x:v>Provides similar context on educational access in penal settings weighing against security concerns.</x:v>
      </x:c>
      <x:c r="S180" s="15" t="str"/>
    </x:row>
    <x:row r="181">
      <x:c r="A181" s="1" t="str">
        <x:v>O0180</x:v>
      </x:c>
      <x:c r="B181" s="1" t="str">
        <x:v>cmmc4a8zu000h04jx2w3r0hzo</x:v>
      </x:c>
      <x:c r="C181" s="1" t="str">
        <x:v>cmmc45761000204jx6bd5kxqk</x:v>
      </x:c>
      <x:c r="D181" s="1" t="str">
        <x:v>ca-2024-000255-ellis-v-ssj-appellant-skeleton</x:v>
      </x:c>
      <x:c r="E181" s="1" t="str">
        <x:v>real</x:v>
      </x:c>
      <x:c r="F181" s="15" t="str">
        <x:v>R (Fajr Ellis) v Secretary of State for Justice</x:v>
      </x:c>
      <x:c r="G181" s="16" t="n">
        <x:v>46085.592734907405</x:v>
      </x:c>
      <x:c r="H181" s="15" t="str">
        <x:v>case</x:v>
      </x:c>
      <x:c r="I181" s="15" t="str">
        <x:v>case:the howard league for penal reform and prisoners advice service v the lord chancellor</x:v>
      </x:c>
      <x:c r="J181" s="15" t="str">
        <x:v>The Howard League for Penal Reform and Prisoners' Advice Service v The Lord Chancellor</x:v>
      </x:c>
      <x:c r="K181" s="15" t="str">
        <x:v>N/A</x:v>
      </x:c>
      <x:c r="L181" s="15" t="str">
        <x:v>d60a5323-796e-4110-a6de-012ec16860c1</x:v>
      </x:c>
      <x:c r="M181" s="15" t="str"/>
      <x:c r="N181" s="15" t="str">
        <x:v>issuesForDetermination.issueMatrix[1].sourceCases[0]</x:v>
      </x:c>
      <x:c r="O181" s="15" t="str">
        <x:v>structured_json</x:v>
      </x:c>
      <x:c r="P181" s="15" t="str"/>
      <x:c r="Q181" s="15" t="str">
        <x:v>same_proposition</x:v>
      </x:c>
      <x:c r="R181" s="15" t="str">
        <x:v>Highlights the necessity for justified educational access versus security concerns, relevant for weighing the case.</x:v>
      </x:c>
      <x:c r="S181" s="15" t="str"/>
    </x:row>
    <x:row r="182">
      <x:c r="A182" s="1" t="str">
        <x:v>O0181</x:v>
      </x:c>
      <x:c r="B182" s="1" t="str">
        <x:v>cmmcal70d000h04k3e11w997v</x:v>
      </x:c>
      <x:c r="C182" s="1" t="str">
        <x:v>cmmcafz4s000204k31uew4nq3</x:v>
      </x:c>
      <x:c r="D182" s="1" t="str">
        <x:v>ew-cases-EWCA-Civ-2024-1110</x:v>
      </x:c>
      <x:c r="E182" s="1" t="str">
        <x:v>synthetic</x:v>
      </x:c>
      <x:c r="F182" s="15" t="str">
        <x:v>UnipolSai Assicurazioni S.p.A. v Covéa Insurance Plc</x:v>
      </x:c>
      <x:c r="G182" s="16" t="n">
        <x:v>46085.71528512731</x:v>
      </x:c>
      <x:c r="H182" s="15" t="str">
        <x:v>case</x:v>
      </x:c>
      <x:c r="I182" s="15" t="str">
        <x:v>case:2002 ewca civ 605</x:v>
      </x:c>
      <x:c r="J182" s="15" t="str">
        <x:v>[2002] EWCA Civ 605</x:v>
      </x:c>
      <x:c r="K182" s="15" t="str">
        <x:v>[2002] EWCA Civ 605</x:v>
      </x:c>
      <x:c r="L182" s="15" t="str"/>
      <x:c r="M182" s="15" t="str"/>
      <x:c r="N182" s="15" t="str">
        <x:v>legalFramework.precedentCitations[0]</x:v>
      </x:c>
      <x:c r="O182" s="15" t="str">
        <x:v>structured_json</x:v>
      </x:c>
      <x:c r="P182" s="15" t="str">
        <x:v>binding</x:v>
      </x:c>
      <x:c r="Q182" s="15" t="str"/>
      <x:c r="R182" s="15" t="str">
        <x:v>Adequacy of reasons must be given in judgments to ensure fairness and transparency.</x:v>
      </x:c>
      <x:c r="S182" s="15" t="str"/>
    </x:row>
    <x:row r="183">
      <x:c r="A183" s="1" t="str">
        <x:v>O0182</x:v>
      </x:c>
      <x:c r="B183" s="1" t="str">
        <x:v>cmmcal70d000h04k3e11w997v</x:v>
      </x:c>
      <x:c r="C183" s="1" t="str">
        <x:v>cmmcafz4s000204k31uew4nq3</x:v>
      </x:c>
      <x:c r="D183" s="1" t="str">
        <x:v>ew-cases-EWCA-Civ-2024-1110</x:v>
      </x:c>
      <x:c r="E183" s="1" t="str">
        <x:v>synthetic</x:v>
      </x:c>
      <x:c r="F183" s="15" t="str">
        <x:v>UnipolSai Assicurazioni S.p.A. v Covéa Insurance Plc</x:v>
      </x:c>
      <x:c r="G183" s="16" t="n">
        <x:v>46085.71528512731</x:v>
      </x:c>
      <x:c r="H183" s="15" t="str">
        <x:v>other</x:v>
      </x:c>
      <x:c r="I183" s="15" t="str">
        <x:v>other:2000 1 wlr 377</x:v>
      </x:c>
      <x:c r="J183" s="15" t="str">
        <x:v>[2000] 1 WLR 377</x:v>
      </x:c>
      <x:c r="K183" s="15" t="str">
        <x:v>[2000] 1 WLR 377</x:v>
      </x:c>
      <x:c r="L183" s="15" t="str"/>
      <x:c r="M183" s="15" t="str"/>
      <x:c r="N183" s="15" t="str">
        <x:v>legalFramework.precedentCitations[1]</x:v>
      </x:c>
      <x:c r="O183" s="15" t="str">
        <x:v>structured_json</x:v>
      </x:c>
      <x:c r="P183" s="15" t="str">
        <x:v>binding</x:v>
      </x:c>
      <x:c r="Q183" s="15" t="str"/>
      <x:c r="R183" s="15" t="str">
        <x:v>Parties to an agreement must understand the relevant legal concepts and their implications in the context of claims.</x:v>
      </x:c>
      <x:c r="S183" s="15" t="str"/>
    </x:row>
    <x:row r="184">
      <x:c r="A184" s="1" t="str">
        <x:v>O0183</x:v>
      </x:c>
      <x:c r="B184" s="1" t="str">
        <x:v>cmmcal70d000h04k3e11w997v</x:v>
      </x:c>
      <x:c r="C184" s="1" t="str">
        <x:v>cmmcafz4s000204k31uew4nq3</x:v>
      </x:c>
      <x:c r="D184" s="1" t="str">
        <x:v>ew-cases-EWCA-Civ-2024-1110</x:v>
      </x:c>
      <x:c r="E184" s="1" t="str">
        <x:v>synthetic</x:v>
      </x:c>
      <x:c r="F184" s="15" t="str">
        <x:v>UnipolSai Assicurazioni S.p.A. v Covéa Insurance Plc</x:v>
      </x:c>
      <x:c r="G184" s="16" t="n">
        <x:v>46085.71528512731</x:v>
      </x:c>
      <x:c r="H184" s="15" t="str">
        <x:v>legislation</x:v>
      </x:c>
      <x:c r="I184" s="15" t="str">
        <x:v>legislation:arbitration act 1996 s 69</x:v>
      </x:c>
      <x:c r="J184" s="15" t="str">
        <x:v>Arbitration Act 1996</x:v>
      </x:c>
      <x:c r="K184" s="15" t="str">
        <x:v>Arbitration Act 1996 s.69</x:v>
      </x:c>
      <x:c r="L184" s="15" t="str"/>
      <x:c r="M184" s="15" t="str">
        <x:v>s.69</x:v>
      </x:c>
      <x:c r="N184" s="15" t="str">
        <x:v>legalFramework.statutoryProvisions[0]</x:v>
      </x:c>
      <x:c r="O184" s="15" t="str">
        <x:v>structured_json</x:v>
      </x:c>
      <x:c r="P184" s="15" t="str"/>
      <x:c r="Q184" s="15" t="str"/>
      <x:c r="R184" s="15" t="str">
        <x:v>Applicable in determining the appellate standards under which previous judgments may be overturned.</x:v>
      </x:c>
      <x:c r="S184" s="15" t="str"/>
    </x:row>
    <x:row r="185">
      <x:c r="A185" s="1" t="str">
        <x:v>O0184</x:v>
      </x:c>
      <x:c r="B185" s="1" t="str">
        <x:v>cmmcal70d000h04k3e11w997v</x:v>
      </x:c>
      <x:c r="C185" s="1" t="str">
        <x:v>cmmcafz4s000204k31uew4nq3</x:v>
      </x:c>
      <x:c r="D185" s="1" t="str">
        <x:v>ew-cases-EWCA-Civ-2024-1110</x:v>
      </x:c>
      <x:c r="E185" s="1" t="str">
        <x:v>synthetic</x:v>
      </x:c>
      <x:c r="F185" s="15" t="str">
        <x:v>UnipolSai Assicurazioni S.p.A. v Covéa Insurance Plc</x:v>
      </x:c>
      <x:c r="G185" s="16" t="n">
        <x:v>46085.71528512731</x:v>
      </x:c>
      <x:c r="H185" s="15" t="str">
        <x:v>legislation</x:v>
      </x:c>
      <x:c r="I185" s="15" t="str">
        <x:v>legislation:senior courts act 1981 s 35a</x:v>
      </x:c>
      <x:c r="J185" s="15" t="str">
        <x:v>Senior Courts Act 1981</x:v>
      </x:c>
      <x:c r="K185" s="15" t="str">
        <x:v>Senior Courts Act 1981 s.35A</x:v>
      </x:c>
      <x:c r="L185" s="15" t="str"/>
      <x:c r="M185" s="15" t="str">
        <x:v>s.35A</x:v>
      </x:c>
      <x:c r="N185" s="15" t="str">
        <x:v>legalFramework.statutoryProvisions[1]</x:v>
      </x:c>
      <x:c r="O185" s="15" t="str">
        <x:v>structured_json</x:v>
      </x:c>
      <x:c r="P185" s="15" t="str"/>
      <x:c r="Q185" s="15" t="str"/>
      <x:c r="R185" s="15" t="str">
        <x:v>Provides guiding principles on the awarding of interest on debts and damages.</x:v>
      </x:c>
      <x:c r="S185" s="15" t="str"/>
    </x:row>
    <x:row r="186">
      <x:c r="A186" s="1" t="str">
        <x:v>O0185</x:v>
      </x:c>
      <x:c r="B186" s="1" t="str">
        <x:v>cmmcal70d000h04k3e11w997v</x:v>
      </x:c>
      <x:c r="C186" s="1" t="str">
        <x:v>cmmcafz4s000204k31uew4nq3</x:v>
      </x:c>
      <x:c r="D186" s="1" t="str">
        <x:v>ew-cases-EWCA-Civ-2024-1110</x:v>
      </x:c>
      <x:c r="E186" s="1" t="str">
        <x:v>synthetic</x:v>
      </x:c>
      <x:c r="F186" s="15" t="str">
        <x:v>UnipolSai Assicurazioni S.p.A. v Covéa Insurance Plc</x:v>
      </x:c>
      <x:c r="G186" s="16" t="n">
        <x:v>46085.71528512731</x:v>
      </x:c>
      <x:c r="H186" s="15" t="str">
        <x:v>legislation</x:v>
      </x:c>
      <x:c r="I186" s="15" t="str">
        <x:v>legislation:senior courts act 1981 s 35a</x:v>
      </x:c>
      <x:c r="J186" s="15" t="str">
        <x:v>Senior Courts Act 1981, s.35A</x:v>
      </x:c>
      <x:c r="K186" s="15" t="str">
        <x:v>Senior Courts Act 1981, s.35A</x:v>
      </x:c>
      <x:c r="L186" s="15" t="str"/>
      <x:c r="M186" s="15" t="str"/>
      <x:c r="N186" s="15" t="str">
        <x:v>decisionAndDisposition.interest.statutoryBasis</x:v>
      </x:c>
      <x:c r="O186" s="15" t="str">
        <x:v>structured_json</x:v>
      </x:c>
      <x:c r="P186" s="15" t="str"/>
      <x:c r="Q186" s="15" t="str"/>
      <x:c r="R186" s="15" t="str"/>
      <x:c r="S186" s="15" t="str"/>
    </x:row>
    <x:row r="187">
      <x:c r="A187" s="1" t="str">
        <x:v>O0186</x:v>
      </x:c>
      <x:c r="B187" s="1" t="str">
        <x:v>cmmcal70d000h04k3e11w997v</x:v>
      </x:c>
      <x:c r="C187" s="1" t="str">
        <x:v>cmmcafz4s000204k31uew4nq3</x:v>
      </x:c>
      <x:c r="D187" s="1" t="str">
        <x:v>ew-cases-EWCA-Civ-2024-1110</x:v>
      </x:c>
      <x:c r="E187" s="1" t="str">
        <x:v>synthetic</x:v>
      </x:c>
      <x:c r="F187" s="15" t="str">
        <x:v>UnipolSai Assicurazioni S.p.A. v Covéa Insurance Plc</x:v>
      </x:c>
      <x:c r="G187" s="16" t="n">
        <x:v>46085.71528512731</x:v>
      </x:c>
      <x:c r="H187" s="15" t="str">
        <x:v>case</x:v>
      </x:c>
      <x:c r="I187" s="15" t="str">
        <x:v>case:2021 uksc 1</x:v>
      </x:c>
      <x:c r="J187" s="15" t="str">
        <x:v>FCA v Arch Insurance (UK) Ltd [2021] UKSC 1</x:v>
      </x:c>
      <x:c r="K187" s="15" t="str">
        <x:v>FCA v Arch Insurance (UK) Ltd [2021] UKSC 1</x:v>
      </x:c>
      <x:c r="L187" s="15" t="str"/>
      <x:c r="M187" s="15" t="str"/>
      <x:c r="N187" s="15" t="str">
        <x:v>legalFramework.legalTestSummaries[0].sourceAuthority</x:v>
      </x:c>
      <x:c r="O187" s="15" t="str">
        <x:v>structured_json</x:v>
      </x:c>
      <x:c r="P187" s="15" t="str"/>
      <x:c r="Q187" s="15" t="str"/>
      <x:c r="R187" s="15" t="str"/>
      <x:c r="S187" s="15" t="str"/>
    </x:row>
    <x:row r="188">
      <x:c r="A188" s="1" t="str">
        <x:v>O0187</x:v>
      </x:c>
      <x:c r="B188" s="1" t="str">
        <x:v>cmmcal70d000h04k3e11w997v</x:v>
      </x:c>
      <x:c r="C188" s="1" t="str">
        <x:v>cmmcafz4s000204k31uew4nq3</x:v>
      </x:c>
      <x:c r="D188" s="1" t="str">
        <x:v>ew-cases-EWCA-Civ-2024-1110</x:v>
      </x:c>
      <x:c r="E188" s="1" t="str">
        <x:v>synthetic</x:v>
      </x:c>
      <x:c r="F188" s="15" t="str">
        <x:v>UnipolSai Assicurazioni S.p.A. v Covéa Insurance Plc</x:v>
      </x:c>
      <x:c r="G188" s="16" t="n">
        <x:v>46085.71528512731</x:v>
      </x:c>
      <x:c r="H188" s="15" t="str">
        <x:v>case</x:v>
      </x:c>
      <x:c r="I188" s="15" t="str">
        <x:v>case:2022 ewca civ 15</x:v>
      </x:c>
      <x:c r="J188" s="15" t="str">
        <x:v>Aviva Insurance Limited and Swiss Reinsurance Company Limited v Secretary of State for Work and Pensions [2022] EWCA Civ 15</x:v>
      </x:c>
      <x:c r="K188" s="15" t="str">
        <x:v>Aviva Insurance Limited and Swiss Reinsurance Company Limited v Secretary of State for Work and Pensions [2022] EWCA Civ 15</x:v>
      </x:c>
      <x:c r="L188" s="15" t="str"/>
      <x:c r="M188" s="15" t="str"/>
      <x:c r="N188" s="15" t="str">
        <x:v>legalFramework.legalTestSummaries[1].sourceAuthority</x:v>
      </x:c>
      <x:c r="O188" s="15" t="str">
        <x:v>structured_json</x:v>
      </x:c>
      <x:c r="P188" s="15" t="str"/>
      <x:c r="Q188" s="15" t="str"/>
      <x:c r="R188" s="15" t="str"/>
      <x:c r="S188" s="15" t="str"/>
    </x:row>
    <x:row r="189">
      <x:c r="A189" s="1" t="str">
        <x:v>O0188</x:v>
      </x:c>
      <x:c r="B189" s="1" t="str">
        <x:v>cmmcal70d000h04k3e11w997v</x:v>
      </x:c>
      <x:c r="C189" s="1" t="str">
        <x:v>cmmcafz4s000204k31uew4nq3</x:v>
      </x:c>
      <x:c r="D189" s="1" t="str">
        <x:v>ew-cases-EWCA-Civ-2024-1110</x:v>
      </x:c>
      <x:c r="E189" s="1" t="str">
        <x:v>synthetic</x:v>
      </x:c>
      <x:c r="F189" s="15" t="str">
        <x:v>UnipolSai Assicurazioni S.p.A. v Covéa Insurance Plc</x:v>
      </x:c>
      <x:c r="G189" s="16" t="n">
        <x:v>46085.71528512731</x:v>
      </x:c>
      <x:c r="H189" s="15" t="str">
        <x:v>case</x:v>
      </x:c>
      <x:c r="I189" s="15" t="str">
        <x:v>case:soteria insurance ltd v ibm united kingdom ltd</x:v>
      </x:c>
      <x:c r="J189" s="15" t="str">
        <x:v>Soteria Insurance Ltd v IBM United Kingdom Ltd</x:v>
      </x:c>
      <x:c r="K189" s="15" t="str">
        <x:v>N/A</x:v>
      </x:c>
      <x:c r="L189" s="15" t="str">
        <x:v>81d53202-31ed-492b-a22e-15e4f280610b</x:v>
      </x:c>
      <x:c r="M189" s="15" t="str"/>
      <x:c r="N189" s="15" t="str">
        <x:v>factualFindings.contestedFacts[0].sourceCases[0]</x:v>
      </x:c>
      <x:c r="O189" s="15" t="str">
        <x:v>structured_json</x:v>
      </x:c>
      <x:c r="P189" s="15" t="str"/>
      <x:c r="Q189" s="15" t="str">
        <x:v>applied_differently</x:v>
      </x:c>
      <x:c r="R189" s="15" t="str">
        <x:v>Involving definitions of exclusions that relate to understanding catastrophe within reinsurance.</x:v>
      </x:c>
      <x:c r="S189" s="15" t="str"/>
    </x:row>
    <x:row r="190">
      <x:c r="A190" s="1" t="str">
        <x:v>O0189</x:v>
      </x:c>
      <x:c r="B190" s="1" t="str">
        <x:v>cmmcal70d000h04k3e11w997v</x:v>
      </x:c>
      <x:c r="C190" s="1" t="str">
        <x:v>cmmcafz4s000204k31uew4nq3</x:v>
      </x:c>
      <x:c r="D190" s="1" t="str">
        <x:v>ew-cases-EWCA-Civ-2024-1110</x:v>
      </x:c>
      <x:c r="E190" s="1" t="str">
        <x:v>synthetic</x:v>
      </x:c>
      <x:c r="F190" s="15" t="str">
        <x:v>UnipolSai Assicurazioni S.p.A. v Covéa Insurance Plc</x:v>
      </x:c>
      <x:c r="G190" s="16" t="n">
        <x:v>46085.71528512731</x:v>
      </x:c>
      <x:c r="H190" s="15" t="str">
        <x:v>case</x:v>
      </x:c>
      <x:c r="I190" s="15" t="str">
        <x:v>case:2022 ewca civ 15</x:v>
      </x:c>
      <x:c r="J190" s="15" t="str">
        <x:v>Aviva Insurance Limited and Swiss Reinsurance Company Limited v Secretary of State for Work and Pensions</x:v>
      </x:c>
      <x:c r="K190" s="15" t="str">
        <x:v>[2022] EWCA Civ 15</x:v>
      </x:c>
      <x:c r="L190" s="15" t="str">
        <x:v>8bf594df-88d1-4791-89f3-b2699310ed7a</x:v>
      </x:c>
      <x:c r="M190" s="15" t="str"/>
      <x:c r="N190" s="15" t="str">
        <x:v>factualFindings.contestedFacts[1].sourceCases[0]</x:v>
      </x:c>
      <x:c r="O190" s="15" t="str">
        <x:v>structured_json</x:v>
      </x:c>
      <x:c r="P190" s="15" t="str"/>
      <x:c r="Q190" s="15" t="str">
        <x:v>applied_differently</x:v>
      </x:c>
      <x:c r="R190" s="15" t="str">
        <x:v>Examined extended periods of liability under similar non-damage business interruption contexts.</x:v>
      </x:c>
      <x:c r="S190" s="15" t="str"/>
    </x:row>
    <x:row r="191">
      <x:c r="A191" s="1" t="str">
        <x:v>O0190</x:v>
      </x:c>
      <x:c r="B191" s="1" t="str">
        <x:v>cmmcal70d000h04k3e11w997v</x:v>
      </x:c>
      <x:c r="C191" s="1" t="str">
        <x:v>cmmcafz4s000204k31uew4nq3</x:v>
      </x:c>
      <x:c r="D191" s="1" t="str">
        <x:v>ew-cases-EWCA-Civ-2024-1110</x:v>
      </x:c>
      <x:c r="E191" s="1" t="str">
        <x:v>synthetic</x:v>
      </x:c>
      <x:c r="F191" s="15" t="str">
        <x:v>UnipolSai Assicurazioni S.p.A. v Covéa Insurance Plc</x:v>
      </x:c>
      <x:c r="G191" s="16" t="n">
        <x:v>46085.71528512731</x:v>
      </x:c>
      <x:c r="H191" s="15" t="str">
        <x:v>case</x:v>
      </x:c>
      <x:c r="I191" s="15" t="str">
        <x:v>case:soteria insurance ltd v ibm united kingdom ltd</x:v>
      </x:c>
      <x:c r="J191" s="15" t="str">
        <x:v>Soteria Insurance Ltd v IBM United Kingdom Ltd</x:v>
      </x:c>
      <x:c r="K191" s="15" t="str">
        <x:v>N/A</x:v>
      </x:c>
      <x:c r="L191" s="15" t="str">
        <x:v>81d53202-31ed-492b-a22e-15e4f280610b</x:v>
      </x:c>
      <x:c r="M191" s="15" t="str"/>
      <x:c r="N191" s="15" t="str">
        <x:v>reasoningStructure[0].sourceCases[0]</x:v>
      </x:c>
      <x:c r="O191" s="15" t="str">
        <x:v>structured_json</x:v>
      </x:c>
      <x:c r="P191" s="15" t="str"/>
      <x:c r="Q191" s="15" t="str">
        <x:v>distinguished</x:v>
      </x:c>
      <x:c r="R191" s="15" t="str">
        <x:v>Highlighting evolving definitions in insurance contexts.</x:v>
      </x:c>
      <x:c r="S191" s="15" t="str"/>
    </x:row>
    <x:row r="192">
      <x:c r="A192" s="1" t="str">
        <x:v>O0191</x:v>
      </x:c>
      <x:c r="B192" s="1" t="str">
        <x:v>cmmcal70d000h04k3e11w997v</x:v>
      </x:c>
      <x:c r="C192" s="1" t="str">
        <x:v>cmmcafz4s000204k31uew4nq3</x:v>
      </x:c>
      <x:c r="D192" s="1" t="str">
        <x:v>ew-cases-EWCA-Civ-2024-1110</x:v>
      </x:c>
      <x:c r="E192" s="1" t="str">
        <x:v>synthetic</x:v>
      </x:c>
      <x:c r="F192" s="15" t="str">
        <x:v>UnipolSai Assicurazioni S.p.A. v Covéa Insurance Plc</x:v>
      </x:c>
      <x:c r="G192" s="16" t="n">
        <x:v>46085.71528512731</x:v>
      </x:c>
      <x:c r="H192" s="15" t="str">
        <x:v>case</x:v>
      </x:c>
      <x:c r="I192" s="15" t="str">
        <x:v>case:2022 ewca civ 15</x:v>
      </x:c>
      <x:c r="J192" s="15" t="str">
        <x:v>Aviva Insurance Limited and Swiss Reinsurance Company Limited v Secretary of State for Work and Pensions</x:v>
      </x:c>
      <x:c r="K192" s="15" t="str">
        <x:v>[2022] EWCA Civ 15</x:v>
      </x:c>
      <x:c r="L192" s="15" t="str">
        <x:v>8bf594df-88d1-4791-89f3-b2699310ed7a</x:v>
      </x:c>
      <x:c r="M192" s="15" t="str"/>
      <x:c r="N192" s="15" t="str">
        <x:v>reasoningStructure[1].sourceCases[0]</x:v>
      </x:c>
      <x:c r="O192" s="15" t="str">
        <x:v>structured_json</x:v>
      </x:c>
      <x:c r="P192" s="15" t="str"/>
      <x:c r="Q192" s="15" t="str">
        <x:v>distinguished</x:v>
      </x:c>
      <x:c r="R192" s="15" t="str">
        <x:v>Relevant interpretation regarding prolonged coverage during business interruptions.</x:v>
      </x:c>
      <x:c r="S192" s="15" t="str"/>
    </x:row>
    <x:row r="193">
      <x:c r="A193" s="1" t="str">
        <x:v>O0192</x:v>
      </x:c>
      <x:c r="B193" s="1" t="str">
        <x:v>cmmcal70d000h04k3e11w997v</x:v>
      </x:c>
      <x:c r="C193" s="1" t="str">
        <x:v>cmmcafz4s000204k31uew4nq3</x:v>
      </x:c>
      <x:c r="D193" s="1" t="str">
        <x:v>ew-cases-EWCA-Civ-2024-1110</x:v>
      </x:c>
      <x:c r="E193" s="1" t="str">
        <x:v>synthetic</x:v>
      </x:c>
      <x:c r="F193" s="15" t="str">
        <x:v>UnipolSai Assicurazioni S.p.A. v Covéa Insurance Plc</x:v>
      </x:c>
      <x:c r="G193" s="16" t="n">
        <x:v>46085.71528512731</x:v>
      </x:c>
      <x:c r="H193" s="15" t="str">
        <x:v>case</x:v>
      </x:c>
      <x:c r="I193" s="15" t="str">
        <x:v>case:soteria insurance ltd v ibm united kingdom ltd</x:v>
      </x:c>
      <x:c r="J193" s="15" t="str">
        <x:v>Soteria Insurance Ltd v IBM United Kingdom Ltd</x:v>
      </x:c>
      <x:c r="K193" s="15" t="str">
        <x:v>N/A</x:v>
      </x:c>
      <x:c r="L193" s="15" t="str">
        <x:v>81d53202-31ed-492b-a22e-15e4f280610b</x:v>
      </x:c>
      <x:c r="M193" s="15" t="str"/>
      <x:c r="N193" s="15" t="str">
        <x:v>issuesForDetermination.issueMatrix[0].sourceCases[0]</x:v>
      </x:c>
      <x:c r="O193" s="15" t="str">
        <x:v>structured_json</x:v>
      </x:c>
      <x:c r="P193" s="15" t="str"/>
      <x:c r="Q193" s="15" t="str">
        <x:v>distinguished</x:v>
      </x:c>
      <x:c r="R193" s="15" t="str">
        <x:v>Similar issue regarding the definition of catastrophe within insurance frameworks.</x:v>
      </x:c>
      <x:c r="S193" s="15" t="str"/>
    </x:row>
    <x:row r="194">
      <x:c r="A194" s="1" t="str">
        <x:v>O0193</x:v>
      </x:c>
      <x:c r="B194" s="1" t="str">
        <x:v>cmmcal70d000h04k3e11w997v</x:v>
      </x:c>
      <x:c r="C194" s="1" t="str">
        <x:v>cmmcafz4s000204k31uew4nq3</x:v>
      </x:c>
      <x:c r="D194" s="1" t="str">
        <x:v>ew-cases-EWCA-Civ-2024-1110</x:v>
      </x:c>
      <x:c r="E194" s="1" t="str">
        <x:v>synthetic</x:v>
      </x:c>
      <x:c r="F194" s="15" t="str">
        <x:v>UnipolSai Assicurazioni S.p.A. v Covéa Insurance Plc</x:v>
      </x:c>
      <x:c r="G194" s="16" t="n">
        <x:v>46085.71528512731</x:v>
      </x:c>
      <x:c r="H194" s="15" t="str">
        <x:v>case</x:v>
      </x:c>
      <x:c r="I194" s="15" t="str">
        <x:v>case:2022 ewca civ 15</x:v>
      </x:c>
      <x:c r="J194" s="15" t="str">
        <x:v>Aviva Insurance Limited and Swiss Reinsurance Company Limited v Secretary of State for Work and Pensions</x:v>
      </x:c>
      <x:c r="K194" s="15" t="str">
        <x:v>[2022] EWCA Civ 15</x:v>
      </x:c>
      <x:c r="L194" s="15" t="str">
        <x:v>8bf594df-88d1-4791-89f3-b2699310ed7a</x:v>
      </x:c>
      <x:c r="M194" s="15" t="str"/>
      <x:c r="N194" s="15" t="str">
        <x:v>issuesForDetermination.issueMatrix[1].sourceCases[0]</x:v>
      </x:c>
      <x:c r="O194" s="15" t="str">
        <x:v>structured_json</x:v>
      </x:c>
      <x:c r="P194" s="15" t="str"/>
      <x:c r="Q194" s="15" t="str">
        <x:v>distinguished</x:v>
      </x:c>
      <x:c r="R194" s="15" t="str">
        <x:v>Concerned policy interpretations similar to business interruption clauses affected by a pandemic.</x:v>
      </x:c>
      <x:c r="S194" s="15" t="str"/>
    </x:row>
    <x:row r="195">
      <x:c r="A195" s="1" t="str">
        <x:v>O0194</x:v>
      </x:c>
      <x:c r="B195" s="1" t="str">
        <x:v>cmmdjqxh3000304kvs37yorn3</x:v>
      </x:c>
      <x:c r="C195" s="1" t="str">
        <x:v>cmmdjkfi7000204jsunevvuvv</x:v>
      </x:c>
      <x:c r="D195" s="1" t="str">
        <x:v>skeleton-args-ca2023004634-299a4a730fe1f43a</x:v>
      </x:c>
      <x:c r="E195" s="1" t="str">
        <x:v>synthetic</x:v>
      </x:c>
      <x:c r="F195" s="15" t="str">
        <x:v>Metropolitan Property Holdings Ltd v Artisan Coffee Co Ltd</x:v>
      </x:c>
      <x:c r="G195" s="16" t="n">
        <x:v>46086.59318206018</x:v>
      </x:c>
      <x:c r="H195" s="15" t="str">
        <x:v>case</x:v>
      </x:c>
      <x:c r="I195" s="15" t="str">
        <x:v>case:2002 ewca civ 605</x:v>
      </x:c>
      <x:c r="J195" s="15" t="str">
        <x:v>English v Emery Reimbold &amp; Strick Ltd [2002] EWCA Civ 605</x:v>
      </x:c>
      <x:c r="K195" s="15" t="str">
        <x:v>English v Emery Reimbold &amp; Strick Ltd [2002] EWCA Civ 605</x:v>
      </x:c>
      <x:c r="L195" s="15" t="str"/>
      <x:c r="M195" s="15" t="str"/>
      <x:c r="N195" s="15" t="str">
        <x:v>legalFramework.precedentCitations[0]</x:v>
      </x:c>
      <x:c r="O195" s="15" t="str">
        <x:v>structured_json</x:v>
      </x:c>
      <x:c r="P195" s="15" t="str">
        <x:v>binding</x:v>
      </x:c>
      <x:c r="Q195" s="15" t="str"/>
      <x:c r="R195" s="15" t="str">
        <x:v>Adequacy of reasons in judgments</x:v>
      </x:c>
      <x:c r="S195" s="15" t="str"/>
    </x:row>
    <x:row r="196">
      <x:c r="A196" s="1" t="str">
        <x:v>O0195</x:v>
      </x:c>
      <x:c r="B196" s="1" t="str">
        <x:v>cmmdjqxh3000304kvs37yorn3</x:v>
      </x:c>
      <x:c r="C196" s="1" t="str">
        <x:v>cmmdjkfi7000204jsunevvuvv</x:v>
      </x:c>
      <x:c r="D196" s="1" t="str">
        <x:v>skeleton-args-ca2023004634-299a4a730fe1f43a</x:v>
      </x:c>
      <x:c r="E196" s="1" t="str">
        <x:v>synthetic</x:v>
      </x:c>
      <x:c r="F196" s="15" t="str">
        <x:v>Metropolitan Property Holdings Ltd v Artisan Coffee Co Ltd</x:v>
      </x:c>
      <x:c r="G196" s="16" t="n">
        <x:v>46086.59318206018</x:v>
      </x:c>
      <x:c r="H196" s="15" t="str">
        <x:v>case</x:v>
      </x:c>
      <x:c r="I196" s="15" t="str">
        <x:v>case:2000 1 wlr 377</x:v>
      </x:c>
      <x:c r="J196" s="15" t="str">
        <x:v>Flannery v Halifax Estate Agencies Ltd [2000] 1 WLR 377</x:v>
      </x:c>
      <x:c r="K196" s="15" t="str">
        <x:v>Flannery v Halifax Estate Agencies Ltd [2000] 1 WLR 377</x:v>
      </x:c>
      <x:c r="L196" s="15" t="str"/>
      <x:c r="M196" s="15" t="str"/>
      <x:c r="N196" s="15" t="str">
        <x:v>legalFramework.precedentCitations[1]</x:v>
      </x:c>
      <x:c r="O196" s="15" t="str">
        <x:v>structured_json</x:v>
      </x:c>
      <x:c r="P196" s="15" t="str">
        <x:v>binding</x:v>
      </x:c>
      <x:c r="Q196" s="15" t="str"/>
      <x:c r="R196" s="15" t="str">
        <x:v>Duty to give reasons</x:v>
      </x:c>
      <x:c r="S196" s="15" t="str"/>
    </x:row>
    <x:row r="197">
      <x:c r="A197" s="1" t="str">
        <x:v>O0196</x:v>
      </x:c>
      <x:c r="B197" s="1" t="str">
        <x:v>cmmdjqxh3000304kvs37yorn3</x:v>
      </x:c>
      <x:c r="C197" s="1" t="str">
        <x:v>cmmdjkfi7000204jsunevvuvv</x:v>
      </x:c>
      <x:c r="D197" s="1" t="str">
        <x:v>skeleton-args-ca2023004634-299a4a730fe1f43a</x:v>
      </x:c>
      <x:c r="E197" s="1" t="str">
        <x:v>synthetic</x:v>
      </x:c>
      <x:c r="F197" s="15" t="str">
        <x:v>Metropolitan Property Holdings Ltd v Artisan Coffee Co Ltd</x:v>
      </x:c>
      <x:c r="G197" s="16" t="n">
        <x:v>46086.59318206018</x:v>
      </x:c>
      <x:c r="H197" s="15" t="str">
        <x:v>legislation</x:v>
      </x:c>
      <x:c r="I197" s="15" t="str">
        <x:v>legislation:landlord and tenant act 1954 part ii</x:v>
      </x:c>
      <x:c r="J197" s="15" t="str">
        <x:v>Landlord and Tenant Act 1954</x:v>
      </x:c>
      <x:c r="K197" s="15" t="str">
        <x:v>Landlord and Tenant Act 1954 Part II</x:v>
      </x:c>
      <x:c r="L197" s="15" t="str"/>
      <x:c r="M197" s="15" t="str">
        <x:v>Part II</x:v>
      </x:c>
      <x:c r="N197" s="15" t="str">
        <x:v>legalFramework.statutoryProvisions[0]</x:v>
      </x:c>
      <x:c r="O197" s="15" t="str">
        <x:v>structured_json</x:v>
      </x:c>
      <x:c r="P197" s="15" t="str"/>
      <x:c r="Q197" s="15" t="str"/>
      <x:c r="R197" s="15" t="str">
        <x:v>Provision regarding commercial leases and termination of leases based on breach.</x:v>
      </x:c>
      <x:c r="S197" s="15" t="str"/>
    </x:row>
    <x:row r="198">
      <x:c r="A198" s="1" t="str">
        <x:v>O0197</x:v>
      </x:c>
      <x:c r="B198" s="1" t="str">
        <x:v>cmmdjqxh3000304kvs37yorn3</x:v>
      </x:c>
      <x:c r="C198" s="1" t="str">
        <x:v>cmmdjkfi7000204jsunevvuvv</x:v>
      </x:c>
      <x:c r="D198" s="1" t="str">
        <x:v>skeleton-args-ca2023004634-299a4a730fe1f43a</x:v>
      </x:c>
      <x:c r="E198" s="1" t="str">
        <x:v>synthetic</x:v>
      </x:c>
      <x:c r="F198" s="15" t="str">
        <x:v>Metropolitan Property Holdings Ltd v Artisan Coffee Co Ltd</x:v>
      </x:c>
      <x:c r="G198" s="16" t="n">
        <x:v>46086.59318206018</x:v>
      </x:c>
      <x:c r="H198" s="15" t="str">
        <x:v>legislation</x:v>
      </x:c>
      <x:c r="I198" s="15" t="str">
        <x:v>legislation:law of property act 1925 s 146</x:v>
      </x:c>
      <x:c r="J198" s="15" t="str">
        <x:v>Law of Property Act 1925</x:v>
      </x:c>
      <x:c r="K198" s="15" t="str">
        <x:v>Law of Property Act 1925 Section 146</x:v>
      </x:c>
      <x:c r="L198" s="15" t="str"/>
      <x:c r="M198" s="15" t="str">
        <x:v>Section 146</x:v>
      </x:c>
      <x:c r="N198" s="15" t="str">
        <x:v>legalFramework.statutoryProvisions[1]</x:v>
      </x:c>
      <x:c r="O198" s="15" t="str">
        <x:v>structured_json</x:v>
      </x:c>
      <x:c r="P198" s="15" t="str"/>
      <x:c r="Q198" s="15" t="str"/>
      <x:c r="R198" s="15" t="str">
        <x:v>Regulates the forfeiture process for leases including commercial.</x:v>
      </x:c>
      <x:c r="S198" s="15" t="str"/>
    </x:row>
    <x:row r="199">
      <x:c r="A199" s="1" t="str">
        <x:v>O0198</x:v>
      </x:c>
      <x:c r="B199" s="1" t="str">
        <x:v>cmmdjqxh3000304kvs37yorn3</x:v>
      </x:c>
      <x:c r="C199" s="1" t="str">
        <x:v>cmmdjkfi7000204jsunevvuvv</x:v>
      </x:c>
      <x:c r="D199" s="1" t="str">
        <x:v>skeleton-args-ca2023004634-299a4a730fe1f43a</x:v>
      </x:c>
      <x:c r="E199" s="1" t="str">
        <x:v>synthetic</x:v>
      </x:c>
      <x:c r="F199" s="15" t="str">
        <x:v>Metropolitan Property Holdings Ltd v Artisan Coffee Co Ltd</x:v>
      </x:c>
      <x:c r="G199" s="16" t="n">
        <x:v>46086.59318206018</x:v>
      </x:c>
      <x:c r="H199" s="15" t="str">
        <x:v>legislation</x:v>
      </x:c>
      <x:c r="I199" s="15" t="str">
        <x:v>legislation:senior courts act 1981 s 35a</x:v>
      </x:c>
      <x:c r="J199" s="15" t="str">
        <x:v>Senior Courts Act 1981, s.35A</x:v>
      </x:c>
      <x:c r="K199" s="15" t="str">
        <x:v>Senior Courts Act 1981, s.35A</x:v>
      </x:c>
      <x:c r="L199" s="15" t="str"/>
      <x:c r="M199" s="15" t="str"/>
      <x:c r="N199" s="15" t="str">
        <x:v>decisionAndDisposition.interest.statutoryBasis</x:v>
      </x:c>
      <x:c r="O199" s="15" t="str">
        <x:v>structured_json</x:v>
      </x:c>
      <x:c r="P199" s="15" t="str"/>
      <x:c r="Q199" s="15" t="str"/>
      <x:c r="R199" s="15" t="str"/>
      <x:c r="S199" s="15" t="str"/>
    </x:row>
    <x:row r="200">
      <x:c r="A200" s="1" t="str">
        <x:v>O0199</x:v>
      </x:c>
      <x:c r="B200" s="1" t="str">
        <x:v>cmmdjqxh3000304kvs37yorn3</x:v>
      </x:c>
      <x:c r="C200" s="1" t="str">
        <x:v>cmmdjkfi7000204jsunevvuvv</x:v>
      </x:c>
      <x:c r="D200" s="1" t="str">
        <x:v>skeleton-args-ca2023004634-299a4a730fe1f43a</x:v>
      </x:c>
      <x:c r="E200" s="1" t="str">
        <x:v>synthetic</x:v>
      </x:c>
      <x:c r="F200" s="15" t="str">
        <x:v>Metropolitan Property Holdings Ltd v Artisan Coffee Co Ltd</x:v>
      </x:c>
      <x:c r="G200" s="16" t="n">
        <x:v>46086.59318206018</x:v>
      </x:c>
      <x:c r="H200" s="15" t="str">
        <x:v>case</x:v>
      </x:c>
      <x:c r="I200" s="15" t="str">
        <x:v>case:2015 ewca civ 632</x:v>
      </x:c>
      <x:c r="J200" s="15" t="str">
        <x:v>Nizami v Dezyanian</x:v>
      </x:c>
      <x:c r="K200" s="15" t="str">
        <x:v>[2015] EWCA Civ 632</x:v>
      </x:c>
      <x:c r="L200" s="15" t="str">
        <x:v>39df6304-6d5c-4744-8f1a-adcd4015ef46</x:v>
      </x:c>
      <x:c r="M200" s="15" t="str"/>
      <x:c r="N200" s="15" t="str">
        <x:v>legalFramework.statutoryProvisions[1].sourceCases[0]</x:v>
      </x:c>
      <x:c r="O200" s="15" t="str">
        <x:v>structured_json</x:v>
      </x:c>
      <x:c r="P200" s="15" t="str"/>
      <x:c r="Q200" s="15" t="str"/>
      <x:c r="R200" s="15" t="str">
        <x:v>Discussed the criteria for valid lease forfeiture and procedures.</x:v>
      </x:c>
      <x:c r="S200" s="15" t="str"/>
    </x:row>
    <x:row r="201">
      <x:c r="A201" s="1" t="str">
        <x:v>O0200</x:v>
      </x:c>
      <x:c r="B201" s="1" t="str">
        <x:v>cmmdjqxh3000304kvs37yorn3</x:v>
      </x:c>
      <x:c r="C201" s="1" t="str">
        <x:v>cmmdjkfi7000204jsunevvuvv</x:v>
      </x:c>
      <x:c r="D201" s="1" t="str">
        <x:v>skeleton-args-ca2023004634-299a4a730fe1f43a</x:v>
      </x:c>
      <x:c r="E201" s="1" t="str">
        <x:v>synthetic</x:v>
      </x:c>
      <x:c r="F201" s="15" t="str">
        <x:v>Metropolitan Property Holdings Ltd v Artisan Coffee Co Ltd</x:v>
      </x:c>
      <x:c r="G201" s="16" t="n">
        <x:v>46086.59318206018</x:v>
      </x:c>
      <x:c r="H201" s="15" t="str">
        <x:v>case</x:v>
      </x:c>
      <x:c r="I201" s="15" t="str">
        <x:v>case:2015 ewca civ 632</x:v>
      </x:c>
      <x:c r="J201" s="15" t="str">
        <x:v>Nizami v Dezyanian</x:v>
      </x:c>
      <x:c r="K201" s="15" t="str">
        <x:v>[2015] EWCA Civ 632</x:v>
      </x:c>
      <x:c r="L201" s="15" t="str">
        <x:v>39df6304-6d5c-4744-8f1a-adcd4015ef46</x:v>
      </x:c>
      <x:c r="M201" s="15" t="str"/>
      <x:c r="N201" s="15" t="str">
        <x:v>factualFindings.chronology[2].sourceCases[0]</x:v>
      </x:c>
      <x:c r="O201" s="15" t="str">
        <x:v>structured_json</x:v>
      </x:c>
      <x:c r="P201" s="15" t="str"/>
      <x:c r="Q201" s="15" t="str"/>
      <x:c r="R201" s="15" t="str">
        <x:v>Illustrates the procedural requirements for issuing a forfeiture notice.</x:v>
      </x:c>
      <x:c r="S201" s="15" t="str"/>
    </x:row>
    <x:row r="202">
      <x:c r="A202" s="1" t="str">
        <x:v>O0201</x:v>
      </x:c>
      <x:c r="B202" s="1" t="str">
        <x:v>cmmdjqxh3000304kvs37yorn3</x:v>
      </x:c>
      <x:c r="C202" s="1" t="str">
        <x:v>cmmdjkfi7000204jsunevvuvv</x:v>
      </x:c>
      <x:c r="D202" s="1" t="str">
        <x:v>skeleton-args-ca2023004634-299a4a730fe1f43a</x:v>
      </x:c>
      <x:c r="E202" s="1" t="str">
        <x:v>synthetic</x:v>
      </x:c>
      <x:c r="F202" s="15" t="str">
        <x:v>Metropolitan Property Holdings Ltd v Artisan Coffee Co Ltd</x:v>
      </x:c>
      <x:c r="G202" s="16" t="n">
        <x:v>46086.59318206018</x:v>
      </x:c>
      <x:c r="H202" s="15" t="str">
        <x:v>case</x:v>
      </x:c>
      <x:c r="I202" s="15" t="str">
        <x:v>case:2014 ewca civ 18</x:v>
      </x:c>
      <x:c r="J202" s="15" t="str">
        <x:v>Topland Portfolio No 1 Ltd v Smiths News Trading Ltd</x:v>
      </x:c>
      <x:c r="K202" s="15" t="str">
        <x:v>[2014] EWCA Civ 18</x:v>
      </x:c>
      <x:c r="L202" s="15" t="str">
        <x:v>b8f5594c-ac32-4dd3-804a-fd0c938c4401</x:v>
      </x:c>
      <x:c r="M202" s="15" t="str"/>
      <x:c r="N202" s="15" t="str">
        <x:v>factualFindings.contestedFacts[0].sourceCases[0]</x:v>
      </x:c>
      <x:c r="O202" s="15" t="str">
        <x:v>structured_json</x:v>
      </x:c>
      <x:c r="P202" s="15" t="str"/>
      <x:c r="Q202" s="15" t="str"/>
      <x:c r="R202" s="15" t="str">
        <x:v>Similar factual pattern involving unauthorized alterations leading to lease forfeiture.</x:v>
      </x:c>
      <x:c r="S202" s="15" t="str"/>
    </x:row>
    <x:row r="203">
      <x:c r="A203" s="1" t="str">
        <x:v>O0202</x:v>
      </x:c>
      <x:c r="B203" s="1" t="str">
        <x:v>cmmdjqxh3000304kvs37yorn3</x:v>
      </x:c>
      <x:c r="C203" s="1" t="str">
        <x:v>cmmdjkfi7000204jsunevvuvv</x:v>
      </x:c>
      <x:c r="D203" s="1" t="str">
        <x:v>skeleton-args-ca2023004634-299a4a730fe1f43a</x:v>
      </x:c>
      <x:c r="E203" s="1" t="str">
        <x:v>synthetic</x:v>
      </x:c>
      <x:c r="F203" s="15" t="str">
        <x:v>Metropolitan Property Holdings Ltd v Artisan Coffee Co Ltd</x:v>
      </x:c>
      <x:c r="G203" s="16" t="n">
        <x:v>46086.59318206018</x:v>
      </x:c>
      <x:c r="H203" s="15" t="str">
        <x:v>case</x:v>
      </x:c>
      <x:c r="I203" s="15" t="str">
        <x:v>case:2015 ewca civ 806</x:v>
      </x:c>
      <x:c r="J203" s="15" t="str">
        <x:v>Freifeld &amp; Anor v West Kensington Court Ltd</x:v>
      </x:c>
      <x:c r="K203" s="15" t="str">
        <x:v>[2015] EWCA Civ 806</x:v>
      </x:c>
      <x:c r="L203" s="15" t="str">
        <x:v>7fbb47eb-e7af-4898-89f6-50b1a29b5939</x:v>
      </x:c>
      <x:c r="M203" s="15" t="str"/>
      <x:c r="N203" s="15" t="str">
        <x:v>reasoningStructure[0].sourceCases[0]</x:v>
      </x:c>
      <x:c r="O203" s="15" t="str">
        <x:v>structured_json</x:v>
      </x:c>
      <x:c r="P203" s="15" t="str"/>
      <x:c r="Q203" s="15" t="str"/>
      <x:c r="R203" s="15" t="str">
        <x:v>The case supports the notion of clear grounds for forfeiture in repeated breaches.</x:v>
      </x:c>
      <x:c r="S203" s="15" t="str"/>
    </x:row>
    <x:row r="204">
      <x:c r="A204" s="1" t="str">
        <x:v>O0203</x:v>
      </x:c>
      <x:c r="B204" s="1" t="str">
        <x:v>cmmdjqxh3000304kvs37yorn3</x:v>
      </x:c>
      <x:c r="C204" s="1" t="str">
        <x:v>cmmdjkfi7000204jsunevvuvv</x:v>
      </x:c>
      <x:c r="D204" s="1" t="str">
        <x:v>skeleton-args-ca2023004634-299a4a730fe1f43a</x:v>
      </x:c>
      <x:c r="E204" s="1" t="str">
        <x:v>synthetic</x:v>
      </x:c>
      <x:c r="F204" s="15" t="str">
        <x:v>Metropolitan Property Holdings Ltd v Artisan Coffee Co Ltd</x:v>
      </x:c>
      <x:c r="G204" s="16" t="n">
        <x:v>46086.59318206018</x:v>
      </x:c>
      <x:c r="H204" s="15" t="str">
        <x:v>case</x:v>
      </x:c>
      <x:c r="I204" s="15" t="str">
        <x:v>case:2015 ewca civ 224</x:v>
      </x:c>
      <x:c r="J204" s="15" t="str">
        <x:v>Magnic Ltd v Ul-Hassan &amp; Anor</x:v>
      </x:c>
      <x:c r="K204" s="15" t="str">
        <x:v>[2015] EWCA Civ 224</x:v>
      </x:c>
      <x:c r="L204" s="15" t="str">
        <x:v>1b3f1357-0731-4894-9c17-a958eecd366a</x:v>
      </x:c>
      <x:c r="M204" s="15" t="str"/>
      <x:c r="N204" s="15" t="str">
        <x:v>reasoningStructure[1].sourceCases[0]</x:v>
      </x:c>
      <x:c r="O204" s="15" t="str">
        <x:v>structured_json</x:v>
      </x:c>
      <x:c r="P204" s="15" t="str"/>
      <x:c r="Q204" s="15" t="str"/>
      <x:c r="R204" s="15" t="str">
        <x:v>Considers the factors for granting equitable relief, particularly in cases of substantial breach.</x:v>
      </x:c>
      <x:c r="S204" s="15" t="str"/>
    </x:row>
    <x:row r="205">
      <x:c r="A205" s="1" t="str">
        <x:v>O0204</x:v>
      </x:c>
      <x:c r="B205" s="1" t="str">
        <x:v>cmmdjqxh3000304kvs37yorn3</x:v>
      </x:c>
      <x:c r="C205" s="1" t="str">
        <x:v>cmmdjkfi7000204jsunevvuvv</x:v>
      </x:c>
      <x:c r="D205" s="1" t="str">
        <x:v>skeleton-args-ca2023004634-299a4a730fe1f43a</x:v>
      </x:c>
      <x:c r="E205" s="1" t="str">
        <x:v>synthetic</x:v>
      </x:c>
      <x:c r="F205" s="15" t="str">
        <x:v>Metropolitan Property Holdings Ltd v Artisan Coffee Co Ltd</x:v>
      </x:c>
      <x:c r="G205" s="16" t="n">
        <x:v>46086.59318206018</x:v>
      </x:c>
      <x:c r="H205" s="15" t="str">
        <x:v>case</x:v>
      </x:c>
      <x:c r="I205" s="15" t="str">
        <x:v>case:2015 ewca civ 806</x:v>
      </x:c>
      <x:c r="J205" s="15" t="str">
        <x:v>Freifeld &amp; Anor v West Kensington Court Ltd</x:v>
      </x:c>
      <x:c r="K205" s="15" t="str">
        <x:v>[2015] EWCA Civ 806</x:v>
      </x:c>
      <x:c r="L205" s="15" t="str">
        <x:v>7fbb47eb-e7af-4898-89f6-50b1a29b5939</x:v>
      </x:c>
      <x:c r="M205" s="15" t="str"/>
      <x:c r="N205" s="15" t="str">
        <x:v>issuesForDetermination.issueMatrix[0].sourceCases[0]</x:v>
      </x:c>
      <x:c r="O205" s="15" t="str">
        <x:v>structured_json</x:v>
      </x:c>
      <x:c r="P205" s="15" t="str"/>
      <x:c r="Q205" s="15" t="str"/>
      <x:c r="R205" s="15" t="str">
        <x:v>Similar case that reinforces the strict application of lease covenants and enforcement of forfeiture.</x:v>
      </x:c>
      <x:c r="S205" s="15" t="str"/>
    </x:row>
    <x:row r="206">
      <x:c r="A206" s="1" t="str">
        <x:v>O0205</x:v>
      </x:c>
      <x:c r="B206" s="1" t="str">
        <x:v>cmmdjqxh3000304kvs37yorn3</x:v>
      </x:c>
      <x:c r="C206" s="1" t="str">
        <x:v>cmmdjkfi7000204jsunevvuvv</x:v>
      </x:c>
      <x:c r="D206" s="1" t="str">
        <x:v>skeleton-args-ca2023004634-299a4a730fe1f43a</x:v>
      </x:c>
      <x:c r="E206" s="1" t="str">
        <x:v>synthetic</x:v>
      </x:c>
      <x:c r="F206" s="15" t="str">
        <x:v>Metropolitan Property Holdings Ltd v Artisan Coffee Co Ltd</x:v>
      </x:c>
      <x:c r="G206" s="16" t="n">
        <x:v>46086.59318206018</x:v>
      </x:c>
      <x:c r="H206" s="15" t="str">
        <x:v>case</x:v>
      </x:c>
      <x:c r="I206" s="15" t="str">
        <x:v>case:2015 ewca civ 224</x:v>
      </x:c>
      <x:c r="J206" s="15" t="str">
        <x:v>Magnic Ltd v Ul-Hassan &amp; Anor</x:v>
      </x:c>
      <x:c r="K206" s="15" t="str">
        <x:v>[2015] EWCA Civ 224</x:v>
      </x:c>
      <x:c r="L206" s="15" t="str">
        <x:v>1b3f1357-0731-4894-9c17-a958eecd366a</x:v>
      </x:c>
      <x:c r="M206" s="15" t="str"/>
      <x:c r="N206" s="15" t="str">
        <x:v>issuesForDetermination.issueMatrix[1].sourceCases[0]</x:v>
      </x:c>
      <x:c r="O206" s="15" t="str">
        <x:v>structured_json</x:v>
      </x:c>
      <x:c r="P206" s="15" t="str"/>
      <x:c r="Q206" s="15" t="str"/>
      <x:c r="R206" s="15" t="str">
        <x:v>Covers the principles of equitable relief in the context of forfeiture.</x:v>
      </x:c>
      <x:c r="S206" s="15" t="str"/>
    </x:row>
    <x:row r="207">
      <x:c r="A207" s="1" t="str">
        <x:v>O0206</x:v>
      </x:c>
      <x:c r="B207" s="1" t="str">
        <x:v>cmmdkjytd000304jl24cdxqvp</x:v>
      </x:c>
      <x:c r="C207" s="1" t="str">
        <x:v>cmmdjkfi7000204jsunevvuvv</x:v>
      </x:c>
      <x:c r="D207" s="1" t="str">
        <x:v>skeleton-args-ca2023004634-299a4a730fe1f43a</x:v>
      </x:c>
      <x:c r="E207" s="1" t="str">
        <x:v>synthetic</x:v>
      </x:c>
      <x:c r="F207" s="15" t="str">
        <x:v>Metropolitan Property Holdings Ltd v Artisan Coffee Co Ltd</x:v>
      </x:c>
      <x:c r="G207" s="16" t="n">
        <x:v>46086.60886219907</x:v>
      </x:c>
      <x:c r="H207" s="15" t="str">
        <x:v>case</x:v>
      </x:c>
      <x:c r="I207" s="15" t="str">
        <x:v>case:2002 ewca civ 605</x:v>
      </x:c>
      <x:c r="J207" s="15" t="str">
        <x:v>English v Emery Reimbold &amp; Strick Ltd [2002] EWCA Civ 605</x:v>
      </x:c>
      <x:c r="K207" s="15" t="str">
        <x:v>English v Emery Reimbold &amp; Strick Ltd [2002] EWCA Civ 605</x:v>
      </x:c>
      <x:c r="L207" s="15" t="str"/>
      <x:c r="M207" s="15" t="str"/>
      <x:c r="N207" s="15" t="str">
        <x:v>legalFramework.precedentCitations[0]</x:v>
      </x:c>
      <x:c r="O207" s="15" t="str">
        <x:v>structured_json</x:v>
      </x:c>
      <x:c r="P207" s="15" t="str">
        <x:v>binding</x:v>
      </x:c>
      <x:c r="Q207" s="15" t="str"/>
      <x:c r="R207" s="15" t="str">
        <x:v>A decision requires a clear reasoning process showcasing why conclusions were reached.</x:v>
      </x:c>
      <x:c r="S207" s="15" t="str"/>
    </x:row>
    <x:row r="208">
      <x:c r="A208" s="1" t="str">
        <x:v>O0207</x:v>
      </x:c>
      <x:c r="B208" s="1" t="str">
        <x:v>cmmdkjytd000304jl24cdxqvp</x:v>
      </x:c>
      <x:c r="C208" s="1" t="str">
        <x:v>cmmdjkfi7000204jsunevvuvv</x:v>
      </x:c>
      <x:c r="D208" s="1" t="str">
        <x:v>skeleton-args-ca2023004634-299a4a730fe1f43a</x:v>
      </x:c>
      <x:c r="E208" s="1" t="str">
        <x:v>synthetic</x:v>
      </x:c>
      <x:c r="F208" s="15" t="str">
        <x:v>Metropolitan Property Holdings Ltd v Artisan Coffee Co Ltd</x:v>
      </x:c>
      <x:c r="G208" s="16" t="n">
        <x:v>46086.60886219907</x:v>
      </x:c>
      <x:c r="H208" s="15" t="str">
        <x:v>case</x:v>
      </x:c>
      <x:c r="I208" s="15" t="str">
        <x:v>case:2000 1 wlr 377</x:v>
      </x:c>
      <x:c r="J208" s="15" t="str">
        <x:v>Flannery v Halifax Estate Agencies Ltd [2000] 1 WLR 377</x:v>
      </x:c>
      <x:c r="K208" s="15" t="str">
        <x:v>Flannery v Halifax Estate Agencies Ltd [2000] 1 WLR 377</x:v>
      </x:c>
      <x:c r="L208" s="15" t="str"/>
      <x:c r="M208" s="15" t="str"/>
      <x:c r="N208" s="15" t="str">
        <x:v>legalFramework.precedentCitations[1]</x:v>
      </x:c>
      <x:c r="O208" s="15" t="str">
        <x:v>structured_json</x:v>
      </x:c>
      <x:c r="P208" s="15" t="str">
        <x:v>binding</x:v>
      </x:c>
      <x:c r="Q208" s="15" t="str"/>
      <x:c r="R208" s="15" t="str">
        <x:v>Parties must receive clarity on judicial reasons to understand the basis for decisions.</x:v>
      </x:c>
      <x:c r="S208" s="15" t="str"/>
    </x:row>
    <x:row r="209">
      <x:c r="A209" s="1" t="str">
        <x:v>O0208</x:v>
      </x:c>
      <x:c r="B209" s="1" t="str">
        <x:v>cmmdkjytd000304jl24cdxqvp</x:v>
      </x:c>
      <x:c r="C209" s="1" t="str">
        <x:v>cmmdjkfi7000204jsunevvuvv</x:v>
      </x:c>
      <x:c r="D209" s="1" t="str">
        <x:v>skeleton-args-ca2023004634-299a4a730fe1f43a</x:v>
      </x:c>
      <x:c r="E209" s="1" t="str">
        <x:v>synthetic</x:v>
      </x:c>
      <x:c r="F209" s="15" t="str">
        <x:v>Metropolitan Property Holdings Ltd v Artisan Coffee Co Ltd</x:v>
      </x:c>
      <x:c r="G209" s="16" t="n">
        <x:v>46086.60886219907</x:v>
      </x:c>
      <x:c r="H209" s="15" t="str">
        <x:v>legislation</x:v>
      </x:c>
      <x:c r="I209" s="15" t="str">
        <x:v>legislation:senior courts act 1981 s 35a</x:v>
      </x:c>
      <x:c r="J209" s="15" t="str">
        <x:v>Senior Courts Act 1981, s.35A</x:v>
      </x:c>
      <x:c r="K209" s="15" t="str">
        <x:v>Senior Courts Act 1981, s.35A</x:v>
      </x:c>
      <x:c r="L209" s="15" t="str"/>
      <x:c r="M209" s="15" t="str"/>
      <x:c r="N209" s="15" t="str">
        <x:v>legalFramework.precedentCitations[2]</x:v>
      </x:c>
      <x:c r="O209" s="15" t="str">
        <x:v>structured_json</x:v>
      </x:c>
      <x:c r="P209" s="15" t="str">
        <x:v>binding</x:v>
      </x:c>
      <x:c r="Q209" s="15" t="str"/>
      <x:c r="R209" s="15" t="str">
        <x:v>This section provides legal authority for interest to be applied in cases of debt recovery.</x:v>
      </x:c>
      <x:c r="S209" s="15" t="str"/>
    </x:row>
    <x:row r="210">
      <x:c r="A210" s="1" t="str">
        <x:v>O0209</x:v>
      </x:c>
      <x:c r="B210" s="1" t="str">
        <x:v>cmmdkjytd000304jl24cdxqvp</x:v>
      </x:c>
      <x:c r="C210" s="1" t="str">
        <x:v>cmmdjkfi7000204jsunevvuvv</x:v>
      </x:c>
      <x:c r="D210" s="1" t="str">
        <x:v>skeleton-args-ca2023004634-299a4a730fe1f43a</x:v>
      </x:c>
      <x:c r="E210" s="1" t="str">
        <x:v>synthetic</x:v>
      </x:c>
      <x:c r="F210" s="15" t="str">
        <x:v>Metropolitan Property Holdings Ltd v Artisan Coffee Co Ltd</x:v>
      </x:c>
      <x:c r="G210" s="16" t="n">
        <x:v>46086.60886219907</x:v>
      </x:c>
      <x:c r="H210" s="15" t="str">
        <x:v>legislation</x:v>
      </x:c>
      <x:c r="I210" s="15" t="str">
        <x:v>legislation:landlord and tenant act 1954 part ii</x:v>
      </x:c>
      <x:c r="J210" s="15" t="str">
        <x:v>Landlord and Tenant Act 1954</x:v>
      </x:c>
      <x:c r="K210" s="15" t="str">
        <x:v>Landlord and Tenant Act 1954 Part II</x:v>
      </x:c>
      <x:c r="L210" s="15" t="str"/>
      <x:c r="M210" s="15" t="str">
        <x:v>Part II</x:v>
      </x:c>
      <x:c r="N210" s="15" t="str">
        <x:v>legalFramework.statutoryProvisions[0]</x:v>
      </x:c>
      <x:c r="O210" s="15" t="str">
        <x:v>structured_json</x:v>
      </x:c>
      <x:c r="P210" s="15" t="str"/>
      <x:c r="Q210" s="15" t="str"/>
      <x:c r="R210" s="15" t="str">
        <x:v>Governs the rights and obligations in commercial leases relating to possession and forfeiture.</x:v>
      </x:c>
      <x:c r="S210" s="15" t="str"/>
    </x:row>
    <x:row r="211">
      <x:c r="A211" s="1" t="str">
        <x:v>O0210</x:v>
      </x:c>
      <x:c r="B211" s="1" t="str">
        <x:v>cmmdkjytd000304jl24cdxqvp</x:v>
      </x:c>
      <x:c r="C211" s="1" t="str">
        <x:v>cmmdjkfi7000204jsunevvuvv</x:v>
      </x:c>
      <x:c r="D211" s="1" t="str">
        <x:v>skeleton-args-ca2023004634-299a4a730fe1f43a</x:v>
      </x:c>
      <x:c r="E211" s="1" t="str">
        <x:v>synthetic</x:v>
      </x:c>
      <x:c r="F211" s="15" t="str">
        <x:v>Metropolitan Property Holdings Ltd v Artisan Coffee Co Ltd</x:v>
      </x:c>
      <x:c r="G211" s="16" t="n">
        <x:v>46086.60886219907</x:v>
      </x:c>
      <x:c r="H211" s="15" t="str">
        <x:v>legislation</x:v>
      </x:c>
      <x:c r="I211" s="15" t="str">
        <x:v>legislation:law of property act 1925 146</x:v>
      </x:c>
      <x:c r="J211" s="15" t="str">
        <x:v>Law of Property Act 1925</x:v>
      </x:c>
      <x:c r="K211" s="15" t="str">
        <x:v>Law of Property Act 1925 146</x:v>
      </x:c>
      <x:c r="L211" s="15" t="str"/>
      <x:c r="M211" s="15" t="str">
        <x:v>146</x:v>
      </x:c>
      <x:c r="N211" s="15" t="str">
        <x:v>legalFramework.statutoryProvisions[1]</x:v>
      </x:c>
      <x:c r="O211" s="15" t="str">
        <x:v>structured_json</x:v>
      </x:c>
      <x:c r="P211" s="15" t="str"/>
      <x:c r="Q211" s="15" t="str"/>
      <x:c r="R211" s="15" t="str">
        <x:v>Outlines the conditions under which a landlord can forfeit a lease due to tenant breaches.</x:v>
      </x:c>
      <x:c r="S211" s="15" t="str"/>
    </x:row>
    <x:row r="212">
      <x:c r="A212" s="1" t="str">
        <x:v>O0211</x:v>
      </x:c>
      <x:c r="B212" s="1" t="str">
        <x:v>cmmdkjytd000304jl24cdxqvp</x:v>
      </x:c>
      <x:c r="C212" s="1" t="str">
        <x:v>cmmdjkfi7000204jsunevvuvv</x:v>
      </x:c>
      <x:c r="D212" s="1" t="str">
        <x:v>skeleton-args-ca2023004634-299a4a730fe1f43a</x:v>
      </x:c>
      <x:c r="E212" s="1" t="str">
        <x:v>synthetic</x:v>
      </x:c>
      <x:c r="F212" s="15" t="str">
        <x:v>Metropolitan Property Holdings Ltd v Artisan Coffee Co Ltd</x:v>
      </x:c>
      <x:c r="G212" s="16" t="n">
        <x:v>46086.60886219907</x:v>
      </x:c>
      <x:c r="H212" s="15" t="str">
        <x:v>legislation</x:v>
      </x:c>
      <x:c r="I212" s="15" t="str">
        <x:v>legislation:senior courts act 1981 s 35a</x:v>
      </x:c>
      <x:c r="J212" s="15" t="str">
        <x:v>Senior Courts Act 1981, s.35A</x:v>
      </x:c>
      <x:c r="K212" s="15" t="str">
        <x:v>Senior Courts Act 1981, s.35A</x:v>
      </x:c>
      <x:c r="L212" s="15" t="str"/>
      <x:c r="M212" s="15" t="str"/>
      <x:c r="N212" s="15" t="str">
        <x:v>decisionAndDisposition.interest.statutoryBasis</x:v>
      </x:c>
      <x:c r="O212" s="15" t="str">
        <x:v>structured_json</x:v>
      </x:c>
      <x:c r="P212" s="15" t="str"/>
      <x:c r="Q212" s="15" t="str"/>
      <x:c r="R212" s="15" t="str"/>
      <x:c r="S212" s="15" t="str"/>
    </x:row>
    <x:row r="213">
      <x:c r="A213" s="1" t="str">
        <x:v>O0212</x:v>
      </x:c>
      <x:c r="B213" s="1" t="str">
        <x:v>cmmdkjytd000304jl24cdxqvp</x:v>
      </x:c>
      <x:c r="C213" s="1" t="str">
        <x:v>cmmdjkfi7000204jsunevvuvv</x:v>
      </x:c>
      <x:c r="D213" s="1" t="str">
        <x:v>skeleton-args-ca2023004634-299a4a730fe1f43a</x:v>
      </x:c>
      <x:c r="E213" s="1" t="str">
        <x:v>synthetic</x:v>
      </x:c>
      <x:c r="F213" s="15" t="str">
        <x:v>Metropolitan Property Holdings Ltd v Artisan Coffee Co Ltd</x:v>
      </x:c>
      <x:c r="G213" s="16" t="n">
        <x:v>46086.60886219907</x:v>
      </x:c>
      <x:c r="H213" s="15" t="str">
        <x:v>legislation</x:v>
      </x:c>
      <x:c r="I213" s="15" t="str">
        <x:v>legislation:landlord and tenant act 1954</x:v>
      </x:c>
      <x:c r="J213" s="15" t="str">
        <x:v>Landlord and Tenant Act 1954</x:v>
      </x:c>
      <x:c r="K213" s="15" t="str">
        <x:v>Landlord and Tenant Act 1954</x:v>
      </x:c>
      <x:c r="L213" s="15" t="str"/>
      <x:c r="M213" s="15" t="str"/>
      <x:c r="N213" s="15" t="str">
        <x:v>legalFramework.legalTestSummaries[0].sourceAuthority</x:v>
      </x:c>
      <x:c r="O213" s="15" t="str">
        <x:v>structured_json</x:v>
      </x:c>
      <x:c r="P213" s="15" t="str"/>
      <x:c r="Q213" s="15" t="str"/>
      <x:c r="R213" s="15" t="str"/>
      <x:c r="S213" s="15" t="str"/>
    </x:row>
    <x:row r="214">
      <x:c r="A214" s="1" t="str">
        <x:v>O0213</x:v>
      </x:c>
      <x:c r="B214" s="1" t="str">
        <x:v>cmmdkjytd000304jl24cdxqvp</x:v>
      </x:c>
      <x:c r="C214" s="1" t="str">
        <x:v>cmmdjkfi7000204jsunevvuvv</x:v>
      </x:c>
      <x:c r="D214" s="1" t="str">
        <x:v>skeleton-args-ca2023004634-299a4a730fe1f43a</x:v>
      </x:c>
      <x:c r="E214" s="1" t="str">
        <x:v>synthetic</x:v>
      </x:c>
      <x:c r="F214" s="15" t="str">
        <x:v>Metropolitan Property Holdings Ltd v Artisan Coffee Co Ltd</x:v>
      </x:c>
      <x:c r="G214" s="16" t="n">
        <x:v>46086.60886219907</x:v>
      </x:c>
      <x:c r="H214" s="15" t="str">
        <x:v>case</x:v>
      </x:c>
      <x:c r="I214" s="15" t="str">
        <x:v>case:freifeld &amp; anor v west kensington court ltd</x:v>
      </x:c>
      <x:c r="J214" s="15" t="str">
        <x:v>Freifeld &amp; Anor v West Kensington Court Ltd</x:v>
      </x:c>
      <x:c r="K214" s="15" t="str">
        <x:v>N/A</x:v>
      </x:c>
      <x:c r="L214" s="15" t="str">
        <x:v>18a014eb-e365-4420-b07a-dfdd42f053ec</x:v>
      </x:c>
      <x:c r="M214" s="15" t="str"/>
      <x:c r="N214" s="15" t="str">
        <x:v>factualFindings.contestedFacts[0].sourceCases[0]</x:v>
      </x:c>
      <x:c r="O214" s="15" t="str">
        <x:v>structured_json</x:v>
      </x:c>
      <x:c r="P214" s="15" t="str"/>
      <x:c r="Q214" s="15" t="str">
        <x:v>applied_differently</x:v>
      </x:c>
      <x:c r="R214" s="15" t="str">
        <x:v>Addresses tenant alterations without consent and its implications for lease agreements.</x:v>
      </x:c>
      <x:c r="S214" s="15" t="str"/>
    </x:row>
    <x:row r="215">
      <x:c r="A215" s="1" t="str">
        <x:v>O0214</x:v>
      </x:c>
      <x:c r="B215" s="1" t="str">
        <x:v>cmmdkjytd000304jl24cdxqvp</x:v>
      </x:c>
      <x:c r="C215" s="1" t="str">
        <x:v>cmmdjkfi7000204jsunevvuvv</x:v>
      </x:c>
      <x:c r="D215" s="1" t="str">
        <x:v>skeleton-args-ca2023004634-299a4a730fe1f43a</x:v>
      </x:c>
      <x:c r="E215" s="1" t="str">
        <x:v>synthetic</x:v>
      </x:c>
      <x:c r="F215" s="15" t="str">
        <x:v>Metropolitan Property Holdings Ltd v Artisan Coffee Co Ltd</x:v>
      </x:c>
      <x:c r="G215" s="16" t="n">
        <x:v>46086.60886219907</x:v>
      </x:c>
      <x:c r="H215" s="15" t="str">
        <x:v>case</x:v>
      </x:c>
      <x:c r="I215" s="15" t="str">
        <x:v>case:2022 ewca civ 1021</x:v>
      </x:c>
      <x:c r="J215" s="15" t="str">
        <x:v>Bank of New York Mellon (International) Limited v Cine-UK Limited</x:v>
      </x:c>
      <x:c r="K215" s="15" t="str">
        <x:v>[2022] EWCA Civ 1021</x:v>
      </x:c>
      <x:c r="L215" s="15" t="str">
        <x:v>00167e1d-845c-4a1d-b17c-1c91c10b2c37</x:v>
      </x:c>
      <x:c r="M215" s="15" t="str"/>
      <x:c r="N215" s="15" t="str">
        <x:v>issuesForDetermination.issueMatrix[0].sourceCases[0]</x:v>
      </x:c>
      <x:c r="O215" s="15" t="str">
        <x:v>structured_json</x:v>
      </x:c>
      <x:c r="P215" s="15" t="str"/>
      <x:c r="Q215" s="15" t="str">
        <x:v>same_proposition</x:v>
      </x:c>
      <x:c r="R215" s="15" t="str">
        <x:v>Discusses the threshold of tenant breaches in the context of arrears.</x:v>
      </x:c>
      <x:c r="S215" s="15" t="str"/>
    </x:row>
    <x:row r="216">
      <x:c r="A216" s="1" t="str">
        <x:v>O0215</x:v>
      </x:c>
      <x:c r="B216" s="1" t="str">
        <x:v>cmmdkjytd000304jl24cdxqvp</x:v>
      </x:c>
      <x:c r="C216" s="1" t="str">
        <x:v>cmmdjkfi7000204jsunevvuvv</x:v>
      </x:c>
      <x:c r="D216" s="1" t="str">
        <x:v>skeleton-args-ca2023004634-299a4a730fe1f43a</x:v>
      </x:c>
      <x:c r="E216" s="1" t="str">
        <x:v>synthetic</x:v>
      </x:c>
      <x:c r="F216" s="15" t="str">
        <x:v>Metropolitan Property Holdings Ltd v Artisan Coffee Co Ltd</x:v>
      </x:c>
      <x:c r="G216" s="16" t="n">
        <x:v>46086.60886219907</x:v>
      </x:c>
      <x:c r="H216" s="15" t="str">
        <x:v>case</x:v>
      </x:c>
      <x:c r="I216" s="15" t="str">
        <x:v>case:freifeld &amp; anor v west kensington court ltd</x:v>
      </x:c>
      <x:c r="J216" s="15" t="str">
        <x:v>Freifeld &amp; Anor v West Kensington Court Ltd</x:v>
      </x:c>
      <x:c r="K216" s="15" t="str">
        <x:v>N/A</x:v>
      </x:c>
      <x:c r="L216" s="15" t="str">
        <x:v>18a014eb-e365-4420-b07a-dfdd42f053ec</x:v>
      </x:c>
      <x:c r="M216" s="15" t="str"/>
      <x:c r="N216" s="15" t="str">
        <x:v>issuesForDetermination.issueMatrix[1].sourceCases[0]</x:v>
      </x:c>
      <x:c r="O216" s="15" t="str">
        <x:v>structured_json</x:v>
      </x:c>
      <x:c r="P216" s="15" t="str"/>
      <x:c r="Q216" s="15" t="str">
        <x:v>same_proposition</x:v>
      </x:c>
      <x:c r="R216" s="15" t="str">
        <x:v>Discusses implications of unauthorized alterations on leases.</x:v>
      </x:c>
      <x:c r="S216" s="15" t="str"/>
    </x:row>
    <x:row r="217">
      <x:c r="A217" s="1" t="str">
        <x:v>O0216</x:v>
      </x:c>
      <x:c r="B217" s="1" t="str">
        <x:v>cmmf22axa000h04jxcpnnecs0</x:v>
      </x:c>
      <x:c r="C217" s="1" t="str">
        <x:v>cmlzne5ed000204ju2xa40q49</x:v>
      </x:c>
      <x:c r="D217" s="1" t="str">
        <x:v>ew-cases-EWCA-Civ-2024-1</x:v>
      </x:c>
      <x:c r="E217" s="1" t="str">
        <x:v>synthetic</x:v>
      </x:c>
      <x:c r="F217" s="15" t="str">
        <x:v>HMRC v Dolphin Drilling Ltd</x:v>
      </x:c>
      <x:c r="G217" s="16" t="n">
        <x:v>46087.649083854165</x:v>
      </x:c>
      <x:c r="H217" s="15" t="str">
        <x:v>case</x:v>
      </x:c>
      <x:c r="I217" s="15" t="str">
        <x:v>case:2002 ewca civ 605</x:v>
      </x:c>
      <x:c r="J217" s="15" t="str">
        <x:v>English v Emery Reimbold &amp; Strick Ltd [2002] EWCA Civ 605</x:v>
      </x:c>
      <x:c r="K217" s="15" t="str">
        <x:v>English v Emery Reimbold &amp; Strick Ltd [2002] EWCA Civ 605</x:v>
      </x:c>
      <x:c r="L217" s="15" t="str"/>
      <x:c r="M217" s="15" t="str"/>
      <x:c r="N217" s="15" t="str">
        <x:v>legalFramework.precedentCitations[0]</x:v>
      </x:c>
      <x:c r="O217" s="15" t="str">
        <x:v>structured_json</x:v>
      </x:c>
      <x:c r="P217" s="15" t="str">
        <x:v>binding</x:v>
      </x:c>
      <x:c r="Q217" s="15" t="str"/>
      <x:c r="R217" s="15" t="str">
        <x:v>Adequacy of reasons in judgments requires clarity when determining asset relevance directly impacts tax obligations.</x:v>
      </x:c>
      <x:c r="S217" s="15" t="str"/>
    </x:row>
    <x:row r="218">
      <x:c r="A218" s="1" t="str">
        <x:v>O0217</x:v>
      </x:c>
      <x:c r="B218" s="1" t="str">
        <x:v>cmmf22axa000h04jxcpnnecs0</x:v>
      </x:c>
      <x:c r="C218" s="1" t="str">
        <x:v>cmlzne5ed000204ju2xa40q49</x:v>
      </x:c>
      <x:c r="D218" s="1" t="str">
        <x:v>ew-cases-EWCA-Civ-2024-1</x:v>
      </x:c>
      <x:c r="E218" s="1" t="str">
        <x:v>synthetic</x:v>
      </x:c>
      <x:c r="F218" s="15" t="str">
        <x:v>HMRC v Dolphin Drilling Ltd</x:v>
      </x:c>
      <x:c r="G218" s="16" t="n">
        <x:v>46087.649083854165</x:v>
      </x:c>
      <x:c r="H218" s="15" t="str">
        <x:v>legislation</x:v>
      </x:c>
      <x:c r="I218" s="15" t="str">
        <x:v>legislation:corporation tax act 2010 part 8za</x:v>
      </x:c>
      <x:c r="J218" s="15" t="str">
        <x:v>Corporation Tax Act 2010</x:v>
      </x:c>
      <x:c r="K218" s="15" t="str">
        <x:v>Corporation Tax Act 2010 Part 8ZA</x:v>
      </x:c>
      <x:c r="L218" s="15" t="str"/>
      <x:c r="M218" s="15" t="str">
        <x:v>Part 8ZA</x:v>
      </x:c>
      <x:c r="N218" s="15" t="str">
        <x:v>legalFramework.statutoryProvisions[0]</x:v>
      </x:c>
      <x:c r="O218" s="15" t="str">
        <x:v>structured_json</x:v>
      </x:c>
      <x:c r="P218" s="15" t="str"/>
      <x:c r="Q218" s="15" t="str"/>
      <x:c r="R218" s="15" t="str">
        <x:v>Sets forth definitions concerning asset qualifications for tax considerations.</x:v>
      </x:c>
      <x:c r="S218" s="15" t="str"/>
    </x:row>
    <x:row r="219">
      <x:c r="A219" s="1" t="str">
        <x:v>O0218</x:v>
      </x:c>
      <x:c r="B219" s="1" t="str">
        <x:v>cmmf22axa000h04jxcpnnecs0</x:v>
      </x:c>
      <x:c r="C219" s="1" t="str">
        <x:v>cmlzne5ed000204ju2xa40q49</x:v>
      </x:c>
      <x:c r="D219" s="1" t="str">
        <x:v>ew-cases-EWCA-Civ-2024-1</x:v>
      </x:c>
      <x:c r="E219" s="1" t="str">
        <x:v>synthetic</x:v>
      </x:c>
      <x:c r="F219" s="15" t="str">
        <x:v>HMRC v Dolphin Drilling Ltd</x:v>
      </x:c>
      <x:c r="G219" s="16" t="n">
        <x:v>46087.649083854165</x:v>
      </x:c>
      <x:c r="H219" s="15" t="str">
        <x:v>case</x:v>
      </x:c>
      <x:c r="I219" s="15" t="str">
        <x:v>case:2022 ewca civ 305</x:v>
      </x:c>
      <x:c r="J219" s="15" t="str">
        <x:v>Cheshire Cavity Storage 1 Limited v HM Revenue &amp; Customs</x:v>
      </x:c>
      <x:c r="K219" s="15" t="str">
        <x:v>[2022] EWCA Civ 305</x:v>
      </x:c>
      <x:c r="L219" s="15" t="str">
        <x:v>321f1eb3-a7ee-452d-a5d1-e08732d9ac84</x:v>
      </x:c>
      <x:c r="M219" s="15" t="str"/>
      <x:c r="N219" s="15" t="str">
        <x:v>factualFindings.contestedFacts[0].sourceCases[0]</x:v>
      </x:c>
      <x:c r="O219" s="15" t="str">
        <x:v>structured_json</x:v>
      </x:c>
      <x:c r="P219" s="15" t="str"/>
      <x:c r="Q219" s="15" t="str">
        <x:v>applied_differently</x:v>
      </x:c>
      <x:c r="R219" s="15" t="str">
        <x:v>Involved asset classification and the significance of ancillary uses in determining tax qualifications.</x:v>
      </x:c>
      <x:c r="S219" s="15" t="str"/>
    </x:row>
    <x:row r="220">
      <x:c r="A220" s="1" t="str">
        <x:v>O0219</x:v>
      </x:c>
      <x:c r="B220" s="1" t="str">
        <x:v>cmmf22axa000h04jxcpnnecs0</x:v>
      </x:c>
      <x:c r="C220" s="1" t="str">
        <x:v>cmlzne5ed000204ju2xa40q49</x:v>
      </x:c>
      <x:c r="D220" s="1" t="str">
        <x:v>ew-cases-EWCA-Civ-2024-1</x:v>
      </x:c>
      <x:c r="E220" s="1" t="str">
        <x:v>synthetic</x:v>
      </x:c>
      <x:c r="F220" s="15" t="str">
        <x:v>HMRC v Dolphin Drilling Ltd</x:v>
      </x:c>
      <x:c r="G220" s="16" t="n">
        <x:v>46087.649083854165</x:v>
      </x:c>
      <x:c r="H220" s="15" t="str">
        <x:v>case</x:v>
      </x:c>
      <x:c r="I220" s="15" t="str">
        <x:v>case:2016 ewca civ 782</x:v>
      </x:c>
      <x:c r="J220" s="15" t="str">
        <x:v>Greene King plc &amp; Anor v Revenue and Customs</x:v>
      </x:c>
      <x:c r="K220" s="15" t="str">
        <x:v>[2016] EWCA Civ 782</x:v>
      </x:c>
      <x:c r="L220" s="15" t="str">
        <x:v>24f747de-4a9b-43b6-90ad-0cce710f5bf8</x:v>
      </x:c>
      <x:c r="M220" s="15" t="str"/>
      <x:c r="N220" s="15" t="str">
        <x:v>factualFindings.contestedFacts[1].sourceCases[0]</x:v>
      </x:c>
      <x:c r="O220" s="15" t="str">
        <x:v>structured_json</x:v>
      </x:c>
      <x:c r="P220" s="15" t="str"/>
      <x:c r="Q220" s="15" t="str">
        <x:v>distinguished</x:v>
      </x:c>
      <x:c r="R220" s="15" t="str">
        <x:v>Dealt with similar issues of asset classification concerning ancillary uses and primary functions.</x:v>
      </x:c>
      <x:c r="S220" s="15" t="str"/>
    </x:row>
    <x:row r="221">
      <x:c r="A221" s="1" t="str">
        <x:v>O0220</x:v>
      </x:c>
      <x:c r="B221" s="1" t="str">
        <x:v>cmmf22axa000h04jxcpnnecs0</x:v>
      </x:c>
      <x:c r="C221" s="1" t="str">
        <x:v>cmlzne5ed000204ju2xa40q49</x:v>
      </x:c>
      <x:c r="D221" s="1" t="str">
        <x:v>ew-cases-EWCA-Civ-2024-1</x:v>
      </x:c>
      <x:c r="E221" s="1" t="str">
        <x:v>synthetic</x:v>
      </x:c>
      <x:c r="F221" s="15" t="str">
        <x:v>HMRC v Dolphin Drilling Ltd</x:v>
      </x:c>
      <x:c r="G221" s="16" t="n">
        <x:v>46087.649083854165</x:v>
      </x:c>
      <x:c r="H221" s="15" t="str">
        <x:v>case</x:v>
      </x:c>
      <x:c r="I221" s="15" t="str">
        <x:v>case:2022 ewca civ 305</x:v>
      </x:c>
      <x:c r="J221" s="15" t="str">
        <x:v>Cheshire Cavity Storage 1 Limited v HM Revenue &amp; Customs</x:v>
      </x:c>
      <x:c r="K221" s="15" t="str">
        <x:v>[2022] EWCA Civ 305</x:v>
      </x:c>
      <x:c r="L221" s="15" t="str">
        <x:v>321f1eb3-a7ee-452d-a5d1-e08732d9ac84</x:v>
      </x:c>
      <x:c r="M221" s="15" t="str"/>
      <x:c r="N221" s="15" t="str">
        <x:v>reasoningStructure[1].sourceCases[0]</x:v>
      </x:c>
      <x:c r="O221" s="15" t="str">
        <x:v>structured_json</x:v>
      </x:c>
      <x:c r="P221" s="15" t="str"/>
      <x:c r="Q221" s="15" t="str">
        <x:v>applied_differently</x:v>
      </x:c>
      <x:c r="R221" s="15" t="str">
        <x:v>Presents precedent regarding tax classification of vessels, impacting the analysis of asset relevance.</x:v>
      </x:c>
      <x:c r="S221" s="15" t="str"/>
    </x:row>
    <x:row r="222">
      <x:c r="A222" s="1" t="str">
        <x:v>O0221</x:v>
      </x:c>
      <x:c r="B222" s="1" t="str">
        <x:v>cmmf22axa000h04jxcpnnecs0</x:v>
      </x:c>
      <x:c r="C222" s="1" t="str">
        <x:v>cmlzne5ed000204ju2xa40q49</x:v>
      </x:c>
      <x:c r="D222" s="1" t="str">
        <x:v>ew-cases-EWCA-Civ-2024-1</x:v>
      </x:c>
      <x:c r="E222" s="1" t="str">
        <x:v>synthetic</x:v>
      </x:c>
      <x:c r="F222" s="15" t="str">
        <x:v>HMRC v Dolphin Drilling Ltd</x:v>
      </x:c>
      <x:c r="G222" s="16" t="n">
        <x:v>46087.649083854165</x:v>
      </x:c>
      <x:c r="H222" s="15" t="str">
        <x:v>case</x:v>
      </x:c>
      <x:c r="I222" s="15" t="str">
        <x:v>case:2016 ewca civ 938</x:v>
      </x:c>
      <x:c r="J222" s="15" t="str">
        <x:v>Routier &amp; Anor v Revenue &amp; Customs</x:v>
      </x:c>
      <x:c r="K222" s="15" t="str">
        <x:v>[2016] EWCA Civ 938</x:v>
      </x:c>
      <x:c r="L222" s="15" t="str">
        <x:v>49a7af4c-0d11-408e-8d84-2238f7e8f04a</x:v>
      </x:c>
      <x:c r="M222" s="15" t="str"/>
      <x:c r="N222" s="15" t="str">
        <x:v>reasoningStructure[1].sourceCases[1]</x:v>
      </x:c>
      <x:c r="O222" s="15" t="str">
        <x:v>structured_json</x:v>
      </x:c>
      <x:c r="P222" s="15" t="str"/>
      <x:c r="Q222" s="15" t="str">
        <x:v>applied_differently</x:v>
      </x:c>
      <x:c r="R222" s="15" t="str">
        <x:v>Insights into judicial expectations for tax classification reasoning aid comprehension concerning asset relevance.</x:v>
      </x:c>
      <x:c r="S222" s="15" t="str"/>
    </x:row>
    <x:row r="223">
      <x:c r="A223" s="1" t="str">
        <x:v>O0222</x:v>
      </x:c>
      <x:c r="B223" s="1" t="str">
        <x:v>cmmf22axa000h04jxcpnnecs0</x:v>
      </x:c>
      <x:c r="C223" s="1" t="str">
        <x:v>cmlzne5ed000204ju2xa40q49</x:v>
      </x:c>
      <x:c r="D223" s="1" t="str">
        <x:v>ew-cases-EWCA-Civ-2024-1</x:v>
      </x:c>
      <x:c r="E223" s="1" t="str">
        <x:v>synthetic</x:v>
      </x:c>
      <x:c r="F223" s="15" t="str">
        <x:v>HMRC v Dolphin Drilling Ltd</x:v>
      </x:c>
      <x:c r="G223" s="16" t="n">
        <x:v>46087.649083854165</x:v>
      </x:c>
      <x:c r="H223" s="15" t="str">
        <x:v>case</x:v>
      </x:c>
      <x:c r="I223" s="15" t="str">
        <x:v>case:2016 ewca civ 938</x:v>
      </x:c>
      <x:c r="J223" s="15" t="str">
        <x:v>Routier &amp; Anor v Revenue &amp; Customs</x:v>
      </x:c>
      <x:c r="K223" s="15" t="str">
        <x:v>[2016] EWCA Civ 938</x:v>
      </x:c>
      <x:c r="L223" s="15" t="str">
        <x:v>49a7af4c-0d11-408e-8d84-2238f7e8f04a</x:v>
      </x:c>
      <x:c r="M223" s="15" t="str"/>
      <x:c r="N223" s="15" t="str">
        <x:v>issuesForDetermination.issueMatrix[1].sourceCases[0]</x:v>
      </x:c>
      <x:c r="O223" s="15" t="str">
        <x:v>structured_json</x:v>
      </x:c>
      <x:c r="P223" s="15" t="str"/>
      <x:c r="Q223" s="15" t="str">
        <x:v>applied_differently</x:v>
      </x:c>
      <x:c r="R223" s="15" t="str">
        <x:v>Involves parallel issues of tax law relevance, detailing significant points on asset classification and reasoning processes.</x:v>
      </x:c>
      <x:c r="S223" s="15" t="str"/>
    </x:row>
    <x:row r="224">
      <x:c r="A224" s="1" t="str">
        <x:v>O0223</x:v>
      </x:c>
      <x:c r="B224" s="1" t="str">
        <x:v>cmmjsmua2000q04jstd4i8p7c</x:v>
      </x:c>
      <x:c r="C224" s="1" t="str">
        <x:v>cmmc45761000204jx6bd5kxqk</x:v>
      </x:c>
      <x:c r="D224" s="1" t="str">
        <x:v>ca-2024-000255-ellis-v-ssj-appellant-skeleton</x:v>
      </x:c>
      <x:c r="E224" s="1" t="str">
        <x:v>real</x:v>
      </x:c>
      <x:c r="F224" s="15" t="str">
        <x:v>R (Fajr Ellis) v Secretary of State for Justice</x:v>
      </x:c>
      <x:c r="G224" s="16" t="n">
        <x:v>46090.96497417824</x:v>
      </x:c>
      <x:c r="H224" s="15" t="str">
        <x:v>case</x:v>
      </x:c>
      <x:c r="I224" s="15" t="str">
        <x:v>case:2002 ewca civ 605</x:v>
      </x:c>
      <x:c r="J224" s="15" t="str">
        <x:v>English v Emery Reimbold &amp; Strick Ltd [2002] EWCA Civ 605</x:v>
      </x:c>
      <x:c r="K224" s="15" t="str">
        <x:v>English v Emery Reimbold &amp; Strick Ltd [2002] EWCA Civ 605</x:v>
      </x:c>
      <x:c r="L224" s="15" t="str"/>
      <x:c r="M224" s="15" t="str"/>
      <x:c r="N224" s="15" t="str">
        <x:v>legalFramework.precedentCitations[0]</x:v>
      </x:c>
      <x:c r="O224" s="15" t="str">
        <x:v>structured_json</x:v>
      </x:c>
      <x:c r="P224" s="15" t="str">
        <x:v>binding</x:v>
      </x:c>
      <x:c r="Q224" s="15" t="str"/>
      <x:c r="R224" s="15" t="str">
        <x:v>Judgements must provide adequate reasoning for legal conclusions.</x:v>
      </x:c>
      <x:c r="S224" s="15" t="str"/>
    </x:row>
    <x:row r="225">
      <x:c r="A225" s="1" t="str">
        <x:v>O0224</x:v>
      </x:c>
      <x:c r="B225" s="1" t="str">
        <x:v>cmmjsmua2000q04jstd4i8p7c</x:v>
      </x:c>
      <x:c r="C225" s="1" t="str">
        <x:v>cmmc45761000204jx6bd5kxqk</x:v>
      </x:c>
      <x:c r="D225" s="1" t="str">
        <x:v>ca-2024-000255-ellis-v-ssj-appellant-skeleton</x:v>
      </x:c>
      <x:c r="E225" s="1" t="str">
        <x:v>real</x:v>
      </x:c>
      <x:c r="F225" s="15" t="str">
        <x:v>R (Fajr Ellis) v Secretary of State for Justice</x:v>
      </x:c>
      <x:c r="G225" s="16" t="n">
        <x:v>46090.96497417824</x:v>
      </x:c>
      <x:c r="H225" s="15" t="str">
        <x:v>legislation</x:v>
      </x:c>
      <x:c r="I225" s="15" t="str">
        <x:v>legislation:human rights act 1998 s 6</x:v>
      </x:c>
      <x:c r="J225" s="15" t="str">
        <x:v>Human Rights Act 1998</x:v>
      </x:c>
      <x:c r="K225" s="15" t="str">
        <x:v>Human Rights Act 1998 s.6</x:v>
      </x:c>
      <x:c r="L225" s="15" t="str"/>
      <x:c r="M225" s="15" t="str">
        <x:v>s.6</x:v>
      </x:c>
      <x:c r="N225" s="15" t="str">
        <x:v>legalFramework.statutoryProvisions[0]</x:v>
      </x:c>
      <x:c r="O225" s="15" t="str">
        <x:v>structured_json</x:v>
      </x:c>
      <x:c r="P225" s="15" t="str"/>
      <x:c r="Q225" s="15" t="str"/>
      <x:c r="R225" s="15" t="str">
        <x:v>Public authorities must act in a manner compatible with Convention rights.</x:v>
      </x:c>
      <x:c r="S225" s="15" t="str"/>
    </x:row>
    <x:row r="226">
      <x:c r="A226" s="1" t="str">
        <x:v>O0225</x:v>
      </x:c>
      <x:c r="B226" s="1" t="str">
        <x:v>cmmjsmua2000q04jstd4i8p7c</x:v>
      </x:c>
      <x:c r="C226" s="1" t="str">
        <x:v>cmmc45761000204jx6bd5kxqk</x:v>
      </x:c>
      <x:c r="D226" s="1" t="str">
        <x:v>ca-2024-000255-ellis-v-ssj-appellant-skeleton</x:v>
      </x:c>
      <x:c r="E226" s="1" t="str">
        <x:v>real</x:v>
      </x:c>
      <x:c r="F226" s="15" t="str">
        <x:v>R (Fajr Ellis) v Secretary of State for Justice</x:v>
      </x:c>
      <x:c r="G226" s="16" t="n">
        <x:v>46090.96497417824</x:v>
      </x:c>
      <x:c r="H226" s="15" t="str">
        <x:v>legislation</x:v>
      </x:c>
      <x:c r="I226" s="15" t="str">
        <x:v>legislation:prison rules 1999 s 19</x:v>
      </x:c>
      <x:c r="J226" s="15" t="str">
        <x:v>Prison Rules 1999</x:v>
      </x:c>
      <x:c r="K226" s="15" t="str">
        <x:v>Prison Rules 1999 s.19</x:v>
      </x:c>
      <x:c r="L226" s="15" t="str"/>
      <x:c r="M226" s="15" t="str">
        <x:v>s.19</x:v>
      </x:c>
      <x:c r="N226" s="15" t="str">
        <x:v>legalFramework.statutoryProvisions[1]</x:v>
      </x:c>
      <x:c r="O226" s="15" t="str">
        <x:v>structured_json</x:v>
      </x:c>
      <x:c r="P226" s="15" t="str"/>
      <x:c r="Q226" s="15" t="str"/>
      <x:c r="R226" s="15" t="str">
        <x:v>Prisoners must have access to educational resources.</x:v>
      </x:c>
      <x:c r="S226" s="15" t="str"/>
    </x:row>
    <x:row r="227">
      <x:c r="A227" s="1" t="str">
        <x:v>O0226</x:v>
      </x:c>
      <x:c r="B227" s="1" t="str">
        <x:v>cmmjsmua2000q04jstd4i8p7c</x:v>
      </x:c>
      <x:c r="C227" s="1" t="str">
        <x:v>cmmc45761000204jx6bd5kxqk</x:v>
      </x:c>
      <x:c r="D227" s="1" t="str">
        <x:v>ca-2024-000255-ellis-v-ssj-appellant-skeleton</x:v>
      </x:c>
      <x:c r="E227" s="1" t="str">
        <x:v>real</x:v>
      </x:c>
      <x:c r="F227" s="15" t="str">
        <x:v>R (Fajr Ellis) v Secretary of State for Justice</x:v>
      </x:c>
      <x:c r="G227" s="16" t="n">
        <x:v>46090.96497417824</x:v>
      </x:c>
      <x:c r="H227" s="15" t="str">
        <x:v>legislation</x:v>
      </x:c>
      <x:c r="I227" s="15" t="str">
        <x:v>legislation:senior courts act 1981 s 35a</x:v>
      </x:c>
      <x:c r="J227" s="15" t="str">
        <x:v>Senior Courts Act 1981</x:v>
      </x:c>
      <x:c r="K227" s="15" t="str">
        <x:v>Senior Courts Act 1981 s.35A</x:v>
      </x:c>
      <x:c r="L227" s="15" t="str"/>
      <x:c r="M227" s="15" t="str">
        <x:v>s.35A</x:v>
      </x:c>
      <x:c r="N227" s="15" t="str">
        <x:v>legalFramework.statutoryProvisions[2]</x:v>
      </x:c>
      <x:c r="O227" s="15" t="str">
        <x:v>structured_json</x:v>
      </x:c>
      <x:c r="P227" s="15" t="str"/>
      <x:c r="Q227" s="15" t="str"/>
      <x:c r="R227" s="15" t="str">
        <x:v>Permits the court to award interest on damages.</x:v>
      </x:c>
      <x:c r="S227" s="15" t="str"/>
    </x:row>
    <x:row r="228">
      <x:c r="A228" s="1" t="str">
        <x:v>O0227</x:v>
      </x:c>
      <x:c r="B228" s="1" t="str">
        <x:v>cmmjsmua2000q04jstd4i8p7c</x:v>
      </x:c>
      <x:c r="C228" s="1" t="str">
        <x:v>cmmc45761000204jx6bd5kxqk</x:v>
      </x:c>
      <x:c r="D228" s="1" t="str">
        <x:v>ca-2024-000255-ellis-v-ssj-appellant-skeleton</x:v>
      </x:c>
      <x:c r="E228" s="1" t="str">
        <x:v>real</x:v>
      </x:c>
      <x:c r="F228" s="15" t="str">
        <x:v>R (Fajr Ellis) v Secretary of State for Justice</x:v>
      </x:c>
      <x:c r="G228" s="16" t="n">
        <x:v>46090.96497417824</x:v>
      </x:c>
      <x:c r="H228" s="15" t="str">
        <x:v>legislation</x:v>
      </x:c>
      <x:c r="I228" s="15" t="str">
        <x:v>legislation:senior courts act 1981 s 35a</x:v>
      </x:c>
      <x:c r="J228" s="15" t="str">
        <x:v>Senior Courts Act 1981, s.35A</x:v>
      </x:c>
      <x:c r="K228" s="15" t="str">
        <x:v>Senior Courts Act 1981, s.35A</x:v>
      </x:c>
      <x:c r="L228" s="15" t="str"/>
      <x:c r="M228" s="15" t="str"/>
      <x:c r="N228" s="15" t="str">
        <x:v>decisionAndDisposition.interest.statutoryBasis</x:v>
      </x:c>
      <x:c r="O228" s="15" t="str">
        <x:v>structured_json</x:v>
      </x:c>
      <x:c r="P228" s="15" t="str"/>
      <x:c r="Q228" s="15" t="str"/>
      <x:c r="R228" s="15" t="str"/>
      <x:c r="S228" s="15" t="str"/>
    </x:row>
    <x:row r="229">
      <x:c r="A229" s="1" t="str">
        <x:v>O0228</x:v>
      </x:c>
      <x:c r="B229" s="1" t="str">
        <x:v>cmmjsmua2000q04jstd4i8p7c</x:v>
      </x:c>
      <x:c r="C229" s="1" t="str">
        <x:v>cmmc45761000204jx6bd5kxqk</x:v>
      </x:c>
      <x:c r="D229" s="1" t="str">
        <x:v>ca-2024-000255-ellis-v-ssj-appellant-skeleton</x:v>
      </x:c>
      <x:c r="E229" s="1" t="str">
        <x:v>real</x:v>
      </x:c>
      <x:c r="F229" s="15" t="str">
        <x:v>R (Fajr Ellis) v Secretary of State for Justice</x:v>
      </x:c>
      <x:c r="G229" s="16" t="n">
        <x:v>46090.96497417824</x:v>
      </x:c>
      <x:c r="H229" s="15" t="str">
        <x:v>case</x:v>
      </x:c>
      <x:c r="I229" s="15" t="str">
        <x:v>case:kalda v estonia</x:v>
      </x:c>
      <x:c r="J229" s="15" t="str">
        <x:v>Kalda v. Estonia</x:v>
      </x:c>
      <x:c r="K229" s="15" t="str">
        <x:v>Kalda v. Estonia</x:v>
      </x:c>
      <x:c r="L229" s="15" t="str"/>
      <x:c r="M229" s="15" t="str"/>
      <x:c r="N229" s="15" t="str">
        <x:v>legalFramework.legalTestSummaries[0].sourceAuthority</x:v>
      </x:c>
      <x:c r="O229" s="15" t="str">
        <x:v>structured_json</x:v>
      </x:c>
      <x:c r="P229" s="15" t="str"/>
      <x:c r="Q229" s="15" t="str"/>
      <x:c r="R229" s="15" t="str"/>
      <x:c r="S229" s="15" t="str"/>
    </x:row>
    <x:row r="230">
      <x:c r="A230" s="1" t="str">
        <x:v>O0229</x:v>
      </x:c>
      <x:c r="B230" s="1" t="str">
        <x:v>cmmjsmua2000q04jstd4i8p7c</x:v>
      </x:c>
      <x:c r="C230" s="1" t="str">
        <x:v>cmmc45761000204jx6bd5kxqk</x:v>
      </x:c>
      <x:c r="D230" s="1" t="str">
        <x:v>ca-2024-000255-ellis-v-ssj-appellant-skeleton</x:v>
      </x:c>
      <x:c r="E230" s="1" t="str">
        <x:v>real</x:v>
      </x:c>
      <x:c r="F230" s="15" t="str">
        <x:v>R (Fajr Ellis) v Secretary of State for Justice</x:v>
      </x:c>
      <x:c r="G230" s="16" t="n">
        <x:v>46090.96497417824</x:v>
      </x:c>
      <x:c r="H230" s="15" t="str">
        <x:v>case</x:v>
      </x:c>
      <x:c r="I230" s="15" t="str">
        <x:v>case:mehmet arslan and orhan bingol v turkey</x:v>
      </x:c>
      <x:c r="J230" s="15" t="str">
        <x:v>Mehmet Arslan and Orhan Bingol v Turkey</x:v>
      </x:c>
      <x:c r="K230" s="15" t="str">
        <x:v>Mehmet Arslan and Orhan Bingol v Turkey</x:v>
      </x:c>
      <x:c r="L230" s="15" t="str"/>
      <x:c r="M230" s="15" t="str"/>
      <x:c r="N230" s="15" t="str">
        <x:v>legalFramework.legalTestSummaries[1].sourceAuthority</x:v>
      </x:c>
      <x:c r="O230" s="15" t="str">
        <x:v>structured_json</x:v>
      </x:c>
      <x:c r="P230" s="15" t="str"/>
      <x:c r="Q230" s="15" t="str"/>
      <x:c r="R230" s="15" t="str"/>
      <x:c r="S230" s="15" t="str"/>
    </x:row>
    <x:row r="231">
      <x:c r="A231" s="1" t="str">
        <x:v>O0230</x:v>
      </x:c>
      <x:c r="B231" s="1" t="str">
        <x:v>cmmjsmua2000q04jstd4i8p7c</x:v>
      </x:c>
      <x:c r="C231" s="1" t="str">
        <x:v>cmmc45761000204jx6bd5kxqk</x:v>
      </x:c>
      <x:c r="D231" s="1" t="str">
        <x:v>ca-2024-000255-ellis-v-ssj-appellant-skeleton</x:v>
      </x:c>
      <x:c r="E231" s="1" t="str">
        <x:v>real</x:v>
      </x:c>
      <x:c r="F231" s="15" t="str">
        <x:v>R (Fajr Ellis) v Secretary of State for Justice</x:v>
      </x:c>
      <x:c r="G231" s="16" t="n">
        <x:v>46090.96497417824</x:v>
      </x:c>
      <x:c r="H231" s="15" t="str">
        <x:v>case</x:v>
      </x:c>
      <x:c r="I231" s="15" t="str">
        <x:v>case:catan and others v moldova and russia</x:v>
      </x:c>
      <x:c r="J231" s="15" t="str">
        <x:v>Catan and Others v. Moldova and Russia</x:v>
      </x:c>
      <x:c r="K231" s="15" t="str">
        <x:v>N/A</x:v>
      </x:c>
      <x:c r="L231" s="15" t="str">
        <x:v>522b4f69-32d0-44e3-9bb5-92859e5efde0</x:v>
      </x:c>
      <x:c r="M231" s="15" t="str"/>
      <x:c r="N231" s="15" t="str">
        <x:v>factualFindings.chronology[0].sourceCases[0]</x:v>
      </x:c>
      <x:c r="O231" s="15" t="str">
        <x:v>structured_json</x:v>
      </x:c>
      <x:c r="P231" s="15" t="str"/>
      <x:c r="Q231" s="15" t="str">
        <x:v>applied_differently</x:v>
      </x:c>
      <x:c r="R231" s="15" t="str">
        <x:v>This case illustrates broader implications for educational access and state obligations.</x:v>
      </x:c>
      <x:c r="S231" s="15" t="str"/>
    </x:row>
    <x:row r="232">
      <x:c r="A232" s="1" t="str">
        <x:v>O0231</x:v>
      </x:c>
      <x:c r="B232" s="1" t="str">
        <x:v>cmmjsmua2000q04jstd4i8p7c</x:v>
      </x:c>
      <x:c r="C232" s="1" t="str">
        <x:v>cmmc45761000204jx6bd5kxqk</x:v>
      </x:c>
      <x:c r="D232" s="1" t="str">
        <x:v>ca-2024-000255-ellis-v-ssj-appellant-skeleton</x:v>
      </x:c>
      <x:c r="E232" s="1" t="str">
        <x:v>real</x:v>
      </x:c>
      <x:c r="F232" s="15" t="str">
        <x:v>R (Fajr Ellis) v Secretary of State for Justice</x:v>
      </x:c>
      <x:c r="G232" s="16" t="n">
        <x:v>46090.96497417824</x:v>
      </x:c>
      <x:c r="H232" s="15" t="str">
        <x:v>case</x:v>
      </x:c>
      <x:c r="I232" s="15" t="str">
        <x:v>case:velyo velev v bulgaria</x:v>
      </x:c>
      <x:c r="J232" s="15" t="str">
        <x:v>Velyo Velev v. Bulgaria</x:v>
      </x:c>
      <x:c r="K232" s="15" t="str">
        <x:v>N/A</x:v>
      </x:c>
      <x:c r="L232" s="15" t="str">
        <x:v>dfa97e6e-7e32-4c80-9f6f-5e4f398f9d82</x:v>
      </x:c>
      <x:c r="M232" s="15" t="str"/>
      <x:c r="N232" s="15" t="str">
        <x:v>factualFindings.contestedFacts[0].sourceCases[0]</x:v>
      </x:c>
      <x:c r="O232" s="15" t="str">
        <x:v>structured_json</x:v>
      </x:c>
      <x:c r="P232" s="15" t="str"/>
      <x:c r="Q232" s="15" t="str">
        <x:v>applied_differently</x:v>
      </x:c>
      <x:c r="R232" s="15" t="str">
        <x:v>The case discusses limits on prisoner rights to education and security justifications.</x:v>
      </x:c>
      <x:c r="S232" s="15" t="str"/>
    </x:row>
    <x:row r="233">
      <x:c r="A233" s="1" t="str">
        <x:v>O0232</x:v>
      </x:c>
      <x:c r="B233" s="1" t="str">
        <x:v>cmmjsmua2000q04jstd4i8p7c</x:v>
      </x:c>
      <x:c r="C233" s="1" t="str">
        <x:v>cmmc45761000204jx6bd5kxqk</x:v>
      </x:c>
      <x:c r="D233" s="1" t="str">
        <x:v>ca-2024-000255-ellis-v-ssj-appellant-skeleton</x:v>
      </x:c>
      <x:c r="E233" s="1" t="str">
        <x:v>real</x:v>
      </x:c>
      <x:c r="F233" s="15" t="str">
        <x:v>R (Fajr Ellis) v Secretary of State for Justice</x:v>
      </x:c>
      <x:c r="G233" s="16" t="n">
        <x:v>46090.96497417824</x:v>
      </x:c>
      <x:c r="H233" s="15" t="str">
        <x:v>case</x:v>
      </x:c>
      <x:c r="I233" s="15" t="str">
        <x:v>case:kalda v estonia access to information rights for prisoners</x:v>
      </x:c>
      <x:c r="J233" s="15" t="str">
        <x:v>Kalda v. Estonia - Access to Information Rights for Prisoners</x:v>
      </x:c>
      <x:c r="K233" s="15" t="str">
        <x:v>N/A</x:v>
      </x:c>
      <x:c r="L233" s="15" t="str">
        <x:v>facdee26-7310-4355-9ef5-1fd21f107f72</x:v>
      </x:c>
      <x:c r="M233" s="15" t="str"/>
      <x:c r="N233" s="15" t="str">
        <x:v>factualFindings.contestedFacts[1].sourceCases[0]</x:v>
      </x:c>
      <x:c r="O233" s="15" t="str">
        <x:v>structured_json</x:v>
      </x:c>
      <x:c r="P233" s="15" t="str"/>
      <x:c r="Q233" s="15" t="str">
        <x:v>distinguished</x:v>
      </x:c>
      <x:c r="R233" s="15" t="str">
        <x:v>Similar situation analyzing prisoner access to education against security measures.</x:v>
      </x:c>
      <x:c r="S233" s="15" t="str"/>
    </x:row>
    <x:row r="234">
      <x:c r="A234" s="1" t="str">
        <x:v>O0233</x:v>
      </x:c>
      <x:c r="B234" s="1" t="str">
        <x:v>cmmjsmua2000q04jstd4i8p7c</x:v>
      </x:c>
      <x:c r="C234" s="1" t="str">
        <x:v>cmmc45761000204jx6bd5kxqk</x:v>
      </x:c>
      <x:c r="D234" s="1" t="str">
        <x:v>ca-2024-000255-ellis-v-ssj-appellant-skeleton</x:v>
      </x:c>
      <x:c r="E234" s="1" t="str">
        <x:v>real</x:v>
      </x:c>
      <x:c r="F234" s="15" t="str">
        <x:v>R (Fajr Ellis) v Secretary of State for Justice</x:v>
      </x:c>
      <x:c r="G234" s="16" t="n">
        <x:v>46090.96497417824</x:v>
      </x:c>
      <x:c r="H234" s="15" t="str">
        <x:v>case</x:v>
      </x:c>
      <x:c r="I234" s="15" t="str">
        <x:v>case:velyo velev v bulgaria</x:v>
      </x:c>
      <x:c r="J234" s="15" t="str">
        <x:v>Velyo Velev v. Bulgaria</x:v>
      </x:c>
      <x:c r="K234" s="15" t="str">
        <x:v>N/A</x:v>
      </x:c>
      <x:c r="L234" s="15" t="str">
        <x:v>dfa97e6e-7e32-4c80-9f6f-5e4f398f9d82</x:v>
      </x:c>
      <x:c r="M234" s="15" t="str"/>
      <x:c r="N234" s="15" t="str">
        <x:v>reasoningStructure[0].sourceCases[0]</x:v>
      </x:c>
      <x:c r="O234" s="15" t="str">
        <x:v>structured_json</x:v>
      </x:c>
      <x:c r="P234" s="15" t="str"/>
      <x:c r="Q234" s="15" t="str">
        <x:v>distinguished</x:v>
      </x:c>
      <x:c r="R234" s="15" t="str">
        <x:v>Reinforces that prisoner rights to education cannot be infringed without substantial justification.</x:v>
      </x:c>
      <x:c r="S234" s="15" t="str"/>
    </x:row>
    <x:row r="235">
      <x:c r="A235" s="1" t="str">
        <x:v>O0234</x:v>
      </x:c>
      <x:c r="B235" s="1" t="str">
        <x:v>cmmjsmua2000q04jstd4i8p7c</x:v>
      </x:c>
      <x:c r="C235" s="1" t="str">
        <x:v>cmmc45761000204jx6bd5kxqk</x:v>
      </x:c>
      <x:c r="D235" s="1" t="str">
        <x:v>ca-2024-000255-ellis-v-ssj-appellant-skeleton</x:v>
      </x:c>
      <x:c r="E235" s="1" t="str">
        <x:v>real</x:v>
      </x:c>
      <x:c r="F235" s="15" t="str">
        <x:v>R (Fajr Ellis) v Secretary of State for Justice</x:v>
      </x:c>
      <x:c r="G235" s="16" t="n">
        <x:v>46090.96497417824</x:v>
      </x:c>
      <x:c r="H235" s="15" t="str">
        <x:v>case</x:v>
      </x:c>
      <x:c r="I235" s="15" t="str">
        <x:v>case:kalda v estonia access to information rights for prisoners</x:v>
      </x:c>
      <x:c r="J235" s="15" t="str">
        <x:v>Kalda v. Estonia - Access to Information Rights for Prisoners</x:v>
      </x:c>
      <x:c r="K235" s="15" t="str">
        <x:v>N/A</x:v>
      </x:c>
      <x:c r="L235" s="15" t="str">
        <x:v>facdee26-7310-4355-9ef5-1fd21f107f72</x:v>
      </x:c>
      <x:c r="M235" s="15" t="str"/>
      <x:c r="N235" s="15" t="str">
        <x:v>reasoningStructure[1].sourceCases[0]</x:v>
      </x:c>
      <x:c r="O235" s="15" t="str">
        <x:v>structured_json</x:v>
      </x:c>
      <x:c r="P235" s="15" t="str"/>
      <x:c r="Q235" s="15" t="str">
        <x:v>applied_differently</x:v>
      </x:c>
      <x:c r="R235" s="15" t="str">
        <x:v>Similar jurisprudence advocating for more flexible interpretations in educational contexts.</x:v>
      </x:c>
      <x:c r="S235" s="15" t="str"/>
    </x:row>
    <x:row r="236">
      <x:c r="A236" s="1" t="str">
        <x:v>O0235</x:v>
      </x:c>
      <x:c r="B236" s="1" t="str">
        <x:v>cmmjsmua2000q04jstd4i8p7c</x:v>
      </x:c>
      <x:c r="C236" s="1" t="str">
        <x:v>cmmc45761000204jx6bd5kxqk</x:v>
      </x:c>
      <x:c r="D236" s="1" t="str">
        <x:v>ca-2024-000255-ellis-v-ssj-appellant-skeleton</x:v>
      </x:c>
      <x:c r="E236" s="1" t="str">
        <x:v>real</x:v>
      </x:c>
      <x:c r="F236" s="15" t="str">
        <x:v>R (Fajr Ellis) v Secretary of State for Justice</x:v>
      </x:c>
      <x:c r="G236" s="16" t="n">
        <x:v>46090.96497417824</x:v>
      </x:c>
      <x:c r="H236" s="15" t="str">
        <x:v>case</x:v>
      </x:c>
      <x:c r="I236" s="15" t="str">
        <x:v>case:velyo velev v bulgaria</x:v>
      </x:c>
      <x:c r="J236" s="15" t="str">
        <x:v>Velyo Velev v. Bulgaria</x:v>
      </x:c>
      <x:c r="K236" s="15" t="str">
        <x:v>N/A</x:v>
      </x:c>
      <x:c r="L236" s="15" t="str">
        <x:v>dfa97e6e-7e32-4c80-9f6f-5e4f398f9d82</x:v>
      </x:c>
      <x:c r="M236" s="15" t="str"/>
      <x:c r="N236" s="15" t="str">
        <x:v>issuesForDetermination.issueMatrix[0].sourceCases[0]</x:v>
      </x:c>
      <x:c r="O236" s="15" t="str">
        <x:v>structured_json</x:v>
      </x:c>
      <x:c r="P236" s="15" t="str"/>
      <x:c r="Q236" s="15" t="str">
        <x:v>distinguished</x:v>
      </x:c>
      <x:c r="R236" s="15" t="str">
        <x:v>This indicates a precedent favoring the claim for educational access under similar circumstances.</x:v>
      </x:c>
      <x:c r="S236" s="15" t="str"/>
    </x:row>
    <x:row r="237">
      <x:c r="A237" s="1" t="str">
        <x:v>O0236</x:v>
      </x:c>
      <x:c r="B237" s="1" t="str">
        <x:v>cmmjsmua2000q04jstd4i8p7c</x:v>
      </x:c>
      <x:c r="C237" s="1" t="str">
        <x:v>cmmc45761000204jx6bd5kxqk</x:v>
      </x:c>
      <x:c r="D237" s="1" t="str">
        <x:v>ca-2024-000255-ellis-v-ssj-appellant-skeleton</x:v>
      </x:c>
      <x:c r="E237" s="1" t="str">
        <x:v>real</x:v>
      </x:c>
      <x:c r="F237" s="15" t="str">
        <x:v>R (Fajr Ellis) v Secretary of State for Justice</x:v>
      </x:c>
      <x:c r="G237" s="16" t="n">
        <x:v>46090.96497417824</x:v>
      </x:c>
      <x:c r="H237" s="15" t="str">
        <x:v>case</x:v>
      </x:c>
      <x:c r="I237" s="15" t="str">
        <x:v>case:kalda v estonia access to information rights for prisoners</x:v>
      </x:c>
      <x:c r="J237" s="15" t="str">
        <x:v>Kalda v. Estonia - Access to Information Rights for Prisoners</x:v>
      </x:c>
      <x:c r="K237" s="15" t="str">
        <x:v>N/A</x:v>
      </x:c>
      <x:c r="L237" s="15" t="str">
        <x:v>facdee26-7310-4355-9ef5-1fd21f107f72</x:v>
      </x:c>
      <x:c r="M237" s="15" t="str"/>
      <x:c r="N237" s="15" t="str">
        <x:v>issuesForDetermination.issueMatrix[1].sourceCases[0]</x:v>
      </x:c>
      <x:c r="O237" s="15" t="str">
        <x:v>structured_json</x:v>
      </x:c>
      <x:c r="P237" s="15" t="str"/>
      <x:c r="Q237" s="15" t="str">
        <x:v>applied_differently</x:v>
      </x:c>
      <x:c r="R237" s="15" t="str">
        <x:v>This precedent exemplifies the need for proportionality in assessing educational access requirements.</x:v>
      </x:c>
      <x:c r="S237" s="15" t="str"/>
    </x:row>
    <x:row r="238">
      <x:c r="A238" s="1" t="str">
        <x:v>O0237</x:v>
      </x:c>
      <x:c r="B238" s="1" t="str">
        <x:v>cmmjtnsdx000904l4vhap8xwc</x:v>
      </x:c>
      <x:c r="C238" s="1" t="str">
        <x:v>cmmc45761000204jx6bd5kxqk</x:v>
      </x:c>
      <x:c r="D238" s="1" t="str">
        <x:v>ca-2024-000255-ellis-v-ssj-appellant-skeleton</x:v>
      </x:c>
      <x:c r="E238" s="1" t="str">
        <x:v>real</x:v>
      </x:c>
      <x:c r="F238" s="15" t="str">
        <x:v>R (Fajr Ellis) v Secretary of State for Justice</x:v>
      </x:c>
      <x:c r="G238" s="16" t="n">
        <x:v>46090.98492577546</x:v>
      </x:c>
      <x:c r="H238" s="15" t="str">
        <x:v>case</x:v>
      </x:c>
      <x:c r="I238" s="15" t="str">
        <x:v>case:2002 ewca civ 605</x:v>
      </x:c>
      <x:c r="J238" s="15" t="str">
        <x:v>English v Emery Reimbold &amp; Strick Ltd [2002] EWCA Civ 605</x:v>
      </x:c>
      <x:c r="K238" s="15" t="str">
        <x:v>English v Emery Reimbold &amp; Strick Ltd [2002] EWCA Civ 605</x:v>
      </x:c>
      <x:c r="L238" s="15" t="str"/>
      <x:c r="M238" s="15" t="str"/>
      <x:c r="N238" s="15" t="str">
        <x:v>legalFramework.precedentCitations[0]</x:v>
      </x:c>
      <x:c r="O238" s="15" t="str">
        <x:v>structured_json</x:v>
      </x:c>
      <x:c r="P238" s="15" t="str">
        <x:v>binding</x:v>
      </x:c>
      <x:c r="Q238" s="15" t="str"/>
      <x:c r="R238" s="15" t="str">
        <x:v>Adequacy of reasons in judgments</x:v>
      </x:c>
      <x:c r="S238" s="15" t="str"/>
    </x:row>
    <x:row r="239">
      <x:c r="A239" s="1" t="str">
        <x:v>O0238</x:v>
      </x:c>
      <x:c r="B239" s="1" t="str">
        <x:v>cmmjtnsdx000904l4vhap8xwc</x:v>
      </x:c>
      <x:c r="C239" s="1" t="str">
        <x:v>cmmc45761000204jx6bd5kxqk</x:v>
      </x:c>
      <x:c r="D239" s="1" t="str">
        <x:v>ca-2024-000255-ellis-v-ssj-appellant-skeleton</x:v>
      </x:c>
      <x:c r="E239" s="1" t="str">
        <x:v>real</x:v>
      </x:c>
      <x:c r="F239" s="15" t="str">
        <x:v>R (Fajr Ellis) v Secretary of State for Justice</x:v>
      </x:c>
      <x:c r="G239" s="16" t="n">
        <x:v>46090.98492577546</x:v>
      </x:c>
      <x:c r="H239" s="15" t="str">
        <x:v>case</x:v>
      </x:c>
      <x:c r="I239" s="15" t="str">
        <x:v>case:2000 1 wlr 377</x:v>
      </x:c>
      <x:c r="J239" s="15" t="str">
        <x:v>Flannery v Halifax Estate Agencies Ltd [2000] 1 WLR 377</x:v>
      </x:c>
      <x:c r="K239" s="15" t="str">
        <x:v>Flannery v Halifax Estate Agencies Ltd [2000] 1 WLR 377</x:v>
      </x:c>
      <x:c r="L239" s="15" t="str"/>
      <x:c r="M239" s="15" t="str"/>
      <x:c r="N239" s="15" t="str">
        <x:v>legalFramework.precedentCitations[1]</x:v>
      </x:c>
      <x:c r="O239" s="15" t="str">
        <x:v>structured_json</x:v>
      </x:c>
      <x:c r="P239" s="15" t="str">
        <x:v>binding</x:v>
      </x:c>
      <x:c r="Q239" s="15" t="str"/>
      <x:c r="R239" s="15" t="str">
        <x:v>Duty to give reasons for judgments</x:v>
      </x:c>
      <x:c r="S239" s="15" t="str"/>
    </x:row>
    <x:row r="240">
      <x:c r="A240" s="1" t="str">
        <x:v>O0239</x:v>
      </x:c>
      <x:c r="B240" s="1" t="str">
        <x:v>cmmjtnsdx000904l4vhap8xwc</x:v>
      </x:c>
      <x:c r="C240" s="1" t="str">
        <x:v>cmmc45761000204jx6bd5kxqk</x:v>
      </x:c>
      <x:c r="D240" s="1" t="str">
        <x:v>ca-2024-000255-ellis-v-ssj-appellant-skeleton</x:v>
      </x:c>
      <x:c r="E240" s="1" t="str">
        <x:v>real</x:v>
      </x:c>
      <x:c r="F240" s="15" t="str">
        <x:v>R (Fajr Ellis) v Secretary of State for Justice</x:v>
      </x:c>
      <x:c r="G240" s="16" t="n">
        <x:v>46090.98492577546</x:v>
      </x:c>
      <x:c r="H240" s="15" t="str">
        <x:v>legislation</x:v>
      </x:c>
      <x:c r="I240" s="15" t="str">
        <x:v>legislation:european convention on human rights article 2 of the first protocol</x:v>
      </x:c>
      <x:c r="J240" s="15" t="str">
        <x:v>European Convention on Human Rights</x:v>
      </x:c>
      <x:c r="K240" s="15" t="str">
        <x:v>European Convention on Human Rights Article 2 of the First Protocol</x:v>
      </x:c>
      <x:c r="L240" s="15" t="str"/>
      <x:c r="M240" s="15" t="str">
        <x:v>Article 2 of the First Protocol</x:v>
      </x:c>
      <x:c r="N240" s="15" t="str">
        <x:v>legalFramework.statutoryProvisions[0]</x:v>
      </x:c>
      <x:c r="O240" s="15" t="str">
        <x:v>structured_json</x:v>
      </x:c>
      <x:c r="P240" s="15" t="str"/>
      <x:c r="Q240" s="15" t="str"/>
      <x:c r="R240" s="15" t="str">
        <x:v>Guarantees right to education, pertinent to the appellant's claim.</x:v>
      </x:c>
      <x:c r="S240" s="15" t="str"/>
    </x:row>
    <x:row r="241">
      <x:c r="A241" s="1" t="str">
        <x:v>O0240</x:v>
      </x:c>
      <x:c r="B241" s="1" t="str">
        <x:v>cmmjtnsdx000904l4vhap8xwc</x:v>
      </x:c>
      <x:c r="C241" s="1" t="str">
        <x:v>cmmc45761000204jx6bd5kxqk</x:v>
      </x:c>
      <x:c r="D241" s="1" t="str">
        <x:v>ca-2024-000255-ellis-v-ssj-appellant-skeleton</x:v>
      </x:c>
      <x:c r="E241" s="1" t="str">
        <x:v>real</x:v>
      </x:c>
      <x:c r="F241" s="15" t="str">
        <x:v>R (Fajr Ellis) v Secretary of State for Justice</x:v>
      </x:c>
      <x:c r="G241" s="16" t="n">
        <x:v>46090.98492577546</x:v>
      </x:c>
      <x:c r="H241" s="15" t="str">
        <x:v>legislation</x:v>
      </x:c>
      <x:c r="I241" s="15" t="str">
        <x:v>legislation:human rights act 1998</x:v>
      </x:c>
      <x:c r="J241" s="15" t="str">
        <x:v>Human Rights Act 1998</x:v>
      </x:c>
      <x:c r="K241" s="15" t="str">
        <x:v>Human Rights Act 1998</x:v>
      </x:c>
      <x:c r="L241" s="15" t="str"/>
      <x:c r="M241" s="15" t="str"/>
      <x:c r="N241" s="15" t="str">
        <x:v>legalFramework.statutoryProvisions[1]</x:v>
      </x:c>
      <x:c r="O241" s="15" t="str">
        <x:v>structured_json</x:v>
      </x:c>
      <x:c r="P241" s="15" t="str"/>
      <x:c r="Q241" s="15" t="str"/>
      <x:c r="R241" s="15" t="str">
        <x:v>Incorporates ECHR into UK law, obligating the state to uphold educational rights.</x:v>
      </x:c>
      <x:c r="S241" s="15" t="str"/>
    </x:row>
    <x:row r="242">
      <x:c r="A242" s="1" t="str">
        <x:v>O0241</x:v>
      </x:c>
      <x:c r="B242" s="1" t="str">
        <x:v>cmmjtnsdx000904l4vhap8xwc</x:v>
      </x:c>
      <x:c r="C242" s="1" t="str">
        <x:v>cmmc45761000204jx6bd5kxqk</x:v>
      </x:c>
      <x:c r="D242" s="1" t="str">
        <x:v>ca-2024-000255-ellis-v-ssj-appellant-skeleton</x:v>
      </x:c>
      <x:c r="E242" s="1" t="str">
        <x:v>real</x:v>
      </x:c>
      <x:c r="F242" s="15" t="str">
        <x:v>R (Fajr Ellis) v Secretary of State for Justice</x:v>
      </x:c>
      <x:c r="G242" s="16" t="n">
        <x:v>46090.98492577546</x:v>
      </x:c>
      <x:c r="H242" s="15" t="str">
        <x:v>legislation</x:v>
      </x:c>
      <x:c r="I242" s="15" t="str">
        <x:v>legislation:senior courts act 1981 s 35a</x:v>
      </x:c>
      <x:c r="J242" s="15" t="str">
        <x:v>Senior Courts Act 1981, s.35A</x:v>
      </x:c>
      <x:c r="K242" s="15" t="str">
        <x:v>Senior Courts Act 1981, s.35A</x:v>
      </x:c>
      <x:c r="L242" s="15" t="str"/>
      <x:c r="M242" s="15" t="str"/>
      <x:c r="N242" s="15" t="str">
        <x:v>decisionAndDisposition.interest.statutoryBasis</x:v>
      </x:c>
      <x:c r="O242" s="15" t="str">
        <x:v>structured_json</x:v>
      </x:c>
      <x:c r="P242" s="15" t="str"/>
      <x:c r="Q242" s="15" t="str"/>
      <x:c r="R242" s="15" t="str"/>
      <x:c r="S242" s="15" t="str"/>
    </x:row>
    <x:row r="243">
      <x:c r="A243" s="1" t="str">
        <x:v>O0242</x:v>
      </x:c>
      <x:c r="B243" s="1" t="str">
        <x:v>cmmjtnsdx000904l4vhap8xwc</x:v>
      </x:c>
      <x:c r="C243" s="1" t="str">
        <x:v>cmmc45761000204jx6bd5kxqk</x:v>
      </x:c>
      <x:c r="D243" s="1" t="str">
        <x:v>ca-2024-000255-ellis-v-ssj-appellant-skeleton</x:v>
      </x:c>
      <x:c r="E243" s="1" t="str">
        <x:v>real</x:v>
      </x:c>
      <x:c r="F243" s="15" t="str">
        <x:v>R (Fajr Ellis) v Secretary of State for Justice</x:v>
      </x:c>
      <x:c r="G243" s="16" t="n">
        <x:v>46090.98492577546</x:v>
      </x:c>
      <x:c r="H243" s="15" t="str">
        <x:v>other</x:v>
      </x:c>
      <x:c r="I243" s="15" t="str">
        <x:v>other:european court of human rights case law</x:v>
      </x:c>
      <x:c r="J243" s="15" t="str">
        <x:v>European Court of Human Rights case law</x:v>
      </x:c>
      <x:c r="K243" s="15" t="str">
        <x:v>European Court of Human Rights case law</x:v>
      </x:c>
      <x:c r="L243" s="15" t="str"/>
      <x:c r="M243" s="15" t="str"/>
      <x:c r="N243" s="15" t="str">
        <x:v>legalFramework.legalTestSummaries[0].sourceAuthority</x:v>
      </x:c>
      <x:c r="O243" s="15" t="str">
        <x:v>structured_json</x:v>
      </x:c>
      <x:c r="P243" s="15" t="str"/>
      <x:c r="Q243" s="15" t="str"/>
      <x:c r="R243" s="15" t="str"/>
      <x:c r="S243" s="15" t="str"/>
    </x:row>
    <x:row r="244">
      <x:c r="A244" s="1" t="str">
        <x:v>O0243</x:v>
      </x:c>
      <x:c r="B244" s="1" t="str">
        <x:v>cmmjtnsdx000904l4vhap8xwc</x:v>
      </x:c>
      <x:c r="C244" s="1" t="str">
        <x:v>cmmc45761000204jx6bd5kxqk</x:v>
      </x:c>
      <x:c r="D244" s="1" t="str">
        <x:v>ca-2024-000255-ellis-v-ssj-appellant-skeleton</x:v>
      </x:c>
      <x:c r="E244" s="1" t="str">
        <x:v>real</x:v>
      </x:c>
      <x:c r="F244" s="15" t="str">
        <x:v>R (Fajr Ellis) v Secretary of State for Justice</x:v>
      </x:c>
      <x:c r="G244" s="16" t="n">
        <x:v>46090.98492577546</x:v>
      </x:c>
      <x:c r="H244" s="15" t="str">
        <x:v>legislation</x:v>
      </x:c>
      <x:c r="I244" s="15" t="str">
        <x:v>legislation:human rights act 1998 and the interplay with echr precedents</x:v>
      </x:c>
      <x:c r="J244" s="15" t="str">
        <x:v>Human Rights Act 1998 and the interplay with ECHR precedents</x:v>
      </x:c>
      <x:c r="K244" s="15" t="str">
        <x:v>Human Rights Act 1998 and the interplay with ECHR precedents</x:v>
      </x:c>
      <x:c r="L244" s="15" t="str"/>
      <x:c r="M244" s="15" t="str"/>
      <x:c r="N244" s="15" t="str">
        <x:v>legalFramework.legalTestSummaries[1].sourceAuthority</x:v>
      </x:c>
      <x:c r="O244" s="15" t="str">
        <x:v>structured_json</x:v>
      </x:c>
      <x:c r="P244" s="15" t="str"/>
      <x:c r="Q244" s="15" t="str"/>
      <x:c r="R244" s="15" t="str"/>
      <x:c r="S244" s="15" t="str"/>
    </x:row>
    <x:row r="245">
      <x:c r="A245" s="1" t="str">
        <x:v>O0244</x:v>
      </x:c>
      <x:c r="B245" s="1" t="str">
        <x:v>cmmjtnsdx000904l4vhap8xwc</x:v>
      </x:c>
      <x:c r="C245" s="1" t="str">
        <x:v>cmmc45761000204jx6bd5kxqk</x:v>
      </x:c>
      <x:c r="D245" s="1" t="str">
        <x:v>ca-2024-000255-ellis-v-ssj-appellant-skeleton</x:v>
      </x:c>
      <x:c r="E245" s="1" t="str">
        <x:v>real</x:v>
      </x:c>
      <x:c r="F245" s="15" t="str">
        <x:v>R (Fajr Ellis) v Secretary of State for Justice</x:v>
      </x:c>
      <x:c r="G245" s="16" t="n">
        <x:v>46090.98492577546</x:v>
      </x:c>
      <x:c r="H245" s="15" t="str">
        <x:v>case</x:v>
      </x:c>
      <x:c r="I245" s="15" t="str">
        <x:v>case:the howard league for penal reform and prisoners advice service v the lord chancellor</x:v>
      </x:c>
      <x:c r="J245" s="15" t="str">
        <x:v>The Howard League for Penal Reform and Prisoners' Advice Service v The Lord Chancellor</x:v>
      </x:c>
      <x:c r="K245" s="15" t="str">
        <x:v>N/A</x:v>
      </x:c>
      <x:c r="L245" s="15" t="str">
        <x:v>d60a5323-796e-4110-a6de-012ec16860c1</x:v>
      </x:c>
      <x:c r="M245" s="15" t="str"/>
      <x:c r="N245" s="15" t="str">
        <x:v>factualFindings.contestedFacts[0].sourceCases[0]</x:v>
      </x:c>
      <x:c r="O245" s="15" t="str">
        <x:v>structured_json</x:v>
      </x:c>
      <x:c r="P245" s="15" t="str"/>
      <x:c r="Q245" s="15" t="str"/>
      <x:c r="R245" s="15" t="str">
        <x:v>Addresses the obligations of the state to provide educational access in the prison system, which parallels the appellant's claim.</x:v>
      </x:c>
      <x:c r="S245" s="15" t="str"/>
    </x:row>
    <x:row r="246">
      <x:c r="A246" s="1" t="str">
        <x:v>O0245</x:v>
      </x:c>
      <x:c r="B246" s="1" t="str">
        <x:v>cmmjtnsdx000904l4vhap8xwc</x:v>
      </x:c>
      <x:c r="C246" s="1" t="str">
        <x:v>cmmc45761000204jx6bd5kxqk</x:v>
      </x:c>
      <x:c r="D246" s="1" t="str">
        <x:v>ca-2024-000255-ellis-v-ssj-appellant-skeleton</x:v>
      </x:c>
      <x:c r="E246" s="1" t="str">
        <x:v>real</x:v>
      </x:c>
      <x:c r="F246" s="15" t="str">
        <x:v>R (Fajr Ellis) v Secretary of State for Justice</x:v>
      </x:c>
      <x:c r="G246" s="16" t="n">
        <x:v>46090.98492577546</x:v>
      </x:c>
      <x:c r="H246" s="15" t="str">
        <x:v>case</x:v>
      </x:c>
      <x:c r="I246" s="15" t="str">
        <x:v>case:2015 ewca civ 1187</x:v>
      </x:c>
      <x:c r="J246" s="15" t="str">
        <x:v>Idira, R (On the Application Of) v The Secretary of State for the Home Department (Rev 1)</x:v>
      </x:c>
      <x:c r="K246" s="15" t="str">
        <x:v>[2015] EWCA Civ 1187</x:v>
      </x:c>
      <x:c r="L246" s="15" t="str">
        <x:v>80701211-fe03-4dc0-972a-b2e5467876b9</x:v>
      </x:c>
      <x:c r="M246" s="15" t="str"/>
      <x:c r="N246" s="15" t="str">
        <x:v>issuesForDetermination.issueMatrix[0].sourceCases[0]</x:v>
      </x:c>
      <x:c r="O246" s="15" t="str">
        <x:v>structured_json</x:v>
      </x:c>
      <x:c r="P246" s="15" t="str"/>
      <x:c r="Q246" s="15" t="str"/>
      <x:c r="R246" s="15" t="str">
        <x:v>Addresses issues of educational access under human rights consideration, similar in nature to A2P1.</x:v>
      </x:c>
      <x:c r="S246" s="15" t="str"/>
    </x:row>
    <x:row r="247">
      <x:c r="A247" s="1" t="str">
        <x:v>O0246</x:v>
      </x:c>
      <x:c r="B247" s="1" t="str">
        <x:v>cmmjtnsdx000904l4vhap8xwc</x:v>
      </x:c>
      <x:c r="C247" s="1" t="str">
        <x:v>cmmc45761000204jx6bd5kxqk</x:v>
      </x:c>
      <x:c r="D247" s="1" t="str">
        <x:v>ca-2024-000255-ellis-v-ssj-appellant-skeleton</x:v>
      </x:c>
      <x:c r="E247" s="1" t="str">
        <x:v>real</x:v>
      </x:c>
      <x:c r="F247" s="15" t="str">
        <x:v>R (Fajr Ellis) v Secretary of State for Justice</x:v>
      </x:c>
      <x:c r="G247" s="16" t="n">
        <x:v>46090.98492577546</x:v>
      </x:c>
      <x:c r="H247" s="15" t="str">
        <x:v>case</x:v>
      </x:c>
      <x:c r="I247" s="15" t="str">
        <x:v>case:use of languages in education in belgium</x:v>
      </x:c>
      <x:c r="J247" s="15" t="str">
        <x:v>Use of Languages in Education in Belgium</x:v>
      </x:c>
      <x:c r="K247" s="15" t="str">
        <x:v>N/A</x:v>
      </x:c>
      <x:c r="L247" s="15" t="str">
        <x:v>b15fdd53-0222-49df-98a5-84e25904f9fd</x:v>
      </x:c>
      <x:c r="M247" s="15" t="str"/>
      <x:c r="N247" s="15" t="str">
        <x:v>issuesForDetermination.issueMatrix[1].sourceCases[0]</x:v>
      </x:c>
      <x:c r="O247" s="15" t="str">
        <x:v>structured_json</x:v>
      </x:c>
      <x:c r="P247" s="15" t="str"/>
      <x:c r="Q247" s="15" t="str"/>
      <x:c r="R247" s="15" t="str">
        <x:v>Sheds light on educational standards and rights within detention environments, pertinent to the appellant's argument.</x:v>
      </x:c>
      <x:c r="S247" s="15" t="str"/>
    </x:row>
    <x:row r="248">
      <x:c r="A248" s="1" t="str">
        <x:v>O0247</x:v>
      </x:c>
      <x:c r="B248" s="1" t="str">
        <x:v>cmmls2r93000304jme0bpsul9</x:v>
      </x:c>
      <x:c r="C248" s="1" t="str">
        <x:v>cmmdjkfi7000204jsunevvuvv</x:v>
      </x:c>
      <x:c r="D248" s="1" t="str">
        <x:v>skeleton-args-ca2023004634-299a4a730fe1f43a</x:v>
      </x:c>
      <x:c r="E248" s="1" t="str">
        <x:v>synthetic</x:v>
      </x:c>
      <x:c r="F248" s="15" t="str">
        <x:v>Metropolitan Property Holdings Ltd v Artisan Coffee Co Ltd</x:v>
      </x:c>
      <x:c r="G248" s="16" t="n">
        <x:v>46092.35380873843</x:v>
      </x:c>
      <x:c r="H248" s="15" t="str">
        <x:v>case</x:v>
      </x:c>
      <x:c r="I248" s="15" t="str">
        <x:v>case:2002 ewca civ 605</x:v>
      </x:c>
      <x:c r="J248" s="15" t="str">
        <x:v>[2002] EWCA Civ 605</x:v>
      </x:c>
      <x:c r="K248" s="15" t="str">
        <x:v>[2002] EWCA Civ 605</x:v>
      </x:c>
      <x:c r="L248" s="15" t="str"/>
      <x:c r="M248" s="15" t="str"/>
      <x:c r="N248" s="15" t="str">
        <x:v>legalFramework.precedentCitations[0]</x:v>
      </x:c>
      <x:c r="O248" s="15" t="str">
        <x:v>structured_json</x:v>
      </x:c>
      <x:c r="P248" s="15" t="str">
        <x:v>binding</x:v>
      </x:c>
      <x:c r="Q248" s="15" t="str"/>
      <x:c r="R248" s="15" t="str">
        <x:v>Reasons must be adequate in establishing the court's rationale for decisions.</x:v>
      </x:c>
      <x:c r="S248" s="15" t="str"/>
    </x:row>
    <x:row r="249">
      <x:c r="A249" s="1" t="str">
        <x:v>O0248</x:v>
      </x:c>
      <x:c r="B249" s="1" t="str">
        <x:v>cmmls2r93000304jme0bpsul9</x:v>
      </x:c>
      <x:c r="C249" s="1" t="str">
        <x:v>cmmdjkfi7000204jsunevvuvv</x:v>
      </x:c>
      <x:c r="D249" s="1" t="str">
        <x:v>skeleton-args-ca2023004634-299a4a730fe1f43a</x:v>
      </x:c>
      <x:c r="E249" s="1" t="str">
        <x:v>synthetic</x:v>
      </x:c>
      <x:c r="F249" s="15" t="str">
        <x:v>Metropolitan Property Holdings Ltd v Artisan Coffee Co Ltd</x:v>
      </x:c>
      <x:c r="G249" s="16" t="n">
        <x:v>46092.35380873843</x:v>
      </x:c>
      <x:c r="H249" s="15" t="str">
        <x:v>legislation</x:v>
      </x:c>
      <x:c r="I249" s="15" t="str">
        <x:v>legislation:landlord and tenant act 1954 part ii</x:v>
      </x:c>
      <x:c r="J249" s="15" t="str">
        <x:v>Landlord and Tenant Act 1954</x:v>
      </x:c>
      <x:c r="K249" s="15" t="str">
        <x:v>Landlord and Tenant Act 1954 Part II</x:v>
      </x:c>
      <x:c r="L249" s="15" t="str"/>
      <x:c r="M249" s="15" t="str">
        <x:v>Part II</x:v>
      </x:c>
      <x:c r="N249" s="15" t="str">
        <x:v>legalFramework.statutoryProvisions[0]</x:v>
      </x:c>
      <x:c r="O249" s="15" t="str">
        <x:v>structured_json</x:v>
      </x:c>
      <x:c r="P249" s="15" t="str"/>
      <x:c r="Q249" s="15" t="str"/>
      <x:c r="R249" s="15" t="str">
        <x:v>Governs the rights of landlords and tenants regarding commercial leases, including forfeiture.</x:v>
      </x:c>
      <x:c r="S249" s="15" t="str"/>
    </x:row>
    <x:row r="250">
      <x:c r="A250" s="1" t="str">
        <x:v>O0249</x:v>
      </x:c>
      <x:c r="B250" s="1" t="str">
        <x:v>cmmls2r93000304jme0bpsul9</x:v>
      </x:c>
      <x:c r="C250" s="1" t="str">
        <x:v>cmmdjkfi7000204jsunevvuvv</x:v>
      </x:c>
      <x:c r="D250" s="1" t="str">
        <x:v>skeleton-args-ca2023004634-299a4a730fe1f43a</x:v>
      </x:c>
      <x:c r="E250" s="1" t="str">
        <x:v>synthetic</x:v>
      </x:c>
      <x:c r="F250" s="15" t="str">
        <x:v>Metropolitan Property Holdings Ltd v Artisan Coffee Co Ltd</x:v>
      </x:c>
      <x:c r="G250" s="16" t="n">
        <x:v>46092.35380873843</x:v>
      </x:c>
      <x:c r="H250" s="15" t="str">
        <x:v>legislation</x:v>
      </x:c>
      <x:c r="I250" s="15" t="str">
        <x:v>legislation:senior courts act 1981 s 35a</x:v>
      </x:c>
      <x:c r="J250" s="15" t="str">
        <x:v>Senior Courts Act 1981, s.35A</x:v>
      </x:c>
      <x:c r="K250" s="15" t="str">
        <x:v>Senior Courts Act 1981, s.35A</x:v>
      </x:c>
      <x:c r="L250" s="15" t="str"/>
      <x:c r="M250" s="15" t="str"/>
      <x:c r="N250" s="15" t="str">
        <x:v>decisionAndDisposition.interest.statutoryBasis</x:v>
      </x:c>
      <x:c r="O250" s="15" t="str">
        <x:v>structured_json</x:v>
      </x:c>
      <x:c r="P250" s="15" t="str"/>
      <x:c r="Q250" s="15" t="str"/>
      <x:c r="R250" s="15" t="str"/>
      <x:c r="S250" s="15" t="str"/>
    </x:row>
    <x:row r="251">
      <x:c r="A251" s="1" t="str">
        <x:v>O0250</x:v>
      </x:c>
      <x:c r="B251" s="1" t="str">
        <x:v>cmmls2r93000304jme0bpsul9</x:v>
      </x:c>
      <x:c r="C251" s="1" t="str">
        <x:v>cmmdjkfi7000204jsunevvuvv</x:v>
      </x:c>
      <x:c r="D251" s="1" t="str">
        <x:v>skeleton-args-ca2023004634-299a4a730fe1f43a</x:v>
      </x:c>
      <x:c r="E251" s="1" t="str">
        <x:v>synthetic</x:v>
      </x:c>
      <x:c r="F251" s="15" t="str">
        <x:v>Metropolitan Property Holdings Ltd v Artisan Coffee Co Ltd</x:v>
      </x:c>
      <x:c r="G251" s="16" t="n">
        <x:v>46092.35380873843</x:v>
      </x:c>
      <x:c r="H251" s="15" t="str">
        <x:v>legislation</x:v>
      </x:c>
      <x:c r="I251" s="15" t="str">
        <x:v>legislation:senior courts act 1981 s 35a</x:v>
      </x:c>
      <x:c r="J251" s="15" t="str">
        <x:v>Senior Courts Act 1981, s.35A</x:v>
      </x:c>
      <x:c r="K251" s="15" t="str">
        <x:v>Senior Courts Act 1981, s.35A</x:v>
      </x:c>
      <x:c r="L251" s="15" t="str"/>
      <x:c r="M251" s="15" t="str"/>
      <x:c r="N251" s="15" t="str">
        <x:v>legalFramework.legalTestSummaries[0].sourceAuthority</x:v>
      </x:c>
      <x:c r="O251" s="15" t="str">
        <x:v>structured_json</x:v>
      </x:c>
      <x:c r="P251" s="15" t="str"/>
      <x:c r="Q251" s="15" t="str"/>
      <x:c r="R251" s="15" t="str"/>
      <x:c r="S251" s="15" t="str"/>
    </x:row>
    <x:row r="252">
      <x:c r="A252" s="1" t="str">
        <x:v>O0251</x:v>
      </x:c>
      <x:c r="B252" s="1" t="str">
        <x:v>cmmls2r93000304jme0bpsul9</x:v>
      </x:c>
      <x:c r="C252" s="1" t="str">
        <x:v>cmmdjkfi7000204jsunevvuvv</x:v>
      </x:c>
      <x:c r="D252" s="1" t="str">
        <x:v>skeleton-args-ca2023004634-299a4a730fe1f43a</x:v>
      </x:c>
      <x:c r="E252" s="1" t="str">
        <x:v>synthetic</x:v>
      </x:c>
      <x:c r="F252" s="15" t="str">
        <x:v>Metropolitan Property Holdings Ltd v Artisan Coffee Co Ltd</x:v>
      </x:c>
      <x:c r="G252" s="16" t="n">
        <x:v>46092.35380873843</x:v>
      </x:c>
      <x:c r="H252" s="15" t="str">
        <x:v>legislation</x:v>
      </x:c>
      <x:c r="I252" s="15" t="str">
        <x:v>legislation:landlord and tenant act 1954 part ii</x:v>
      </x:c>
      <x:c r="J252" s="15" t="str">
        <x:v>Landlord and Tenant Act 1954, Part II</x:v>
      </x:c>
      <x:c r="K252" s="15" t="str">
        <x:v>Landlord and Tenant Act 1954, Part II</x:v>
      </x:c>
      <x:c r="L252" s="15" t="str"/>
      <x:c r="M252" s="15" t="str"/>
      <x:c r="N252" s="15" t="str">
        <x:v>legalFramework.legalTestSummaries[1].sourceAuthority</x:v>
      </x:c>
      <x:c r="O252" s="15" t="str">
        <x:v>structured_json</x:v>
      </x:c>
      <x:c r="P252" s="15" t="str"/>
      <x:c r="Q252" s="15" t="str"/>
      <x:c r="R252" s="15" t="str"/>
      <x:c r="S252" s="15" t="str"/>
    </x:row>
    <x:row r="253">
      <x:c r="A253" s="1" t="str">
        <x:v>O0252</x:v>
      </x:c>
      <x:c r="B253" s="1" t="str">
        <x:v>cmmls2r93000304jme0bpsul9</x:v>
      </x:c>
      <x:c r="C253" s="1" t="str">
        <x:v>cmmdjkfi7000204jsunevvuvv</x:v>
      </x:c>
      <x:c r="D253" s="1" t="str">
        <x:v>skeleton-args-ca2023004634-299a4a730fe1f43a</x:v>
      </x:c>
      <x:c r="E253" s="1" t="str">
        <x:v>synthetic</x:v>
      </x:c>
      <x:c r="F253" s="15" t="str">
        <x:v>Metropolitan Property Holdings Ltd v Artisan Coffee Co Ltd</x:v>
      </x:c>
      <x:c r="G253" s="16" t="n">
        <x:v>46092.35380873843</x:v>
      </x:c>
      <x:c r="H253" s="15" t="str">
        <x:v>case</x:v>
      </x:c>
      <x:c r="I253" s="15" t="str">
        <x:v>case:topland portfolio no 1 ltd v smiths news trading ltd</x:v>
      </x:c>
      <x:c r="J253" s="15" t="str">
        <x:v>Topland Portfolio No 1 Ltd v Smiths News Trading Ltd</x:v>
      </x:c>
      <x:c r="K253" s="15" t="str">
        <x:v>N/A</x:v>
      </x:c>
      <x:c r="L253" s="15" t="str">
        <x:v>b8f5594c-ac32-4dd3-804a-fd0c938c4401</x:v>
      </x:c>
      <x:c r="M253" s="15" t="str"/>
      <x:c r="N253" s="15" t="str">
        <x:v>factualFindings.chronology[1].sourceCases[0]</x:v>
      </x:c>
      <x:c r="O253" s="15" t="str">
        <x:v>structured_json</x:v>
      </x:c>
      <x:c r="P253" s="15" t="str"/>
      <x:c r="Q253" s="15" t="str">
        <x:v>applied_differently</x:v>
      </x:c>
      <x:c r="R253" s="15" t="str">
        <x:v>Examines the implications of a Section 146 notice in landlord-tenant disputes.</x:v>
      </x:c>
      <x:c r="S253" s="15" t="str"/>
    </x:row>
    <x:row r="254">
      <x:c r="A254" s="1" t="str">
        <x:v>O0253</x:v>
      </x:c>
      <x:c r="B254" s="1" t="str">
        <x:v>cmmls2r93000304jme0bpsul9</x:v>
      </x:c>
      <x:c r="C254" s="1" t="str">
        <x:v>cmmdjkfi7000204jsunevvuvv</x:v>
      </x:c>
      <x:c r="D254" s="1" t="str">
        <x:v>skeleton-args-ca2023004634-299a4a730fe1f43a</x:v>
      </x:c>
      <x:c r="E254" s="1" t="str">
        <x:v>synthetic</x:v>
      </x:c>
      <x:c r="F254" s="15" t="str">
        <x:v>Metropolitan Property Holdings Ltd v Artisan Coffee Co Ltd</x:v>
      </x:c>
      <x:c r="G254" s="16" t="n">
        <x:v>46092.35380873843</x:v>
      </x:c>
      <x:c r="H254" s="15" t="str">
        <x:v>case</x:v>
      </x:c>
      <x:c r="I254" s="15" t="str">
        <x:v>case:freifeld &amp; anor v west kensington court ltd</x:v>
      </x:c>
      <x:c r="J254" s="15" t="str">
        <x:v>Freifeld &amp; Anor v West Kensington Court Ltd</x:v>
      </x:c>
      <x:c r="K254" s="15" t="str">
        <x:v>N/A</x:v>
      </x:c>
      <x:c r="L254" s="15" t="str">
        <x:v>18a014eb-e365-4420-b07a-dfdd42f053ec</x:v>
      </x:c>
      <x:c r="M254" s="15" t="str"/>
      <x:c r="N254" s="15" t="str">
        <x:v>factualFindings.contestedFacts[0].sourceCases[0]</x:v>
      </x:c>
      <x:c r="O254" s="15" t="str">
        <x:v>structured_json</x:v>
      </x:c>
      <x:c r="P254" s="15" t="str"/>
      <x:c r="Q254" s="15" t="str">
        <x:v>distinguished</x:v>
      </x:c>
      <x:c r="R254" s="15" t="str">
        <x:v>Illustrates that acceptance of late payments does not imply a waiver without express agreement.</x:v>
      </x:c>
      <x:c r="S254" s="15" t="str"/>
    </x:row>
    <x:row r="255">
      <x:c r="A255" s="1" t="str">
        <x:v>O0254</x:v>
      </x:c>
      <x:c r="B255" s="1" t="str">
        <x:v>cmmls2r93000304jme0bpsul9</x:v>
      </x:c>
      <x:c r="C255" s="1" t="str">
        <x:v>cmmdjkfi7000204jsunevvuvv</x:v>
      </x:c>
      <x:c r="D255" s="1" t="str">
        <x:v>skeleton-args-ca2023004634-299a4a730fe1f43a</x:v>
      </x:c>
      <x:c r="E255" s="1" t="str">
        <x:v>synthetic</x:v>
      </x:c>
      <x:c r="F255" s="15" t="str">
        <x:v>Metropolitan Property Holdings Ltd v Artisan Coffee Co Ltd</x:v>
      </x:c>
      <x:c r="G255" s="16" t="n">
        <x:v>46092.35380873843</x:v>
      </x:c>
      <x:c r="H255" s="15" t="str">
        <x:v>case</x:v>
      </x:c>
      <x:c r="I255" s="15" t="str">
        <x:v>case:bank of new york mellon international limited v cine uk limited</x:v>
      </x:c>
      <x:c r="J255" s="15" t="str">
        <x:v>Bank of New York Mellon (International) Limited v Cine-UK Limited</x:v>
      </x:c>
      <x:c r="K255" s="15" t="str">
        <x:v>N/A</x:v>
      </x:c>
      <x:c r="L255" s="15" t="str">
        <x:v>00167e1d-845c-4a1d-b17c-1c91c10b2c37</x:v>
      </x:c>
      <x:c r="M255" s="15" t="str"/>
      <x:c r="N255" s="15" t="str">
        <x:v>factualFindings.contestedFacts[1].sourceCases[0]</x:v>
      </x:c>
      <x:c r="O255" s="15" t="str">
        <x:v>structured_json</x:v>
      </x:c>
      <x:c r="P255" s="15" t="str"/>
      <x:c r="Q255" s="15" t="str">
        <x:v>applied_differently</x:v>
      </x:c>
      <x:c r="R255" s="15" t="str">
        <x:v>Reinforces that unauthorized alterations without landlord consent constitute a breach justifying forfeiture regardless of improvement claims.</x:v>
      </x:c>
      <x:c r="S255" s="15" t="str"/>
    </x:row>
    <x:row r="256">
      <x:c r="A256" s="1" t="str">
        <x:v>O0255</x:v>
      </x:c>
      <x:c r="B256" s="1" t="str">
        <x:v>cmmls2r93000304jme0bpsul9</x:v>
      </x:c>
      <x:c r="C256" s="1" t="str">
        <x:v>cmmdjkfi7000204jsunevvuvv</x:v>
      </x:c>
      <x:c r="D256" s="1" t="str">
        <x:v>skeleton-args-ca2023004634-299a4a730fe1f43a</x:v>
      </x:c>
      <x:c r="E256" s="1" t="str">
        <x:v>synthetic</x:v>
      </x:c>
      <x:c r="F256" s="15" t="str">
        <x:v>Metropolitan Property Holdings Ltd v Artisan Coffee Co Ltd</x:v>
      </x:c>
      <x:c r="G256" s="16" t="n">
        <x:v>46092.35380873843</x:v>
      </x:c>
      <x:c r="H256" s="15" t="str">
        <x:v>case</x:v>
      </x:c>
      <x:c r="I256" s="15" t="str">
        <x:v>case:bishop v chhokar</x:v>
      </x:c>
      <x:c r="J256" s="15" t="str">
        <x:v>Bishop v Chhokar</x:v>
      </x:c>
      <x:c r="K256" s="15" t="str">
        <x:v>N/A</x:v>
      </x:c>
      <x:c r="L256" s="15" t="str">
        <x:v>945cd74c-6126-4ef5-ae71-7c0099a28f2b</x:v>
      </x:c>
      <x:c r="M256" s="15" t="str"/>
      <x:c r="N256" s="15" t="str">
        <x:v>reasoningStructure[0].sourceCases[0]</x:v>
      </x:c>
      <x:c r="O256" s="15" t="str">
        <x:v>structured_json</x:v>
      </x:c>
      <x:c r="P256" s="15" t="str"/>
      <x:c r="Q256" s="15" t="str">
        <x:v>applied_differently</x:v>
      </x:c>
      <x:c r="R256" s="15" t="str">
        <x:v>Reinforces that persistent non-payment is a sufficient ground for lease forfeiture under landlord-tenant law.</x:v>
      </x:c>
      <x:c r="S256" s="15" t="str"/>
    </x:row>
    <x:row r="257">
      <x:c r="A257" s="1" t="str">
        <x:v>O0256</x:v>
      </x:c>
      <x:c r="B257" s="1" t="str">
        <x:v>cmmls2r93000304jme0bpsul9</x:v>
      </x:c>
      <x:c r="C257" s="1" t="str">
        <x:v>cmmdjkfi7000204jsunevvuvv</x:v>
      </x:c>
      <x:c r="D257" s="1" t="str">
        <x:v>skeleton-args-ca2023004634-299a4a730fe1f43a</x:v>
      </x:c>
      <x:c r="E257" s="1" t="str">
        <x:v>synthetic</x:v>
      </x:c>
      <x:c r="F257" s="15" t="str">
        <x:v>Metropolitan Property Holdings Ltd v Artisan Coffee Co Ltd</x:v>
      </x:c>
      <x:c r="G257" s="16" t="n">
        <x:v>46092.35380873843</x:v>
      </x:c>
      <x:c r="H257" s="15" t="str">
        <x:v>case</x:v>
      </x:c>
      <x:c r="I257" s="15" t="str">
        <x:v>case:hough v greathall ltd</x:v>
      </x:c>
      <x:c r="J257" s="15" t="str">
        <x:v>Hough v Greathall Ltd</x:v>
      </x:c>
      <x:c r="K257" s="15" t="str">
        <x:v>N/A</x:v>
      </x:c>
      <x:c r="L257" s="15" t="str">
        <x:v>093c1223-0ae8-4284-9849-0aa54158efc1</x:v>
      </x:c>
      <x:c r="M257" s="15" t="str"/>
      <x:c r="N257" s="15" t="str">
        <x:v>reasoningStructure[1].sourceCases[0]</x:v>
      </x:c>
      <x:c r="O257" s="15" t="str">
        <x:v>structured_json</x:v>
      </x:c>
      <x:c r="P257" s="15" t="str"/>
      <x:c r="Q257" s="15" t="str">
        <x:v>applied_differently</x:v>
      </x:c>
      <x:c r="R257" s="15" t="str">
        <x:v>Addresses the impact of unauthorized alterations in forfeiture claims, supporting the claimant's right.</x:v>
      </x:c>
      <x:c r="S257" s="15" t="str"/>
    </x:row>
    <x:row r="258">
      <x:c r="A258" s="1" t="str">
        <x:v>O0257</x:v>
      </x:c>
      <x:c r="B258" s="1" t="str">
        <x:v>cmmls2r93000304jme0bpsul9</x:v>
      </x:c>
      <x:c r="C258" s="1" t="str">
        <x:v>cmmdjkfi7000204jsunevvuvv</x:v>
      </x:c>
      <x:c r="D258" s="1" t="str">
        <x:v>skeleton-args-ca2023004634-299a4a730fe1f43a</x:v>
      </x:c>
      <x:c r="E258" s="1" t="str">
        <x:v>synthetic</x:v>
      </x:c>
      <x:c r="F258" s="15" t="str">
        <x:v>Metropolitan Property Holdings Ltd v Artisan Coffee Co Ltd</x:v>
      </x:c>
      <x:c r="G258" s="16" t="n">
        <x:v>46092.35380873843</x:v>
      </x:c>
      <x:c r="H258" s="15" t="str">
        <x:v>case</x:v>
      </x:c>
      <x:c r="I258" s="15" t="str">
        <x:v>case:nizami v dezyanian</x:v>
      </x:c>
      <x:c r="J258" s="15" t="str">
        <x:v>Nizami v Dezyanian</x:v>
      </x:c>
      <x:c r="K258" s="15" t="str">
        <x:v>N/A</x:v>
      </x:c>
      <x:c r="L258" s="15" t="str">
        <x:v>39df6304-6d5c-4744-8f1a-adcd4015ef46</x:v>
      </x:c>
      <x:c r="M258" s="15" t="str"/>
      <x:c r="N258" s="15" t="str">
        <x:v>issuesForDetermination.issueMatrix[0].sourceCases[0]</x:v>
      </x:c>
      <x:c r="O258" s="15" t="str">
        <x:v>structured_json</x:v>
      </x:c>
      <x:c r="P258" s="15" t="str"/>
      <x:c r="Q258" s="15" t="str">
        <x:v>applied_differently</x:v>
      </x:c>
      <x:c r="R258" s="15" t="str">
        <x:v>Addresses issues of consistent non-compliance in commercial leases where forfeiture was sought.</x:v>
      </x:c>
      <x:c r="S258" s="15" t="str"/>
    </x:row>
    <x:row r="259">
      <x:c r="A259" s="1" t="str">
        <x:v>O0258</x:v>
      </x:c>
      <x:c r="B259" s="1" t="str">
        <x:v>cmmls2r93000304jme0bpsul9</x:v>
      </x:c>
      <x:c r="C259" s="1" t="str">
        <x:v>cmmdjkfi7000204jsunevvuvv</x:v>
      </x:c>
      <x:c r="D259" s="1" t="str">
        <x:v>skeleton-args-ca2023004634-299a4a730fe1f43a</x:v>
      </x:c>
      <x:c r="E259" s="1" t="str">
        <x:v>synthetic</x:v>
      </x:c>
      <x:c r="F259" s="15" t="str">
        <x:v>Metropolitan Property Holdings Ltd v Artisan Coffee Co Ltd</x:v>
      </x:c>
      <x:c r="G259" s="16" t="n">
        <x:v>46092.35380873843</x:v>
      </x:c>
      <x:c r="H259" s="15" t="str">
        <x:v>case</x:v>
      </x:c>
      <x:c r="I259" s="15" t="str">
        <x:v>case:youssefi v mussellwhite</x:v>
      </x:c>
      <x:c r="J259" s="15" t="str">
        <x:v>Youssefi v Mussellwhite</x:v>
      </x:c>
      <x:c r="K259" s="15" t="str">
        <x:v>N/A</x:v>
      </x:c>
      <x:c r="L259" s="15" t="str">
        <x:v>263eee40-14b4-40aa-8b6d-47da6b0fa9b3</x:v>
      </x:c>
      <x:c r="M259" s="15" t="str"/>
      <x:c r="N259" s="15" t="str">
        <x:v>issuesForDetermination.issueMatrix[1].sourceCases[0]</x:v>
      </x:c>
      <x:c r="O259" s="15" t="str">
        <x:v>structured_json</x:v>
      </x:c>
      <x:c r="P259" s="15" t="str"/>
      <x:c r="Q259" s="15" t="str">
        <x:v>same_proposition</x:v>
      </x:c>
      <x:c r="R259" s="15" t="str">
        <x:v>Discusses the impact of unauthorized alterations in similar landlord-tenant disputes.</x:v>
      </x:c>
      <x:c r="S259" s="15" t="str"/>
    </x:row>
    <x:row r="260">
      <x:c r="A260" s="1" t="str">
        <x:v>O0259</x:v>
      </x:c>
      <x:c r="B260" s="1" t="str">
        <x:v>cmmmudwct000304kzc6d15a3r</x:v>
      </x:c>
      <x:c r="C260" s="1" t="str">
        <x:v>cmmmua3z1000204l47czkacss</x:v>
      </x:c>
      <x:c r="D260" s="1" t="str">
        <x:v>skeleton-args-ca2021006069-a7200646d94c4a22</x:v>
      </x:c>
      <x:c r="E260" s="1" t="str">
        <x:v>synthetic</x:v>
      </x:c>
      <x:c r="F260" s="15" t="str">
        <x:v>Sunrise Hospitality Group Ltd v Grant Morrison &amp; Co LLP</x:v>
      </x:c>
      <x:c r="G260" s="16" t="n">
        <x:v>46093.09854530093</x:v>
      </x:c>
      <x:c r="H260" s="15" t="str">
        <x:v>case</x:v>
      </x:c>
      <x:c r="I260" s="15" t="str">
        <x:v>case:1990 2 ac 605</x:v>
      </x:c>
      <x:c r="J260" s="15" t="str">
        <x:v>Caparo Industries Plc v Dickman [1990] 2 AC 605</x:v>
      </x:c>
      <x:c r="K260" s="15" t="str">
        <x:v>Caparo Industries Plc v Dickman [1990] 2 AC 605</x:v>
      </x:c>
      <x:c r="L260" s="15" t="str"/>
      <x:c r="M260" s="15" t="str"/>
      <x:c r="N260" s="15" t="str">
        <x:v>legalFramework.precedentCitations[0]</x:v>
      </x:c>
      <x:c r="O260" s="15" t="str">
        <x:v>structured_json</x:v>
      </x:c>
      <x:c r="P260" s="15" t="str">
        <x:v>binding</x:v>
      </x:c>
      <x:c r="Q260" s="15" t="str"/>
      <x:c r="R260" s="15" t="str">
        <x:v>Establishes the three-part test for duty of care in negligent misstatement cases.</x:v>
      </x:c>
      <x:c r="S260" s="15" t="str"/>
    </x:row>
    <x:row r="261">
      <x:c r="A261" s="1" t="str">
        <x:v>O0260</x:v>
      </x:c>
      <x:c r="B261" s="1" t="str">
        <x:v>cmmmudwct000304kzc6d15a3r</x:v>
      </x:c>
      <x:c r="C261" s="1" t="str">
        <x:v>cmmmua3z1000204l47czkacss</x:v>
      </x:c>
      <x:c r="D261" s="1" t="str">
        <x:v>skeleton-args-ca2021006069-a7200646d94c4a22</x:v>
      </x:c>
      <x:c r="E261" s="1" t="str">
        <x:v>synthetic</x:v>
      </x:c>
      <x:c r="F261" s="15" t="str">
        <x:v>Sunrise Hospitality Group Ltd v Grant Morrison &amp; Co LLP</x:v>
      </x:c>
      <x:c r="G261" s="16" t="n">
        <x:v>46093.09854530093</x:v>
      </x:c>
      <x:c r="H261" s="15" t="str">
        <x:v>case</x:v>
      </x:c>
      <x:c r="I261" s="15" t="str">
        <x:v>case:2009 ukhl 39</x:v>
      </x:c>
      <x:c r="J261" s="15" t="str">
        <x:v>Moore Stephens (a firm) v Stone Rolls Ltd [2009] UKHL 39</x:v>
      </x:c>
      <x:c r="K261" s="15" t="str">
        <x:v>Moore Stephens (a firm) v Stone Rolls Ltd [2009] UKHL 39</x:v>
      </x:c>
      <x:c r="L261" s="15" t="str"/>
      <x:c r="M261" s="15" t="str"/>
      <x:c r="N261" s="15" t="str">
        <x:v>legalFramework.precedentCitations[1]</x:v>
      </x:c>
      <x:c r="O261" s="15" t="str">
        <x:v>structured_json</x:v>
      </x:c>
      <x:c r="P261" s="15" t="str">
        <x:v>binding</x:v>
      </x:c>
      <x:c r="Q261" s="15" t="str"/>
      <x:c r="R261" s="15" t="str">
        <x:v>Sets the standards relating to auditor responsibility for providing accurate information.</x:v>
      </x:c>
      <x:c r="S261" s="15" t="str"/>
    </x:row>
    <x:row r="262">
      <x:c r="A262" s="1" t="str">
        <x:v>O0261</x:v>
      </x:c>
      <x:c r="B262" s="1" t="str">
        <x:v>cmmmudwct000304kzc6d15a3r</x:v>
      </x:c>
      <x:c r="C262" s="1" t="str">
        <x:v>cmmmua3z1000204l47czkacss</x:v>
      </x:c>
      <x:c r="D262" s="1" t="str">
        <x:v>skeleton-args-ca2021006069-a7200646d94c4a22</x:v>
      </x:c>
      <x:c r="E262" s="1" t="str">
        <x:v>synthetic</x:v>
      </x:c>
      <x:c r="F262" s="15" t="str">
        <x:v>Sunrise Hospitality Group Ltd v Grant Morrison &amp; Co LLP</x:v>
      </x:c>
      <x:c r="G262" s="16" t="n">
        <x:v>46093.09854530093</x:v>
      </x:c>
      <x:c r="H262" s="15" t="str">
        <x:v>legislation</x:v>
      </x:c>
      <x:c r="I262" s="15" t="str">
        <x:v>legislation:senior courts act 1981 s 35a</x:v>
      </x:c>
      <x:c r="J262" s="15" t="str">
        <x:v>Senior Courts Act 1981</x:v>
      </x:c>
      <x:c r="K262" s="15" t="str">
        <x:v>Senior Courts Act 1981 s.35A</x:v>
      </x:c>
      <x:c r="L262" s="15" t="str"/>
      <x:c r="M262" s="15" t="str">
        <x:v>s.35A</x:v>
      </x:c>
      <x:c r="N262" s="15" t="str">
        <x:v>legalFramework.statutoryProvisions[0]</x:v>
      </x:c>
      <x:c r="O262" s="15" t="str">
        <x:v>structured_json</x:v>
      </x:c>
      <x:c r="P262" s="15" t="str"/>
      <x:c r="Q262" s="15" t="str"/>
      <x:c r="R262" s="15" t="str">
        <x:v>Provides statutory provision for interest on sums recoverable in respect of debts and damages, impacting potential calculations here.</x:v>
      </x:c>
      <x:c r="S262" s="15" t="str"/>
    </x:row>
    <x:row r="263">
      <x:c r="A263" s="1" t="str">
        <x:v>O0262</x:v>
      </x:c>
      <x:c r="B263" s="1" t="str">
        <x:v>cmmmudwct000304kzc6d15a3r</x:v>
      </x:c>
      <x:c r="C263" s="1" t="str">
        <x:v>cmmmua3z1000204l47czkacss</x:v>
      </x:c>
      <x:c r="D263" s="1" t="str">
        <x:v>skeleton-args-ca2021006069-a7200646d94c4a22</x:v>
      </x:c>
      <x:c r="E263" s="1" t="str">
        <x:v>synthetic</x:v>
      </x:c>
      <x:c r="F263" s="15" t="str">
        <x:v>Sunrise Hospitality Group Ltd v Grant Morrison &amp; Co LLP</x:v>
      </x:c>
      <x:c r="G263" s="16" t="n">
        <x:v>46093.09854530093</x:v>
      </x:c>
      <x:c r="H263" s="15" t="str">
        <x:v>legislation</x:v>
      </x:c>
      <x:c r="I263" s="15" t="str">
        <x:v>legislation:limitation act 1980 time limits for bringing claims</x:v>
      </x:c>
      <x:c r="J263" s="15" t="str">
        <x:v>Limitation Act 1980</x:v>
      </x:c>
      <x:c r="K263" s="15" t="str">
        <x:v>Limitation Act 1980 Time Limits for Bringing Claims</x:v>
      </x:c>
      <x:c r="L263" s="15" t="str"/>
      <x:c r="M263" s="15" t="str">
        <x:v>Time Limits for Bringing Claims</x:v>
      </x:c>
      <x:c r="N263" s="15" t="str">
        <x:v>legalFramework.statutoryProvisions[1]</x:v>
      </x:c>
      <x:c r="O263" s="15" t="str">
        <x:v>structured_json</x:v>
      </x:c>
      <x:c r="P263" s="15" t="str"/>
      <x:c r="Q263" s="15" t="str"/>
      <x:c r="R263" s="15" t="str">
        <x:v>Determines the period in which the Appellant was required to bring forth their claims about professional negligence.</x:v>
      </x:c>
      <x:c r="S263" s="15" t="str"/>
    </x:row>
    <x:row r="264">
      <x:c r="A264" s="1" t="str">
        <x:v>O0263</x:v>
      </x:c>
      <x:c r="B264" s="1" t="str">
        <x:v>cmmmudwct000304kzc6d15a3r</x:v>
      </x:c>
      <x:c r="C264" s="1" t="str">
        <x:v>cmmmua3z1000204l47czkacss</x:v>
      </x:c>
      <x:c r="D264" s="1" t="str">
        <x:v>skeleton-args-ca2021006069-a7200646d94c4a22</x:v>
      </x:c>
      <x:c r="E264" s="1" t="str">
        <x:v>synthetic</x:v>
      </x:c>
      <x:c r="F264" s="15" t="str">
        <x:v>Sunrise Hospitality Group Ltd v Grant Morrison &amp; Co LLP</x:v>
      </x:c>
      <x:c r="G264" s="16" t="n">
        <x:v>46093.09854530093</x:v>
      </x:c>
      <x:c r="H264" s="15" t="str">
        <x:v>legislation</x:v>
      </x:c>
      <x:c r="I264" s="15" t="str">
        <x:v>legislation:senior courts act 1981 s 35a</x:v>
      </x:c>
      <x:c r="J264" s="15" t="str">
        <x:v>Senior Courts Act 1981, s.35A</x:v>
      </x:c>
      <x:c r="K264" s="15" t="str">
        <x:v>Senior Courts Act 1981, s.35A</x:v>
      </x:c>
      <x:c r="L264" s="15" t="str"/>
      <x:c r="M264" s="15" t="str"/>
      <x:c r="N264" s="15" t="str">
        <x:v>decisionAndDisposition.interest.statutoryBasis</x:v>
      </x:c>
      <x:c r="O264" s="15" t="str">
        <x:v>structured_json</x:v>
      </x:c>
      <x:c r="P264" s="15" t="str"/>
      <x:c r="Q264" s="15" t="str"/>
      <x:c r="R264" s="15" t="str"/>
      <x:c r="S264" s="15" t="str"/>
    </x:row>
    <x:row r="265">
      <x:c r="A265" s="1" t="str">
        <x:v>O0264</x:v>
      </x:c>
      <x:c r="B265" s="1" t="str">
        <x:v>cmmmudwct000304kzc6d15a3r</x:v>
      </x:c>
      <x:c r="C265" s="1" t="str">
        <x:v>cmmmua3z1000204l47czkacss</x:v>
      </x:c>
      <x:c r="D265" s="1" t="str">
        <x:v>skeleton-args-ca2021006069-a7200646d94c4a22</x:v>
      </x:c>
      <x:c r="E265" s="1" t="str">
        <x:v>synthetic</x:v>
      </x:c>
      <x:c r="F265" s="15" t="str">
        <x:v>Sunrise Hospitality Group Ltd v Grant Morrison &amp; Co LLP</x:v>
      </x:c>
      <x:c r="G265" s="16" t="n">
        <x:v>46093.09854530093</x:v>
      </x:c>
      <x:c r="H265" s="15" t="str">
        <x:v>case</x:v>
      </x:c>
      <x:c r="I265" s="15" t="str">
        <x:v>case:caparo industries plc v dickman</x:v>
      </x:c>
      <x:c r="J265" s="15" t="str">
        <x:v>Caparo Industries Plc v Dickman</x:v>
      </x:c>
      <x:c r="K265" s="15" t="str">
        <x:v>Caparo Industries Plc v Dickman</x:v>
      </x:c>
      <x:c r="L265" s="15" t="str"/>
      <x:c r="M265" s="15" t="str"/>
      <x:c r="N265" s="15" t="str">
        <x:v>legalFramework.legalTestSummaries[0].sourceAuthority</x:v>
      </x:c>
      <x:c r="O265" s="15" t="str">
        <x:v>structured_json</x:v>
      </x:c>
      <x:c r="P265" s="15" t="str"/>
      <x:c r="Q265" s="15" t="str"/>
      <x:c r="R265" s="15" t="str"/>
      <x:c r="S265" s="15" t="str"/>
    </x:row>
    <x:row r="266">
      <x:c r="A266" s="1" t="str">
        <x:v>O0265</x:v>
      </x:c>
      <x:c r="B266" s="1" t="str">
        <x:v>cmmmudwct000304kzc6d15a3r</x:v>
      </x:c>
      <x:c r="C266" s="1" t="str">
        <x:v>cmmmua3z1000204l47czkacss</x:v>
      </x:c>
      <x:c r="D266" s="1" t="str">
        <x:v>skeleton-args-ca2021006069-a7200646d94c4a22</x:v>
      </x:c>
      <x:c r="E266" s="1" t="str">
        <x:v>synthetic</x:v>
      </x:c>
      <x:c r="F266" s="15" t="str">
        <x:v>Sunrise Hospitality Group Ltd v Grant Morrison &amp; Co LLP</x:v>
      </x:c>
      <x:c r="G266" s="16" t="n">
        <x:v>46093.09854530093</x:v>
      </x:c>
      <x:c r="H266" s="15" t="str">
        <x:v>case</x:v>
      </x:c>
      <x:c r="I266" s="15" t="str">
        <x:v>case:2023 ewca civ 551</x:v>
      </x:c>
      <x:c r="J266" s="15" t="str">
        <x:v>Secretary of State for the Home Department v Cox &amp; Ors</x:v>
      </x:c>
      <x:c r="K266" s="15" t="str">
        <x:v>[2023] EWCA Civ 551</x:v>
      </x:c>
      <x:c r="L266" s="15" t="str">
        <x:v>6e8e988c-074c-4ab1-9e37-5c84673b441b</x:v>
      </x:c>
      <x:c r="M266" s="15" t="str"/>
      <x:c r="N266" s="15" t="str">
        <x:v>factualFindings.chronology[1].sourceCases[0]</x:v>
      </x:c>
      <x:c r="O266" s="15" t="str">
        <x:v>structured_json</x:v>
      </x:c>
      <x:c r="P266" s="15" t="str"/>
      <x:c r="Q266" s="15" t="str">
        <x:v>applied_differently</x:v>
      </x:c>
      <x:c r="R266" s="15" t="str">
        <x:v>Highlights the importance of accuracy in reports and the implications of misrepresentations in professional duties.</x:v>
      </x:c>
      <x:c r="S266" s="15" t="str"/>
    </x:row>
    <x:row r="267">
      <x:c r="A267" s="1" t="str">
        <x:v>O0266</x:v>
      </x:c>
      <x:c r="B267" s="1" t="str">
        <x:v>cmmmudwct000304kzc6d15a3r</x:v>
      </x:c>
      <x:c r="C267" s="1" t="str">
        <x:v>cmmmua3z1000204l47czkacss</x:v>
      </x:c>
      <x:c r="D267" s="1" t="str">
        <x:v>skeleton-args-ca2021006069-a7200646d94c4a22</x:v>
      </x:c>
      <x:c r="E267" s="1" t="str">
        <x:v>synthetic</x:v>
      </x:c>
      <x:c r="F267" s="15" t="str">
        <x:v>Sunrise Hospitality Group Ltd v Grant Morrison &amp; Co LLP</x:v>
      </x:c>
      <x:c r="G267" s="16" t="n">
        <x:v>46093.09854530093</x:v>
      </x:c>
      <x:c r="H267" s="15" t="str">
        <x:v>case</x:v>
      </x:c>
      <x:c r="I267" s="15" t="str">
        <x:v>case:dowling v griffin</x:v>
      </x:c>
      <x:c r="J267" s="15" t="str">
        <x:v>Dowling v Griffin</x:v>
      </x:c>
      <x:c r="K267" s="15" t="str">
        <x:v>N/A</x:v>
      </x:c>
      <x:c r="L267" s="15" t="str">
        <x:v>3f8f64bf-8917-45f1-ac4e-d5c0890c76e6</x:v>
      </x:c>
      <x:c r="M267" s="15" t="str"/>
      <x:c r="N267" s="15" t="str">
        <x:v>factualFindings.contestedFacts[0].sourceCases[0]</x:v>
      </x:c>
      <x:c r="O267" s="15" t="str">
        <x:v>structured_json</x:v>
      </x:c>
      <x:c r="P267" s="15" t="str"/>
      <x:c r="Q267" s="15" t="str">
        <x:v>same_proposition</x:v>
      </x:c>
      <x:c r="R267" s="15" t="str">
        <x:v>Relevant in understanding the standards applied to professional negligence wherein due diligence was questioned.</x:v>
      </x:c>
      <x:c r="S267" s="15" t="str"/>
    </x:row>
    <x:row r="268">
      <x:c r="A268" s="1" t="str">
        <x:v>O0267</x:v>
      </x:c>
      <x:c r="B268" s="1" t="str">
        <x:v>cmmmudwct000304kzc6d15a3r</x:v>
      </x:c>
      <x:c r="C268" s="1" t="str">
        <x:v>cmmmua3z1000204l47czkacss</x:v>
      </x:c>
      <x:c r="D268" s="1" t="str">
        <x:v>skeleton-args-ca2021006069-a7200646d94c4a22</x:v>
      </x:c>
      <x:c r="E268" s="1" t="str">
        <x:v>synthetic</x:v>
      </x:c>
      <x:c r="F268" s="15" t="str">
        <x:v>Sunrise Hospitality Group Ltd v Grant Morrison &amp; Co LLP</x:v>
      </x:c>
      <x:c r="G268" s="16" t="n">
        <x:v>46093.09854530093</x:v>
      </x:c>
      <x:c r="H268" s="15" t="str">
        <x:v>case</x:v>
      </x:c>
      <x:c r="I268" s="15" t="str">
        <x:v>case:wellesley partners llp v withers llp</x:v>
      </x:c>
      <x:c r="J268" s="15" t="str">
        <x:v>Wellesley Partners LLP v Withers LLP</x:v>
      </x:c>
      <x:c r="K268" s="15" t="str">
        <x:v>N/A</x:v>
      </x:c>
      <x:c r="L268" s="15" t="str">
        <x:v>5bbb3770-46d1-41af-b347-aa54ea9834ba</x:v>
      </x:c>
      <x:c r="M268" s="15" t="str"/>
      <x:c r="N268" s="15" t="str">
        <x:v>factualFindings.contestedFacts[1].sourceCases[0]</x:v>
      </x:c>
      <x:c r="O268" s="15" t="str">
        <x:v>structured_json</x:v>
      </x:c>
      <x:c r="P268" s="15" t="str"/>
      <x:c r="Q268" s="15" t="str">
        <x:v>same_proposition</x:v>
      </x:c>
      <x:c r="R268" s="15" t="str">
        <x:v>Establishes that claimants may have a degree of responsibility for their decisions, particularly when they possess additional relevant information.</x:v>
      </x:c>
      <x:c r="S268" s="15" t="str"/>
    </x:row>
    <x:row r="269">
      <x:c r="A269" s="1" t="str">
        <x:v>O0268</x:v>
      </x:c>
      <x:c r="B269" s="1" t="str">
        <x:v>cmmmudwct000304kzc6d15a3r</x:v>
      </x:c>
      <x:c r="C269" s="1" t="str">
        <x:v>cmmmua3z1000204l47czkacss</x:v>
      </x:c>
      <x:c r="D269" s="1" t="str">
        <x:v>skeleton-args-ca2021006069-a7200646d94c4a22</x:v>
      </x:c>
      <x:c r="E269" s="1" t="str">
        <x:v>synthetic</x:v>
      </x:c>
      <x:c r="F269" s="15" t="str">
        <x:v>Sunrise Hospitality Group Ltd v Grant Morrison &amp; Co LLP</x:v>
      </x:c>
      <x:c r="G269" s="16" t="n">
        <x:v>46093.09854530093</x:v>
      </x:c>
      <x:c r="H269" s="15" t="str">
        <x:v>case</x:v>
      </x:c>
      <x:c r="I269" s="15" t="str">
        <x:v>case:dowling v griffin</x:v>
      </x:c>
      <x:c r="J269" s="15" t="str">
        <x:v>Dowling v Griffin</x:v>
      </x:c>
      <x:c r="K269" s="15" t="str">
        <x:v>N/A</x:v>
      </x:c>
      <x:c r="L269" s="15" t="str">
        <x:v>3f8f64bf-8917-45f1-ac4e-d5c0890c76e6</x:v>
      </x:c>
      <x:c r="M269" s="15" t="str"/>
      <x:c r="N269" s="15" t="str">
        <x:v>reasoningStructure[0].sourceCases[0]</x:v>
      </x:c>
      <x:c r="O269" s="15" t="str">
        <x:v>structured_json</x:v>
      </x:c>
      <x:c r="P269" s="15" t="str"/>
      <x:c r="Q269" s="15" t="str">
        <x:v>same_proposition</x:v>
      </x:c>
      <x:c r="R269" s="15" t="str">
        <x:v>Useful for elaborating on the nature and boundaries of professional duty established in financial contexts.</x:v>
      </x:c>
      <x:c r="S269" s="15" t="str"/>
    </x:row>
    <x:row r="270">
      <x:c r="A270" s="1" t="str">
        <x:v>O0269</x:v>
      </x:c>
      <x:c r="B270" s="1" t="str">
        <x:v>cmmmudwct000304kzc6d15a3r</x:v>
      </x:c>
      <x:c r="C270" s="1" t="str">
        <x:v>cmmmua3z1000204l47czkacss</x:v>
      </x:c>
      <x:c r="D270" s="1" t="str">
        <x:v>skeleton-args-ca2021006069-a7200646d94c4a22</x:v>
      </x:c>
      <x:c r="E270" s="1" t="str">
        <x:v>synthetic</x:v>
      </x:c>
      <x:c r="F270" s="15" t="str">
        <x:v>Sunrise Hospitality Group Ltd v Grant Morrison &amp; Co LLP</x:v>
      </x:c>
      <x:c r="G270" s="16" t="n">
        <x:v>46093.09854530093</x:v>
      </x:c>
      <x:c r="H270" s="15" t="str">
        <x:v>case</x:v>
      </x:c>
      <x:c r="I270" s="15" t="str">
        <x:v>case:wellesley partners llp v withers llp</x:v>
      </x:c>
      <x:c r="J270" s="15" t="str">
        <x:v>Wellesley Partners LLP v Withers LLP</x:v>
      </x:c>
      <x:c r="K270" s="15" t="str">
        <x:v>N/A</x:v>
      </x:c>
      <x:c r="L270" s="15" t="str">
        <x:v>5bbb3770-46d1-41af-b347-aa54ea9834ba</x:v>
      </x:c>
      <x:c r="M270" s="15" t="str"/>
      <x:c r="N270" s="15" t="str">
        <x:v>reasoningStructure[1].sourceCases[0]</x:v>
      </x:c>
      <x:c r="O270" s="15" t="str">
        <x:v>structured_json</x:v>
      </x:c>
      <x:c r="P270" s="15" t="str"/>
      <x:c r="Q270" s="15" t="str">
        <x:v>same_proposition</x:v>
      </x:c>
      <x:c r="R270" s="15" t="str">
        <x:v>Relevant for understanding the implications of contributory negligence in professional contexts.</x:v>
      </x:c>
      <x:c r="S270" s="15" t="str"/>
    </x:row>
    <x:row r="271">
      <x:c r="A271" s="1" t="str">
        <x:v>O0270</x:v>
      </x:c>
      <x:c r="B271" s="1" t="str">
        <x:v>cmmmudwct000304kzc6d15a3r</x:v>
      </x:c>
      <x:c r="C271" s="1" t="str">
        <x:v>cmmmua3z1000204l47czkacss</x:v>
      </x:c>
      <x:c r="D271" s="1" t="str">
        <x:v>skeleton-args-ca2021006069-a7200646d94c4a22</x:v>
      </x:c>
      <x:c r="E271" s="1" t="str">
        <x:v>synthetic</x:v>
      </x:c>
      <x:c r="F271" s="15" t="str">
        <x:v>Sunrise Hospitality Group Ltd v Grant Morrison &amp; Co LLP</x:v>
      </x:c>
      <x:c r="G271" s="16" t="n">
        <x:v>46093.09854530093</x:v>
      </x:c>
      <x:c r="H271" s="15" t="str">
        <x:v>case</x:v>
      </x:c>
      <x:c r="I271" s="15" t="str">
        <x:v>case:dowling v griffin</x:v>
      </x:c>
      <x:c r="J271" s="15" t="str">
        <x:v>Dowling v Griffin</x:v>
      </x:c>
      <x:c r="K271" s="15" t="str">
        <x:v>N/A</x:v>
      </x:c>
      <x:c r="L271" s="15" t="str">
        <x:v>3f8f64bf-8917-45f1-ac4e-d5c0890c76e6</x:v>
      </x:c>
      <x:c r="M271" s="15" t="str"/>
      <x:c r="N271" s="15" t="str">
        <x:v>issuesForDetermination.issueMatrix[0].sourceCases[0]</x:v>
      </x:c>
      <x:c r="O271" s="15" t="str">
        <x:v>structured_json</x:v>
      </x:c>
      <x:c r="P271" s="15" t="str"/>
      <x:c r="Q271" s="15" t="str">
        <x:v>same_proposition</x:v>
      </x:c>
      <x:c r="R271" s="15" t="str">
        <x:v>Discusses the necessity and scope of duty of care in professional contexts, useful for determining the nature of the Respondent's obligations.</x:v>
      </x:c>
      <x:c r="S271" s="15" t="str"/>
    </x:row>
    <x:row r="272">
      <x:c r="A272" s="1" t="str">
        <x:v>O0271</x:v>
      </x:c>
      <x:c r="B272" s="1" t="str">
        <x:v>cmmmudwct000304kzc6d15a3r</x:v>
      </x:c>
      <x:c r="C272" s="1" t="str">
        <x:v>cmmmua3z1000204l47czkacss</x:v>
      </x:c>
      <x:c r="D272" s="1" t="str">
        <x:v>skeleton-args-ca2021006069-a7200646d94c4a22</x:v>
      </x:c>
      <x:c r="E272" s="1" t="str">
        <x:v>synthetic</x:v>
      </x:c>
      <x:c r="F272" s="15" t="str">
        <x:v>Sunrise Hospitality Group Ltd v Grant Morrison &amp; Co LLP</x:v>
      </x:c>
      <x:c r="G272" s="16" t="n">
        <x:v>46093.09854530093</x:v>
      </x:c>
      <x:c r="H272" s="15" t="str">
        <x:v>case</x:v>
      </x:c>
      <x:c r="I272" s="15" t="str">
        <x:v>case:wellesley partners llp v withers llp</x:v>
      </x:c>
      <x:c r="J272" s="15" t="str">
        <x:v>Wellesley Partners LLP v Withers LLP</x:v>
      </x:c>
      <x:c r="K272" s="15" t="str">
        <x:v>N/A</x:v>
      </x:c>
      <x:c r="L272" s="15" t="str">
        <x:v>5bbb3770-46d1-41af-b347-aa54ea9834ba</x:v>
      </x:c>
      <x:c r="M272" s="15" t="str"/>
      <x:c r="N272" s="15" t="str">
        <x:v>issuesForDetermination.issueMatrix[1].sourceCases[0]</x:v>
      </x:c>
      <x:c r="O272" s="15" t="str">
        <x:v>structured_json</x:v>
      </x:c>
      <x:c r="P272" s="15" t="str"/>
      <x:c r="Q272" s="15" t="str">
        <x:v>same_proposition</x:v>
      </x:c>
      <x:c r="R272" s="15" t="str">
        <x:v>Addresses issues of claimant responsibility in negligence, refining understanding of what constitutes contributory negligence and its impact on claims.</x:v>
      </x:c>
      <x:c r="S272" s="15" t="str"/>
    </x:row>
    <x:row r="273">
      <x:c r="A273" s="1" t="str">
        <x:v>O0272</x:v>
      </x:c>
      <x:c r="B273" s="1" t="str">
        <x:v>cmmrr64va000h04jvzuquhz2y</x:v>
      </x:c>
      <x:c r="C273" s="1" t="str">
        <x:v>cmmc45761000204jx6bd5kxqk</x:v>
      </x:c>
      <x:c r="D273" s="1" t="str">
        <x:v>ca-2024-000255-ellis-v-ssj-appellant-skeleton</x:v>
      </x:c>
      <x:c r="E273" s="1" t="str">
        <x:v>real</x:v>
      </x:c>
      <x:c r="F273" s="15" t="str">
        <x:v>R (Fajr Ellis) v Secretary of State for Justice</x:v>
      </x:c>
      <x:c r="G273" s="16" t="n">
        <x:v>46096.53523300926</x:v>
      </x:c>
      <x:c r="H273" s="15" t="str">
        <x:v>case</x:v>
      </x:c>
      <x:c r="I273" s="15" t="str">
        <x:v>case:2002 ewca civ 605</x:v>
      </x:c>
      <x:c r="J273" s="15" t="str">
        <x:v>[2002] EWCA Civ 605</x:v>
      </x:c>
      <x:c r="K273" s="15" t="str">
        <x:v>[2002] EWCA Civ 605</x:v>
      </x:c>
      <x:c r="L273" s="15" t="str"/>
      <x:c r="M273" s="15" t="str"/>
      <x:c r="N273" s="15" t="str">
        <x:v>legalFramework.precedentCitations[0]</x:v>
      </x:c>
      <x:c r="O273" s="15" t="str">
        <x:v>structured_json</x:v>
      </x:c>
      <x:c r="P273" s="15" t="str">
        <x:v>binding</x:v>
      </x:c>
      <x:c r="Q273" s="15" t="str"/>
      <x:c r="R273" s="15" t="str">
        <x:v>Adequate reasons in judgments must be given; failure to do so may result in an error of law.</x:v>
      </x:c>
      <x:c r="S273" s="15" t="str"/>
    </x:row>
    <x:row r="274">
      <x:c r="A274" s="1" t="str">
        <x:v>O0273</x:v>
      </x:c>
      <x:c r="B274" s="1" t="str">
        <x:v>cmmrr64va000h04jvzuquhz2y</x:v>
      </x:c>
      <x:c r="C274" s="1" t="str">
        <x:v>cmmc45761000204jx6bd5kxqk</x:v>
      </x:c>
      <x:c r="D274" s="1" t="str">
        <x:v>ca-2024-000255-ellis-v-ssj-appellant-skeleton</x:v>
      </x:c>
      <x:c r="E274" s="1" t="str">
        <x:v>real</x:v>
      </x:c>
      <x:c r="F274" s="15" t="str">
        <x:v>R (Fajr Ellis) v Secretary of State for Justice</x:v>
      </x:c>
      <x:c r="G274" s="16" t="n">
        <x:v>46096.53523300926</x:v>
      </x:c>
      <x:c r="H274" s="15" t="str">
        <x:v>other</x:v>
      </x:c>
      <x:c r="I274" s="15" t="str">
        <x:v>other:2000 1 wlr 377</x:v>
      </x:c>
      <x:c r="J274" s="15" t="str">
        <x:v>[2000] 1 WLR 377</x:v>
      </x:c>
      <x:c r="K274" s="15" t="str">
        <x:v>[2000] 1 WLR 377</x:v>
      </x:c>
      <x:c r="L274" s="15" t="str"/>
      <x:c r="M274" s="15" t="str"/>
      <x:c r="N274" s="15" t="str">
        <x:v>legalFramework.precedentCitations[1]</x:v>
      </x:c>
      <x:c r="O274" s="15" t="str">
        <x:v>structured_json</x:v>
      </x:c>
      <x:c r="P274" s="15" t="str">
        <x:v>binding</x:v>
      </x:c>
      <x:c r="Q274" s="15" t="str"/>
      <x:c r="R274" s="15" t="str">
        <x:v>There exists a duty to provide reasons for judicial decisions; a failure to do so may indicate a wrongful analysis.</x:v>
      </x:c>
      <x:c r="S274" s="15" t="str"/>
    </x:row>
    <x:row r="275">
      <x:c r="A275" s="1" t="str">
        <x:v>O0274</x:v>
      </x:c>
      <x:c r="B275" s="1" t="str">
        <x:v>cmmrr64va000h04jvzuquhz2y</x:v>
      </x:c>
      <x:c r="C275" s="1" t="str">
        <x:v>cmmc45761000204jx6bd5kxqk</x:v>
      </x:c>
      <x:c r="D275" s="1" t="str">
        <x:v>ca-2024-000255-ellis-v-ssj-appellant-skeleton</x:v>
      </x:c>
      <x:c r="E275" s="1" t="str">
        <x:v>real</x:v>
      </x:c>
      <x:c r="F275" s="15" t="str">
        <x:v>R (Fajr Ellis) v Secretary of State for Justice</x:v>
      </x:c>
      <x:c r="G275" s="16" t="n">
        <x:v>46096.53523300926</x:v>
      </x:c>
      <x:c r="H275" s="15" t="str">
        <x:v>legislation</x:v>
      </x:c>
      <x:c r="I275" s="15" t="str">
        <x:v>legislation:human rights act 1998 s 1</x:v>
      </x:c>
      <x:c r="J275" s="15" t="str">
        <x:v>Human Rights Act 1998</x:v>
      </x:c>
      <x:c r="K275" s="15" t="str">
        <x:v>Human Rights Act 1998 s.1</x:v>
      </x:c>
      <x:c r="L275" s="15" t="str"/>
      <x:c r="M275" s="15" t="str">
        <x:v>s.1</x:v>
      </x:c>
      <x:c r="N275" s="15" t="str">
        <x:v>legalFramework.statutoryProvisions[0]</x:v>
      </x:c>
      <x:c r="O275" s="15" t="str">
        <x:v>structured_json</x:v>
      </x:c>
      <x:c r="P275" s="15" t="str"/>
      <x:c r="Q275" s="15" t="str"/>
      <x:c r="R275" s="15" t="str">
        <x:v>Incorporates the European Convention on Human Rights into UK law.</x:v>
      </x:c>
      <x:c r="S275" s="15" t="str"/>
    </x:row>
    <x:row r="276">
      <x:c r="A276" s="1" t="str">
        <x:v>O0275</x:v>
      </x:c>
      <x:c r="B276" s="1" t="str">
        <x:v>cmmrr64va000h04jvzuquhz2y</x:v>
      </x:c>
      <x:c r="C276" s="1" t="str">
        <x:v>cmmc45761000204jx6bd5kxqk</x:v>
      </x:c>
      <x:c r="D276" s="1" t="str">
        <x:v>ca-2024-000255-ellis-v-ssj-appellant-skeleton</x:v>
      </x:c>
      <x:c r="E276" s="1" t="str">
        <x:v>real</x:v>
      </x:c>
      <x:c r="F276" s="15" t="str">
        <x:v>R (Fajr Ellis) v Secretary of State for Justice</x:v>
      </x:c>
      <x:c r="G276" s="16" t="n">
        <x:v>46096.53523300926</x:v>
      </x:c>
      <x:c r="H276" s="15" t="str">
        <x:v>legislation</x:v>
      </x:c>
      <x:c r="I276" s="15" t="str">
        <x:v>legislation:european convention on human rights article 2 of protocol 1</x:v>
      </x:c>
      <x:c r="J276" s="15" t="str">
        <x:v>European Convention on Human Rights</x:v>
      </x:c>
      <x:c r="K276" s="15" t="str">
        <x:v>European Convention on Human Rights Article 2 of Protocol 1</x:v>
      </x:c>
      <x:c r="L276" s="15" t="str"/>
      <x:c r="M276" s="15" t="str">
        <x:v>Article 2 of Protocol 1</x:v>
      </x:c>
      <x:c r="N276" s="15" t="str">
        <x:v>legalFramework.statutoryProvisions[1]</x:v>
      </x:c>
      <x:c r="O276" s="15" t="str">
        <x:v>structured_json</x:v>
      </x:c>
      <x:c r="P276" s="15" t="str"/>
      <x:c r="Q276" s="15" t="str"/>
      <x:c r="R276" s="15" t="str">
        <x:v>Mandates that everyone has the right to education.</x:v>
      </x:c>
      <x:c r="S276" s="15" t="str"/>
    </x:row>
    <x:row r="277">
      <x:c r="A277" s="1" t="str">
        <x:v>O0276</x:v>
      </x:c>
      <x:c r="B277" s="1" t="str">
        <x:v>cmmrr64va000h04jvzuquhz2y</x:v>
      </x:c>
      <x:c r="C277" s="1" t="str">
        <x:v>cmmc45761000204jx6bd5kxqk</x:v>
      </x:c>
      <x:c r="D277" s="1" t="str">
        <x:v>ca-2024-000255-ellis-v-ssj-appellant-skeleton</x:v>
      </x:c>
      <x:c r="E277" s="1" t="str">
        <x:v>real</x:v>
      </x:c>
      <x:c r="F277" s="15" t="str">
        <x:v>R (Fajr Ellis) v Secretary of State for Justice</x:v>
      </x:c>
      <x:c r="G277" s="16" t="n">
        <x:v>46096.53523300926</x:v>
      </x:c>
      <x:c r="H277" s="15" t="str">
        <x:v>legislation</x:v>
      </x:c>
      <x:c r="I277" s="15" t="str">
        <x:v>legislation:senior courts act 1981 s 35a</x:v>
      </x:c>
      <x:c r="J277" s="15" t="str">
        <x:v>Senior Courts Act 1981, s.35A</x:v>
      </x:c>
      <x:c r="K277" s="15" t="str">
        <x:v>Senior Courts Act 1981, s.35A</x:v>
      </x:c>
      <x:c r="L277" s="15" t="str"/>
      <x:c r="M277" s="15" t="str"/>
      <x:c r="N277" s="15" t="str">
        <x:v>decisionAndDisposition.interest.statutoryBasis</x:v>
      </x:c>
      <x:c r="O277" s="15" t="str">
        <x:v>structured_json</x:v>
      </x:c>
      <x:c r="P277" s="15" t="str"/>
      <x:c r="Q277" s="15" t="str"/>
      <x:c r="R277" s="15" t="str"/>
      <x:c r="S277" s="15" t="str"/>
    </x:row>
    <x:row r="278">
      <x:c r="A278" s="1" t="str">
        <x:v>O0277</x:v>
      </x:c>
      <x:c r="B278" s="1" t="str">
        <x:v>cmmrr64va000h04jvzuquhz2y</x:v>
      </x:c>
      <x:c r="C278" s="1" t="str">
        <x:v>cmmc45761000204jx6bd5kxqk</x:v>
      </x:c>
      <x:c r="D278" s="1" t="str">
        <x:v>ca-2024-000255-ellis-v-ssj-appellant-skeleton</x:v>
      </x:c>
      <x:c r="E278" s="1" t="str">
        <x:v>real</x:v>
      </x:c>
      <x:c r="F278" s="15" t="str">
        <x:v>R (Fajr Ellis) v Secretary of State for Justice</x:v>
      </x:c>
      <x:c r="G278" s="16" t="n">
        <x:v>46096.53523300926</x:v>
      </x:c>
      <x:c r="H278" s="15" t="str">
        <x:v>case</x:v>
      </x:c>
      <x:c r="I278" s="15" t="str">
        <x:v>case:bristow v the secretary of state for justice &amp; anor</x:v>
      </x:c>
      <x:c r="J278" s="15" t="str">
        <x:v>Bristow v The Secretary of State for Justice &amp; Anor</x:v>
      </x:c>
      <x:c r="K278" s="15" t="str">
        <x:v>N/A</x:v>
      </x:c>
      <x:c r="L278" s="15" t="str">
        <x:v>1dbb4242-42ac-456f-989f-5098066d87ca</x:v>
      </x:c>
      <x:c r="M278" s="15" t="str"/>
      <x:c r="N278" s="15" t="str">
        <x:v>legalFramework.statutoryProvisions[0].sourceCases[0]</x:v>
      </x:c>
      <x:c r="O278" s="15" t="str">
        <x:v>structured_json</x:v>
      </x:c>
      <x:c r="P278" s="15" t="str"/>
      <x:c r="Q278" s="15" t="str">
        <x:v>applied_differently</x:v>
      </x:c>
      <x:c r="R278" s="15" t="str">
        <x:v>Case used this statutory framework to argue for unlawful interference.</x:v>
      </x:c>
      <x:c r="S278" s="15" t="str"/>
    </x:row>
    <x:row r="279">
      <x:c r="A279" s="1" t="str">
        <x:v>O0278</x:v>
      </x:c>
      <x:c r="B279" s="1" t="str">
        <x:v>cmmrr64va000h04jvzuquhz2y</x:v>
      </x:c>
      <x:c r="C279" s="1" t="str">
        <x:v>cmmc45761000204jx6bd5kxqk</x:v>
      </x:c>
      <x:c r="D279" s="1" t="str">
        <x:v>ca-2024-000255-ellis-v-ssj-appellant-skeleton</x:v>
      </x:c>
      <x:c r="E279" s="1" t="str">
        <x:v>real</x:v>
      </x:c>
      <x:c r="F279" s="15" t="str">
        <x:v>R (Fajr Ellis) v Secretary of State for Justice</x:v>
      </x:c>
      <x:c r="G279" s="16" t="n">
        <x:v>46096.53523300926</x:v>
      </x:c>
      <x:c r="H279" s="15" t="str">
        <x:v>case</x:v>
      </x:c>
      <x:c r="I279" s="15" t="str">
        <x:v>case:bright &amp; anor v the secretary of state for justice</x:v>
      </x:c>
      <x:c r="J279" s="15" t="str">
        <x:v>Bright &amp; Anor v The Secretary of State for Justice</x:v>
      </x:c>
      <x:c r="K279" s="15" t="str">
        <x:v>N/A</x:v>
      </x:c>
      <x:c r="L279" s="15" t="str">
        <x:v>da4b6be7-2b22-4bd1-af6b-a68873f0af8d</x:v>
      </x:c>
      <x:c r="M279" s="15" t="str"/>
      <x:c r="N279" s="15" t="str">
        <x:v>legalFramework.statutoryProvisions[1].sourceCases[0]</x:v>
      </x:c>
      <x:c r="O279" s="15" t="str">
        <x:v>structured_json</x:v>
      </x:c>
      <x:c r="P279" s="15" t="str"/>
      <x:c r="Q279" s="15" t="str">
        <x:v>extended</x:v>
      </x:c>
      <x:c r="R279" s="15" t="str">
        <x:v>Insights into how A2P1 has been interpreted in other cases.</x:v>
      </x:c>
      <x:c r="S279" s="15" t="str"/>
    </x:row>
    <x:row r="280">
      <x:c r="A280" s="1" t="str">
        <x:v>O0279</x:v>
      </x:c>
      <x:c r="B280" s="1" t="str">
        <x:v>cmmrr64va000h04jvzuquhz2y</x:v>
      </x:c>
      <x:c r="C280" s="1" t="str">
        <x:v>cmmc45761000204jx6bd5kxqk</x:v>
      </x:c>
      <x:c r="D280" s="1" t="str">
        <x:v>ca-2024-000255-ellis-v-ssj-appellant-skeleton</x:v>
      </x:c>
      <x:c r="E280" s="1" t="str">
        <x:v>real</x:v>
      </x:c>
      <x:c r="F280" s="15" t="str">
        <x:v>R (Fajr Ellis) v Secretary of State for Justice</x:v>
      </x:c>
      <x:c r="G280" s="16" t="n">
        <x:v>46096.53523300926</x:v>
      </x:c>
      <x:c r="H280" s="15" t="str">
        <x:v>case</x:v>
      </x:c>
      <x:c r="I280" s="15" t="str">
        <x:v>case:bristow v the secretary of state for justice &amp; anor</x:v>
      </x:c>
      <x:c r="J280" s="15" t="str">
        <x:v>Bristow v The Secretary of State for Justice &amp; Anor</x:v>
      </x:c>
      <x:c r="K280" s="15" t="str">
        <x:v>N/A</x:v>
      </x:c>
      <x:c r="L280" s="15" t="str">
        <x:v>1dbb4242-42ac-456f-989f-5098066d87ca</x:v>
      </x:c>
      <x:c r="M280" s="15" t="str"/>
      <x:c r="N280" s="15" t="str">
        <x:v>factualFindings.contestedFacts[0].sourceCases[0]</x:v>
      </x:c>
      <x:c r="O280" s="15" t="str">
        <x:v>structured_json</x:v>
      </x:c>
      <x:c r="P280" s="15" t="str"/>
      <x:c r="Q280" s="15" t="str">
        <x:v>applied_differently</x:v>
      </x:c>
      <x:c r="R280" s="15" t="str">
        <x:v>This case highlights the necessity of balancing security concerns against educational rights.</x:v>
      </x:c>
      <x:c r="S280" s="15" t="str"/>
    </x:row>
    <x:row r="281">
      <x:c r="A281" s="1" t="str">
        <x:v>O0280</x:v>
      </x:c>
      <x:c r="B281" s="1" t="str">
        <x:v>cmmrr64va000h04jvzuquhz2y</x:v>
      </x:c>
      <x:c r="C281" s="1" t="str">
        <x:v>cmmc45761000204jx6bd5kxqk</x:v>
      </x:c>
      <x:c r="D281" s="1" t="str">
        <x:v>ca-2024-000255-ellis-v-ssj-appellant-skeleton</x:v>
      </x:c>
      <x:c r="E281" s="1" t="str">
        <x:v>real</x:v>
      </x:c>
      <x:c r="F281" s="15" t="str">
        <x:v>R (Fajr Ellis) v Secretary of State for Justice</x:v>
      </x:c>
      <x:c r="G281" s="16" t="n">
        <x:v>46096.53523300926</x:v>
      </x:c>
      <x:c r="H281" s="15" t="str">
        <x:v>case</x:v>
      </x:c>
      <x:c r="I281" s="15" t="str">
        <x:v>case:bright &amp; anor v the secretary of state for justice</x:v>
      </x:c>
      <x:c r="J281" s="15" t="str">
        <x:v>Bright &amp; Anor v The Secretary of State for Justice</x:v>
      </x:c>
      <x:c r="K281" s="15" t="str">
        <x:v>N/A</x:v>
      </x:c>
      <x:c r="L281" s="15" t="str">
        <x:v>da4b6be7-2b22-4bd1-af6b-a68873f0af8d</x:v>
      </x:c>
      <x:c r="M281" s="15" t="str"/>
      <x:c r="N281" s="15" t="str">
        <x:v>factualFindings.contestedFacts[1].sourceCases[0]</x:v>
      </x:c>
      <x:c r="O281" s="15" t="str">
        <x:v>structured_json</x:v>
      </x:c>
      <x:c r="P281" s="15" t="str"/>
      <x:c r="Q281" s="15" t="str">
        <x:v>distinguished</x:v>
      </x:c>
      <x:c r="R281" s="15" t="str">
        <x:v>This case discusses the sufficiency of educational provisions in prison settings.</x:v>
      </x:c>
      <x:c r="S281" s="15" t="str"/>
    </x:row>
    <x:row r="282">
      <x:c r="A282" s="1" t="str">
        <x:v>O0281</x:v>
      </x:c>
      <x:c r="B282" s="1" t="str">
        <x:v>cmmrr64va000h04jvzuquhz2y</x:v>
      </x:c>
      <x:c r="C282" s="1" t="str">
        <x:v>cmmc45761000204jx6bd5kxqk</x:v>
      </x:c>
      <x:c r="D282" s="1" t="str">
        <x:v>ca-2024-000255-ellis-v-ssj-appellant-skeleton</x:v>
      </x:c>
      <x:c r="E282" s="1" t="str">
        <x:v>real</x:v>
      </x:c>
      <x:c r="F282" s="15" t="str">
        <x:v>R (Fajr Ellis) v Secretary of State for Justice</x:v>
      </x:c>
      <x:c r="G282" s="16" t="n">
        <x:v>46096.53523300926</x:v>
      </x:c>
      <x:c r="H282" s="15" t="str">
        <x:v>case</x:v>
      </x:c>
      <x:c r="I282" s="15" t="str">
        <x:v>case:bristow v the secretary of state for justice &amp; anor</x:v>
      </x:c>
      <x:c r="J282" s="15" t="str">
        <x:v>Bristow v The Secretary of State for Justice &amp; Anor</x:v>
      </x:c>
      <x:c r="K282" s="15" t="str">
        <x:v>N/A</x:v>
      </x:c>
      <x:c r="L282" s="15" t="str">
        <x:v>1dbb4242-42ac-456f-989f-5098066d87ca</x:v>
      </x:c>
      <x:c r="M282" s="15" t="str"/>
      <x:c r="N282" s="15" t="str">
        <x:v>reasoningStructure[0].sourceCases[0]</x:v>
      </x:c>
      <x:c r="O282" s="15" t="str">
        <x:v>structured_json</x:v>
      </x:c>
      <x:c r="P282" s="15" t="str"/>
      <x:c r="Q282" s="15" t="str">
        <x:v>applied_differently</x:v>
      </x:c>
      <x:c r="R282" s="15" t="str">
        <x:v>This source discusses balancing security and educational rights.</x:v>
      </x:c>
      <x:c r="S282" s="15" t="str"/>
    </x:row>
    <x:row r="283">
      <x:c r="A283" s="1" t="str">
        <x:v>O0282</x:v>
      </x:c>
      <x:c r="B283" s="1" t="str">
        <x:v>cmmrr64va000h04jvzuquhz2y</x:v>
      </x:c>
      <x:c r="C283" s="1" t="str">
        <x:v>cmmc45761000204jx6bd5kxqk</x:v>
      </x:c>
      <x:c r="D283" s="1" t="str">
        <x:v>ca-2024-000255-ellis-v-ssj-appellant-skeleton</x:v>
      </x:c>
      <x:c r="E283" s="1" t="str">
        <x:v>real</x:v>
      </x:c>
      <x:c r="F283" s="15" t="str">
        <x:v>R (Fajr Ellis) v Secretary of State for Justice</x:v>
      </x:c>
      <x:c r="G283" s="16" t="n">
        <x:v>46096.53523300926</x:v>
      </x:c>
      <x:c r="H283" s="15" t="str">
        <x:v>case</x:v>
      </x:c>
      <x:c r="I283" s="15" t="str">
        <x:v>case:bright &amp; anor v the secretary of state for justice</x:v>
      </x:c>
      <x:c r="J283" s="15" t="str">
        <x:v>Bright &amp; Anor v The Secretary of State for Justice</x:v>
      </x:c>
      <x:c r="K283" s="15" t="str">
        <x:v>N/A</x:v>
      </x:c>
      <x:c r="L283" s="15" t="str">
        <x:v>da4b6be7-2b22-4bd1-af6b-a68873f0af8d</x:v>
      </x:c>
      <x:c r="M283" s="15" t="str"/>
      <x:c r="N283" s="15" t="str">
        <x:v>reasoningStructure[1].sourceCases[0]</x:v>
      </x:c>
      <x:c r="O283" s="15" t="str">
        <x:v>structured_json</x:v>
      </x:c>
      <x:c r="P283" s="15" t="str"/>
      <x:c r="Q283" s="15" t="str">
        <x:v>distinguished</x:v>
      </x:c>
      <x:c r="R283" s="15" t="str">
        <x:v>Examines similar barriers to educational access and their implications on A2P1 rights.</x:v>
      </x:c>
      <x:c r="S283" s="15" t="str"/>
    </x:row>
    <x:row r="284">
      <x:c r="A284" s="1" t="str">
        <x:v>O0283</x:v>
      </x:c>
      <x:c r="B284" s="1" t="str">
        <x:v>cmmrr64va000h04jvzuquhz2y</x:v>
      </x:c>
      <x:c r="C284" s="1" t="str">
        <x:v>cmmc45761000204jx6bd5kxqk</x:v>
      </x:c>
      <x:c r="D284" s="1" t="str">
        <x:v>ca-2024-000255-ellis-v-ssj-appellant-skeleton</x:v>
      </x:c>
      <x:c r="E284" s="1" t="str">
        <x:v>real</x:v>
      </x:c>
      <x:c r="F284" s="15" t="str">
        <x:v>R (Fajr Ellis) v Secretary of State for Justice</x:v>
      </x:c>
      <x:c r="G284" s="16" t="n">
        <x:v>46096.53523300926</x:v>
      </x:c>
      <x:c r="H284" s="15" t="str">
        <x:v>case</x:v>
      </x:c>
      <x:c r="I284" s="15" t="str">
        <x:v>case:bristow v the secretary of state for justice &amp; anor</x:v>
      </x:c>
      <x:c r="J284" s="15" t="str">
        <x:v>Bristow v The Secretary of State for Justice &amp; Anor</x:v>
      </x:c>
      <x:c r="K284" s="15" t="str">
        <x:v>N/A</x:v>
      </x:c>
      <x:c r="L284" s="15" t="str">
        <x:v>1dbb4242-42ac-456f-989f-5098066d87ca</x:v>
      </x:c>
      <x:c r="M284" s="15" t="str"/>
      <x:c r="N284" s="15" t="str">
        <x:v>issuesForDetermination.issueMatrix[0].sourceCases[0]</x:v>
      </x:c>
      <x:c r="O284" s="15" t="str">
        <x:v>structured_json</x:v>
      </x:c>
      <x:c r="P284" s="15" t="str"/>
      <x:c r="Q284" s="15" t="str">
        <x:v>applied_differently</x:v>
      </x:c>
      <x:c r="R284" s="15" t="str">
        <x:v>Relevant analysis on balancing educational rights against security protocols.</x:v>
      </x:c>
      <x:c r="S284" s="15" t="str"/>
    </x:row>
    <x:row r="285">
      <x:c r="A285" s="1" t="str">
        <x:v>O0284</x:v>
      </x:c>
      <x:c r="B285" s="1" t="str">
        <x:v>cmmrr64va000h04jvzuquhz2y</x:v>
      </x:c>
      <x:c r="C285" s="1" t="str">
        <x:v>cmmc45761000204jx6bd5kxqk</x:v>
      </x:c>
      <x:c r="D285" s="1" t="str">
        <x:v>ca-2024-000255-ellis-v-ssj-appellant-skeleton</x:v>
      </x:c>
      <x:c r="E285" s="1" t="str">
        <x:v>real</x:v>
      </x:c>
      <x:c r="F285" s="15" t="str">
        <x:v>R (Fajr Ellis) v Secretary of State for Justice</x:v>
      </x:c>
      <x:c r="G285" s="16" t="n">
        <x:v>46096.53523300926</x:v>
      </x:c>
      <x:c r="H285" s="15" t="str">
        <x:v>case</x:v>
      </x:c>
      <x:c r="I285" s="15" t="str">
        <x:v>case:bright &amp; anor v the secretary of state for justice</x:v>
      </x:c>
      <x:c r="J285" s="15" t="str">
        <x:v>Bright &amp; Anor v The Secretary of State for Justice</x:v>
      </x:c>
      <x:c r="K285" s="15" t="str">
        <x:v>N/A</x:v>
      </x:c>
      <x:c r="L285" s="15" t="str">
        <x:v>da4b6be7-2b22-4bd1-af6b-a68873f0af8d</x:v>
      </x:c>
      <x:c r="M285" s="15" t="str"/>
      <x:c r="N285" s="15" t="str">
        <x:v>issuesForDetermination.issueMatrix[1].sourceCases[0]</x:v>
      </x:c>
      <x:c r="O285" s="15" t="str">
        <x:v>structured_json</x:v>
      </x:c>
      <x:c r="P285" s="15" t="str"/>
      <x:c r="Q285" s="15" t="str">
        <x:v>distinguished</x:v>
      </x:c>
      <x:c r="R285" s="15" t="str">
        <x:v>Discussion on the application of A2P1 rights in educational settings.</x:v>
      </x:c>
      <x:c r="S285" s="15" t="str"/>
    </x:row>
    <x:row r="286">
      <x:c r="A286" s="1" t="str">
        <x:v>O0285</x:v>
      </x:c>
      <x:c r="B286" s="1" t="str">
        <x:v>cmmsi1xqb000h04jsef3v6skf</x:v>
      </x:c>
      <x:c r="C286" s="1" t="str">
        <x:v>cmmshtbz8000204jsdrli49qe</x:v>
      </x:c>
      <x:c r="D286" s="1" t="str">
        <x:v>karpasitis-v-hertfordshire-county-council</x:v>
      </x:c>
      <x:c r="E286" s="1" t="str">
        <x:v>real</x:v>
      </x:c>
      <x:c r="F286" s="15" t="str">
        <x:v>Karpasitis v Hertfordshire County Council</x:v>
      </x:c>
      <x:c r="G286" s="16" t="n">
        <x:v>46097.0578459375</x:v>
      </x:c>
      <x:c r="H286" s="15" t="str">
        <x:v>case</x:v>
      </x:c>
      <x:c r="I286" s="15" t="str">
        <x:v>case:2002 ewca civ 605</x:v>
      </x:c>
      <x:c r="J286" s="15" t="str">
        <x:v>English v Emery Reimbold &amp; Strick Ltd [2002] EWCA Civ 605</x:v>
      </x:c>
      <x:c r="K286" s="15" t="str">
        <x:v>English v Emery Reimbold &amp; Strick Ltd [2002] EWCA Civ 605</x:v>
      </x:c>
      <x:c r="L286" s="15" t="str"/>
      <x:c r="M286" s="15" t="str"/>
      <x:c r="N286" s="15" t="str">
        <x:v>legalFramework.precedentCitations[0]</x:v>
      </x:c>
      <x:c r="O286" s="15" t="str">
        <x:v>structured_json</x:v>
      </x:c>
      <x:c r="P286" s="15" t="str">
        <x:v>binding</x:v>
      </x:c>
      <x:c r="Q286" s="15" t="str"/>
      <x:c r="R286" s="15" t="str">
        <x:v>Judgments should provide adequate reasoning and not lead to unfairness due to lack of clarity.</x:v>
      </x:c>
      <x:c r="S286" s="15" t="str"/>
    </x:row>
    <x:row r="287">
      <x:c r="A287" s="1" t="str">
        <x:v>O0286</x:v>
      </x:c>
      <x:c r="B287" s="1" t="str">
        <x:v>cmmsi1xqb000h04jsef3v6skf</x:v>
      </x:c>
      <x:c r="C287" s="1" t="str">
        <x:v>cmmshtbz8000204jsdrli49qe</x:v>
      </x:c>
      <x:c r="D287" s="1" t="str">
        <x:v>karpasitis-v-hertfordshire-county-council</x:v>
      </x:c>
      <x:c r="E287" s="1" t="str">
        <x:v>real</x:v>
      </x:c>
      <x:c r="F287" s="15" t="str">
        <x:v>Karpasitis v Hertfordshire County Council</x:v>
      </x:c>
      <x:c r="G287" s="16" t="n">
        <x:v>46097.0578459375</x:v>
      </x:c>
      <x:c r="H287" s="15" t="str">
        <x:v>case</x:v>
      </x:c>
      <x:c r="I287" s="15" t="str">
        <x:v>case:2000 1 wlr 377</x:v>
      </x:c>
      <x:c r="J287" s="15" t="str">
        <x:v>Flannery v Halifax Estate Agencies Ltd [2000] 1 WLR 377</x:v>
      </x:c>
      <x:c r="K287" s="15" t="str">
        <x:v>Flannery v Halifax Estate Agencies Ltd [2000] 1 WLR 377</x:v>
      </x:c>
      <x:c r="L287" s="15" t="str"/>
      <x:c r="M287" s="15" t="str"/>
      <x:c r="N287" s="15" t="str">
        <x:v>legalFramework.precedentCitations[1]</x:v>
      </x:c>
      <x:c r="O287" s="15" t="str">
        <x:v>structured_json</x:v>
      </x:c>
      <x:c r="P287" s="15" t="str">
        <x:v>binding</x:v>
      </x:c>
      <x:c r="Q287" s="15" t="str"/>
      <x:c r="R287" s="15" t="str">
        <x:v>Parties must receive clear reasoning for decisions related to their circumstances and interests.</x:v>
      </x:c>
      <x:c r="S287" s="15" t="str"/>
    </x:row>
    <x:row r="288">
      <x:c r="A288" s="1" t="str">
        <x:v>O0287</x:v>
      </x:c>
      <x:c r="B288" s="1" t="str">
        <x:v>cmmsi1xqb000h04jsef3v6skf</x:v>
      </x:c>
      <x:c r="C288" s="1" t="str">
        <x:v>cmmshtbz8000204jsdrli49qe</x:v>
      </x:c>
      <x:c r="D288" s="1" t="str">
        <x:v>karpasitis-v-hertfordshire-county-council</x:v>
      </x:c>
      <x:c r="E288" s="1" t="str">
        <x:v>real</x:v>
      </x:c>
      <x:c r="F288" s="15" t="str">
        <x:v>Karpasitis v Hertfordshire County Council</x:v>
      </x:c>
      <x:c r="G288" s="16" t="n">
        <x:v>46097.0578459375</x:v>
      </x:c>
      <x:c r="H288" s="15" t="str">
        <x:v>legislation</x:v>
      </x:c>
      <x:c r="I288" s="15" t="str">
        <x:v>legislation:highways act 1980 58</x:v>
      </x:c>
      <x:c r="J288" s="15" t="str">
        <x:v>Highways Act 1980</x:v>
      </x:c>
      <x:c r="K288" s="15" t="str">
        <x:v>Highways Act 1980 58</x:v>
      </x:c>
      <x:c r="L288" s="15" t="str"/>
      <x:c r="M288" s="15" t="str">
        <x:v>58</x:v>
      </x:c>
      <x:c r="N288" s="15" t="str">
        <x:v>legalFramework.statutoryProvisions[0]</x:v>
      </x:c>
      <x:c r="O288" s="15" t="str">
        <x:v>structured_json</x:v>
      </x:c>
      <x:c r="P288" s="15" t="str"/>
      <x:c r="Q288" s="15" t="str"/>
      <x:c r="R288" s="15" t="str">
        <x:v>Provides statutory defense for highway authorities against negligence claims when proper maintenance checks are conducted.</x:v>
      </x:c>
      <x:c r="S288" s="15" t="str">
        <x:v>https://www.legislation.gov.uk/ukpga/1980/66/section/58</x:v>
      </x:c>
    </x:row>
    <x:row r="289">
      <x:c r="A289" s="1" t="str">
        <x:v>O0288</x:v>
      </x:c>
      <x:c r="B289" s="1" t="str">
        <x:v>cmmsi1xqb000h04jsef3v6skf</x:v>
      </x:c>
      <x:c r="C289" s="1" t="str">
        <x:v>cmmshtbz8000204jsdrli49qe</x:v>
      </x:c>
      <x:c r="D289" s="1" t="str">
        <x:v>karpasitis-v-hertfordshire-county-council</x:v>
      </x:c>
      <x:c r="E289" s="1" t="str">
        <x:v>real</x:v>
      </x:c>
      <x:c r="F289" s="15" t="str">
        <x:v>Karpasitis v Hertfordshire County Council</x:v>
      </x:c>
      <x:c r="G289" s="16" t="n">
        <x:v>46097.0578459375</x:v>
      </x:c>
      <x:c r="H289" s="15" t="str">
        <x:v>legislation</x:v>
      </x:c>
      <x:c r="I289" s="15" t="str">
        <x:v>legislation:highways act 1980 41</x:v>
      </x:c>
      <x:c r="J289" s="15" t="str">
        <x:v>Highways Act 1980</x:v>
      </x:c>
      <x:c r="K289" s="15" t="str">
        <x:v>Highways Act 1980 41</x:v>
      </x:c>
      <x:c r="L289" s="15" t="str"/>
      <x:c r="M289" s="15" t="str">
        <x:v>41</x:v>
      </x:c>
      <x:c r="N289" s="15" t="str">
        <x:v>legalFramework.statutoryProvisions[1]</x:v>
      </x:c>
      <x:c r="O289" s="15" t="str">
        <x:v>structured_json</x:v>
      </x:c>
      <x:c r="P289" s="15" t="str"/>
      <x:c r="Q289" s="15" t="str"/>
      <x:c r="R289" s="15" t="str">
        <x:v>Outlines the duty of care owed by highway authorities for roadway conditions.</x:v>
      </x:c>
      <x:c r="S289" s="15" t="str">
        <x:v>https://www.legislation.gov.uk/ukpga/1980/66/section/41</x:v>
      </x:c>
    </x:row>
    <x:row r="290">
      <x:c r="A290" s="1" t="str">
        <x:v>O0289</x:v>
      </x:c>
      <x:c r="B290" s="1" t="str">
        <x:v>cmmsi1xqb000h04jsef3v6skf</x:v>
      </x:c>
      <x:c r="C290" s="1" t="str">
        <x:v>cmmshtbz8000204jsdrli49qe</x:v>
      </x:c>
      <x:c r="D290" s="1" t="str">
        <x:v>karpasitis-v-hertfordshire-county-council</x:v>
      </x:c>
      <x:c r="E290" s="1" t="str">
        <x:v>real</x:v>
      </x:c>
      <x:c r="F290" s="15" t="str">
        <x:v>Karpasitis v Hertfordshire County Council</x:v>
      </x:c>
      <x:c r="G290" s="16" t="n">
        <x:v>46097.0578459375</x:v>
      </x:c>
      <x:c r="H290" s="15" t="str">
        <x:v>legislation</x:v>
      </x:c>
      <x:c r="I290" s="15" t="str">
        <x:v>legislation:senior courts act 1981 s 35a</x:v>
      </x:c>
      <x:c r="J290" s="15" t="str">
        <x:v>Senior Courts Act 1981</x:v>
      </x:c>
      <x:c r="K290" s="15" t="str">
        <x:v>Senior Courts Act 1981 s.35A</x:v>
      </x:c>
      <x:c r="L290" s="15" t="str"/>
      <x:c r="M290" s="15" t="str">
        <x:v>s.35A</x:v>
      </x:c>
      <x:c r="N290" s="15" t="str">
        <x:v>legalFramework.statutoryProvisions[2]</x:v>
      </x:c>
      <x:c r="O290" s="15" t="str">
        <x:v>structured_json</x:v>
      </x:c>
      <x:c r="P290" s="15" t="str"/>
      <x:c r="Q290" s="15" t="str"/>
      <x:c r="R290" s="15" t="str">
        <x:v>Provision for interest on awards for damages.</x:v>
      </x:c>
      <x:c r="S290" s="15" t="str">
        <x:v>https://www.legislation.gov.uk/ukpga/1981/54/section/35A</x:v>
      </x:c>
    </x:row>
    <x:row r="291">
      <x:c r="A291" s="1" t="str">
        <x:v>O0290</x:v>
      </x:c>
      <x:c r="B291" s="1" t="str">
        <x:v>cmmsi1xqb000h04jsef3v6skf</x:v>
      </x:c>
      <x:c r="C291" s="1" t="str">
        <x:v>cmmshtbz8000204jsdrli49qe</x:v>
      </x:c>
      <x:c r="D291" s="1" t="str">
        <x:v>karpasitis-v-hertfordshire-county-council</x:v>
      </x:c>
      <x:c r="E291" s="1" t="str">
        <x:v>real</x:v>
      </x:c>
      <x:c r="F291" s="15" t="str">
        <x:v>Karpasitis v Hertfordshire County Council</x:v>
      </x:c>
      <x:c r="G291" s="16" t="n">
        <x:v>46097.0578459375</x:v>
      </x:c>
      <x:c r="H291" s="15" t="str">
        <x:v>legislation</x:v>
      </x:c>
      <x:c r="I291" s="15" t="str">
        <x:v>legislation:senior courts act 1981 s 35a</x:v>
      </x:c>
      <x:c r="J291" s="15" t="str">
        <x:v>Senior Courts Act 1981, s.35A</x:v>
      </x:c>
      <x:c r="K291" s="15" t="str">
        <x:v>Senior Courts Act 1981, s.35A</x:v>
      </x:c>
      <x:c r="L291" s="15" t="str"/>
      <x:c r="M291" s="15" t="str"/>
      <x:c r="N291" s="15" t="str">
        <x:v>decisionAndDisposition.interest.statutoryBasis</x:v>
      </x:c>
      <x:c r="O291" s="15" t="str">
        <x:v>structured_json</x:v>
      </x:c>
      <x:c r="P291" s="15" t="str"/>
      <x:c r="Q291" s="15" t="str"/>
      <x:c r="R291" s="15" t="str"/>
      <x:c r="S291" s="15" t="str"/>
    </x:row>
    <x:row r="292">
      <x:c r="A292" s="1" t="str">
        <x:v>O0291</x:v>
      </x:c>
      <x:c r="B292" s="1" t="str">
        <x:v>cmmsi1xqb000h04jsef3v6skf</x:v>
      </x:c>
      <x:c r="C292" s="1" t="str">
        <x:v>cmmshtbz8000204jsdrli49qe</x:v>
      </x:c>
      <x:c r="D292" s="1" t="str">
        <x:v>karpasitis-v-hertfordshire-county-council</x:v>
      </x:c>
      <x:c r="E292" s="1" t="str">
        <x:v>real</x:v>
      </x:c>
      <x:c r="F292" s="15" t="str">
        <x:v>Karpasitis v Hertfordshire County Council</x:v>
      </x:c>
      <x:c r="G292" s="16" t="n">
        <x:v>46097.0578459375</x:v>
      </x:c>
      <x:c r="H292" s="15" t="str">
        <x:v>legislation</x:v>
      </x:c>
      <x:c r="I292" s="15" t="str">
        <x:v>legislation:highways act 1980 s 58</x:v>
      </x:c>
      <x:c r="J292" s="15" t="str">
        <x:v>Highways Act 1980, Section 58</x:v>
      </x:c>
      <x:c r="K292" s="15" t="str">
        <x:v>Highways Act 1980, Section 58</x:v>
      </x:c>
      <x:c r="L292" s="15" t="str"/>
      <x:c r="M292" s="15" t="str"/>
      <x:c r="N292" s="15" t="str">
        <x:v>legalFramework.legalTestSummaries[0].sourceAuthority</x:v>
      </x:c>
      <x:c r="O292" s="15" t="str">
        <x:v>structured_json</x:v>
      </x:c>
      <x:c r="P292" s="15" t="str"/>
      <x:c r="Q292" s="15" t="str"/>
      <x:c r="R292" s="15" t="str"/>
      <x:c r="S292" s="15" t="str"/>
    </x:row>
    <x:row r="293">
      <x:c r="A293" s="1" t="str">
        <x:v>O0292</x:v>
      </x:c>
      <x:c r="B293" s="1" t="str">
        <x:v>cmmsi1xqb000h04jsef3v6skf</x:v>
      </x:c>
      <x:c r="C293" s="1" t="str">
        <x:v>cmmshtbz8000204jsdrli49qe</x:v>
      </x:c>
      <x:c r="D293" s="1" t="str">
        <x:v>karpasitis-v-hertfordshire-county-council</x:v>
      </x:c>
      <x:c r="E293" s="1" t="str">
        <x:v>real</x:v>
      </x:c>
      <x:c r="F293" s="15" t="str">
        <x:v>Karpasitis v Hertfordshire County Council</x:v>
      </x:c>
      <x:c r="G293" s="16" t="n">
        <x:v>46097.0578459375</x:v>
      </x:c>
      <x:c r="H293" s="15" t="str">
        <x:v>legislation</x:v>
      </x:c>
      <x:c r="I293" s="15" t="str">
        <x:v>legislation:highways act 1980 s 41</x:v>
      </x:c>
      <x:c r="J293" s="15" t="str">
        <x:v>Highways Act 1980, Section 41</x:v>
      </x:c>
      <x:c r="K293" s="15" t="str">
        <x:v>Highways Act 1980, Section 41</x:v>
      </x:c>
      <x:c r="L293" s="15" t="str"/>
      <x:c r="M293" s="15" t="str"/>
      <x:c r="N293" s="15" t="str">
        <x:v>legalFramework.legalTestSummaries[1].sourceAuthority</x:v>
      </x:c>
      <x:c r="O293" s="15" t="str">
        <x:v>structured_json</x:v>
      </x:c>
      <x:c r="P293" s="15" t="str"/>
      <x:c r="Q293" s="15" t="str"/>
      <x:c r="R293" s="15" t="str"/>
      <x:c r="S293" s="15" t="str"/>
    </x:row>
    <x:row r="294">
      <x:c r="A294" s="1" t="str">
        <x:v>O0293</x:v>
      </x:c>
      <x:c r="B294" s="1" t="str">
        <x:v>cmmsi1xqb000h04jsef3v6skf</x:v>
      </x:c>
      <x:c r="C294" s="1" t="str">
        <x:v>cmmshtbz8000204jsdrli49qe</x:v>
      </x:c>
      <x:c r="D294" s="1" t="str">
        <x:v>karpasitis-v-hertfordshire-county-council</x:v>
      </x:c>
      <x:c r="E294" s="1" t="str">
        <x:v>real</x:v>
      </x:c>
      <x:c r="F294" s="15" t="str">
        <x:v>Karpasitis v Hertfordshire County Council</x:v>
      </x:c>
      <x:c r="G294" s="16" t="n">
        <x:v>46097.0578459375</x:v>
      </x:c>
      <x:c r="H294" s="15" t="str">
        <x:v>case</x:v>
      </x:c>
      <x:c r="I294" s="15" t="str">
        <x:v>case:gorringe v calderdale metropolitan borough council</x:v>
      </x:c>
      <x:c r="J294" s="15" t="str">
        <x:v>Gorringe v. Calderdale Metropolitan Borough Council</x:v>
      </x:c>
      <x:c r="K294" s="15" t="str">
        <x:v>N/A</x:v>
      </x:c>
      <x:c r="L294" s="15" t="str">
        <x:v>bc30491e-9ae6-48da-90d0-71d8a8069b22</x:v>
      </x:c>
      <x:c r="M294" s="15" t="str"/>
      <x:c r="N294" s="15" t="str">
        <x:v>legalFramework.statutoryProvisions[0].sourceCases[0]</x:v>
      </x:c>
      <x:c r="O294" s="15" t="str">
        <x:v>structured_json</x:v>
      </x:c>
      <x:c r="P294" s="15" t="str"/>
      <x:c r="Q294" s="15" t="str">
        <x:v>applied_differently</x:v>
      </x:c>
      <x:c r="R294" s="15" t="str">
        <x:v>This case references the same statutory defenses pertinent to negligence claims under the Highways Act.</x:v>
      </x:c>
      <x:c r="S294" s="15" t="str"/>
    </x:row>
    <x:row r="295">
      <x:c r="A295" s="1" t="str">
        <x:v>O0294</x:v>
      </x:c>
      <x:c r="B295" s="1" t="str">
        <x:v>cmmsi1xqb000h04jsef3v6skf</x:v>
      </x:c>
      <x:c r="C295" s="1" t="str">
        <x:v>cmmshtbz8000204jsdrli49qe</x:v>
      </x:c>
      <x:c r="D295" s="1" t="str">
        <x:v>karpasitis-v-hertfordshire-county-council</x:v>
      </x:c>
      <x:c r="E295" s="1" t="str">
        <x:v>real</x:v>
      </x:c>
      <x:c r="F295" s="15" t="str">
        <x:v>Karpasitis v Hertfordshire County Council</x:v>
      </x:c>
      <x:c r="G295" s="16" t="n">
        <x:v>46097.0578459375</x:v>
      </x:c>
      <x:c r="H295" s="15" t="str">
        <x:v>case</x:v>
      </x:c>
      <x:c r="I295" s="15" t="str">
        <x:v>case:griffiths v gwynedd county council</x:v>
      </x:c>
      <x:c r="J295" s="15" t="str">
        <x:v>Griffiths v Gwynedd County Council</x:v>
      </x:c>
      <x:c r="K295" s="15" t="str">
        <x:v>N/A</x:v>
      </x:c>
      <x:c r="L295" s="15" t="str">
        <x:v>70c75405-8cba-40e2-92ff-8302ea4f6789</x:v>
      </x:c>
      <x:c r="M295" s="15" t="str"/>
      <x:c r="N295" s="15" t="str">
        <x:v>legalFramework.statutoryProvisions[0].sourceCases[1]</x:v>
      </x:c>
      <x:c r="O295" s="15" t="str">
        <x:v>structured_json</x:v>
      </x:c>
      <x:c r="P295" s="15" t="str"/>
      <x:c r="Q295" s="15" t="str">
        <x:v>applied_differently</x:v>
      </x:c>
      <x:c r="R295" s="15" t="str">
        <x:v>This case evaluated similar issues under the Highways Act regarding the sufficiency of maintenance checks and risk assessments.</x:v>
      </x:c>
      <x:c r="S295" s="15" t="str"/>
    </x:row>
    <x:row r="296">
      <x:c r="A296" s="1" t="str">
        <x:v>O0295</x:v>
      </x:c>
      <x:c r="B296" s="1" t="str">
        <x:v>cmmsi1xqb000h04jsef3v6skf</x:v>
      </x:c>
      <x:c r="C296" s="1" t="str">
        <x:v>cmmshtbz8000204jsdrli49qe</x:v>
      </x:c>
      <x:c r="D296" s="1" t="str">
        <x:v>karpasitis-v-hertfordshire-county-council</x:v>
      </x:c>
      <x:c r="E296" s="1" t="str">
        <x:v>real</x:v>
      </x:c>
      <x:c r="F296" s="15" t="str">
        <x:v>Karpasitis v Hertfordshire County Council</x:v>
      </x:c>
      <x:c r="G296" s="16" t="n">
        <x:v>46097.0578459375</x:v>
      </x:c>
      <x:c r="H296" s="15" t="str">
        <x:v>case</x:v>
      </x:c>
      <x:c r="I296" s="15" t="str">
        <x:v>case:2016 ewhc 1767 qb</x:v>
      </x:c>
      <x:c r="J296" s="15" t="str">
        <x:v>King Lifting Ltd v Oxfordshire County Council</x:v>
      </x:c>
      <x:c r="K296" s="15" t="str">
        <x:v>[2016] EWHC 1767 (QB)</x:v>
      </x:c>
      <x:c r="L296" s="15" t="str">
        <x:v>52d20bb9-6964-44a6-9c32-d191ef76297c</x:v>
      </x:c>
      <x:c r="M296" s="15" t="str"/>
      <x:c r="N296" s="15" t="str">
        <x:v>factualFindings.chronology[0].sourceCases[0]</x:v>
      </x:c>
      <x:c r="O296" s="15" t="str">
        <x:v>structured_json</x:v>
      </x:c>
      <x:c r="P296" s="15" t="str"/>
      <x:c r="Q296" s="15" t="str">
        <x:v>distinguished</x:v>
      </x:c>
      <x:c r="R296" s="15" t="str">
        <x:v>Highlights previous rulings about the timing of inspections in the context of claimed negligence.</x:v>
      </x:c>
      <x:c r="S296" s="15" t="str"/>
    </x:row>
    <x:row r="297">
      <x:c r="A297" s="1" t="str">
        <x:v>O0296</x:v>
      </x:c>
      <x:c r="B297" s="1" t="str">
        <x:v>cmmsi1xqb000h04jsef3v6skf</x:v>
      </x:c>
      <x:c r="C297" s="1" t="str">
        <x:v>cmmshtbz8000204jsdrli49qe</x:v>
      </x:c>
      <x:c r="D297" s="1" t="str">
        <x:v>karpasitis-v-hertfordshire-county-council</x:v>
      </x:c>
      <x:c r="E297" s="1" t="str">
        <x:v>real</x:v>
      </x:c>
      <x:c r="F297" s="15" t="str">
        <x:v>Karpasitis v Hertfordshire County Council</x:v>
      </x:c>
      <x:c r="G297" s="16" t="n">
        <x:v>46097.0578459375</x:v>
      </x:c>
      <x:c r="H297" s="15" t="str">
        <x:v>case</x:v>
      </x:c>
      <x:c r="I297" s="15" t="str">
        <x:v>case:2010 ewca civ 776</x:v>
      </x:c>
      <x:c r="J297" s="15" t="str">
        <x:v>Yetkin v London Borough of Newham</x:v>
      </x:c>
      <x:c r="K297" s="15" t="str">
        <x:v>[2010] EWCA Civ 776</x:v>
      </x:c>
      <x:c r="L297" s="15" t="str">
        <x:v>5a42b4bc-fe8f-47be-9b13-869933b2ddff</x:v>
      </x:c>
      <x:c r="M297" s="15" t="str"/>
      <x:c r="N297" s="15" t="str">
        <x:v>factualFindings.chronology[1].sourceCases[0]</x:v>
      </x:c>
      <x:c r="O297" s="15" t="str">
        <x:v>structured_json</x:v>
      </x:c>
      <x:c r="P297" s="15" t="str"/>
      <x:c r="Q297" s="15" t="str">
        <x:v>distinguished</x:v>
      </x:c>
      <x:c r="R297" s="15" t="str">
        <x:v>Discusses the implications of road safety for cyclists in assessing municipal liability.</x:v>
      </x:c>
      <x:c r="S297" s="15" t="str"/>
    </x:row>
    <x:row r="298">
      <x:c r="A298" s="1" t="str">
        <x:v>O0297</x:v>
      </x:c>
      <x:c r="B298" s="1" t="str">
        <x:v>cmmsi1xqb000h04jsef3v6skf</x:v>
      </x:c>
      <x:c r="C298" s="1" t="str">
        <x:v>cmmshtbz8000204jsdrli49qe</x:v>
      </x:c>
      <x:c r="D298" s="1" t="str">
        <x:v>karpasitis-v-hertfordshire-county-council</x:v>
      </x:c>
      <x:c r="E298" s="1" t="str">
        <x:v>real</x:v>
      </x:c>
      <x:c r="F298" s="15" t="str">
        <x:v>Karpasitis v Hertfordshire County Council</x:v>
      </x:c>
      <x:c r="G298" s="16" t="n">
        <x:v>46097.0578459375</x:v>
      </x:c>
      <x:c r="H298" s="15" t="str">
        <x:v>case</x:v>
      </x:c>
      <x:c r="I298" s="15" t="str">
        <x:v>case:gorringe v calderdale metropolitan borough council</x:v>
      </x:c>
      <x:c r="J298" s="15" t="str">
        <x:v>Gorringe v. Calderdale Metropolitan Borough Council</x:v>
      </x:c>
      <x:c r="K298" s="15" t="str">
        <x:v>N/A</x:v>
      </x:c>
      <x:c r="L298" s="15" t="str">
        <x:v>bc30491e-9ae6-48da-90d0-71d8a8069b22</x:v>
      </x:c>
      <x:c r="M298" s="15" t="str"/>
      <x:c r="N298" s="15" t="str">
        <x:v>factualFindings.contestedFacts[0].sourceCases[0]</x:v>
      </x:c>
      <x:c r="O298" s="15" t="str">
        <x:v>structured_json</x:v>
      </x:c>
      <x:c r="P298" s="15" t="str"/>
      <x:c r="Q298" s="15" t="str">
        <x:v>distinguished</x:v>
      </x:c>
      <x:c r="R298" s="15" t="str">
        <x:v>Relevant in considering common law duties regarding road signage and implications for public safety.</x:v>
      </x:c>
      <x:c r="S298" s="15" t="str"/>
    </x:row>
    <x:row r="299">
      <x:c r="A299" s="1" t="str">
        <x:v>O0298</x:v>
      </x:c>
      <x:c r="B299" s="1" t="str">
        <x:v>cmmsi1xqb000h04jsef3v6skf</x:v>
      </x:c>
      <x:c r="C299" s="1" t="str">
        <x:v>cmmshtbz8000204jsdrli49qe</x:v>
      </x:c>
      <x:c r="D299" s="1" t="str">
        <x:v>karpasitis-v-hertfordshire-county-council</x:v>
      </x:c>
      <x:c r="E299" s="1" t="str">
        <x:v>real</x:v>
      </x:c>
      <x:c r="F299" s="15" t="str">
        <x:v>Karpasitis v Hertfordshire County Council</x:v>
      </x:c>
      <x:c r="G299" s="16" t="n">
        <x:v>46097.0578459375</x:v>
      </x:c>
      <x:c r="H299" s="15" t="str">
        <x:v>case</x:v>
      </x:c>
      <x:c r="I299" s="15" t="str">
        <x:v>case:griffiths v gwynedd county council</x:v>
      </x:c>
      <x:c r="J299" s="15" t="str">
        <x:v>Griffiths v Gwynedd County Council</x:v>
      </x:c>
      <x:c r="K299" s="15" t="str">
        <x:v>N/A</x:v>
      </x:c>
      <x:c r="L299" s="15" t="str">
        <x:v>70c75405-8cba-40e2-92ff-8302ea4f6789</x:v>
      </x:c>
      <x:c r="M299" s="15" t="str"/>
      <x:c r="N299" s="15" t="str">
        <x:v>factualFindings.contestedFacts[1].sourceCases[0]</x:v>
      </x:c>
      <x:c r="O299" s="15" t="str">
        <x:v>structured_json</x:v>
      </x:c>
      <x:c r="P299" s="15" t="str"/>
      <x:c r="Q299" s="15" t="str">
        <x:v>applied_differently</x:v>
      </x:c>
      <x:c r="R299" s="15" t="str">
        <x:v>Provides guidance on evaluating the adequacy of inspections under Highways Act requirements.</x:v>
      </x:c>
      <x:c r="S299" s="15" t="str"/>
    </x:row>
    <x:row r="300">
      <x:c r="A300" s="1" t="str">
        <x:v>O0299</x:v>
      </x:c>
      <x:c r="B300" s="1" t="str">
        <x:v>cmmsi1xqb000h04jsef3v6skf</x:v>
      </x:c>
      <x:c r="C300" s="1" t="str">
        <x:v>cmmshtbz8000204jsdrli49qe</x:v>
      </x:c>
      <x:c r="D300" s="1" t="str">
        <x:v>karpasitis-v-hertfordshire-county-council</x:v>
      </x:c>
      <x:c r="E300" s="1" t="str">
        <x:v>real</x:v>
      </x:c>
      <x:c r="F300" s="15" t="str">
        <x:v>Karpasitis v Hertfordshire County Council</x:v>
      </x:c>
      <x:c r="G300" s="16" t="n">
        <x:v>46097.0578459375</x:v>
      </x:c>
      <x:c r="H300" s="15" t="str">
        <x:v>case</x:v>
      </x:c>
      <x:c r="I300" s="15" t="str">
        <x:v>case:gorringe v calderdale metropolitan borough council</x:v>
      </x:c>
      <x:c r="J300" s="15" t="str">
        <x:v>Gorringe v. Calderdale Metropolitan Borough Council</x:v>
      </x:c>
      <x:c r="K300" s="15" t="str">
        <x:v>N/A</x:v>
      </x:c>
      <x:c r="L300" s="15" t="str">
        <x:v>bc30491e-9ae6-48da-90d0-71d8a8069b22</x:v>
      </x:c>
      <x:c r="M300" s="15" t="str"/>
      <x:c r="N300" s="15" t="str">
        <x:v>reasoningStructure[0].sourceCases[0]</x:v>
      </x:c>
      <x:c r="O300" s="15" t="str">
        <x:v>structured_json</x:v>
      </x:c>
      <x:c r="P300" s="15" t="str"/>
      <x:c r="Q300" s="15" t="str">
        <x:v>distinguished</x:v>
      </x:c>
      <x:c r="R300" s="15" t="str">
        <x:v>Explores common law duties tailored towards public safety.</x:v>
      </x:c>
      <x:c r="S300" s="15" t="str"/>
    </x:row>
    <x:row r="301">
      <x:c r="A301" s="1" t="str">
        <x:v>O0300</x:v>
      </x:c>
      <x:c r="B301" s="1" t="str">
        <x:v>cmmsi1xqb000h04jsef3v6skf</x:v>
      </x:c>
      <x:c r="C301" s="1" t="str">
        <x:v>cmmshtbz8000204jsdrli49qe</x:v>
      </x:c>
      <x:c r="D301" s="1" t="str">
        <x:v>karpasitis-v-hertfordshire-county-council</x:v>
      </x:c>
      <x:c r="E301" s="1" t="str">
        <x:v>real</x:v>
      </x:c>
      <x:c r="F301" s="15" t="str">
        <x:v>Karpasitis v Hertfordshire County Council</x:v>
      </x:c>
      <x:c r="G301" s="16" t="n">
        <x:v>46097.0578459375</x:v>
      </x:c>
      <x:c r="H301" s="15" t="str">
        <x:v>case</x:v>
      </x:c>
      <x:c r="I301" s="15" t="str">
        <x:v>case:griffiths v gwynedd county council</x:v>
      </x:c>
      <x:c r="J301" s="15" t="str">
        <x:v>Griffiths v Gwynedd County Council</x:v>
      </x:c>
      <x:c r="K301" s="15" t="str">
        <x:v>N/A</x:v>
      </x:c>
      <x:c r="L301" s="15" t="str">
        <x:v>70c75405-8cba-40e2-92ff-8302ea4f6789</x:v>
      </x:c>
      <x:c r="M301" s="15" t="str"/>
      <x:c r="N301" s="15" t="str">
        <x:v>reasoningStructure[1].sourceCases[0]</x:v>
      </x:c>
      <x:c r="O301" s="15" t="str">
        <x:v>structured_json</x:v>
      </x:c>
      <x:c r="P301" s="15" t="str"/>
      <x:c r="Q301" s="15" t="str">
        <x:v>applied_differently</x:v>
      </x:c>
      <x:c r="R301" s="15" t="str">
        <x:v>Evaluates similar inspections under regulatory obligations and associated liabilities.</x:v>
      </x:c>
      <x:c r="S301" s="15" t="str"/>
    </x:row>
    <x:row r="302">
      <x:c r="A302" s="1" t="str">
        <x:v>O0301</x:v>
      </x:c>
      <x:c r="B302" s="1" t="str">
        <x:v>cmmsi1xqb000h04jsef3v6skf</x:v>
      </x:c>
      <x:c r="C302" s="1" t="str">
        <x:v>cmmshtbz8000204jsdrli49qe</x:v>
      </x:c>
      <x:c r="D302" s="1" t="str">
        <x:v>karpasitis-v-hertfordshire-county-council</x:v>
      </x:c>
      <x:c r="E302" s="1" t="str">
        <x:v>real</x:v>
      </x:c>
      <x:c r="F302" s="15" t="str">
        <x:v>Karpasitis v Hertfordshire County Council</x:v>
      </x:c>
      <x:c r="G302" s="16" t="n">
        <x:v>46097.0578459375</x:v>
      </x:c>
      <x:c r="H302" s="15" t="str">
        <x:v>case</x:v>
      </x:c>
      <x:c r="I302" s="15" t="str">
        <x:v>case:gorringe v calderdale metropolitan borough council</x:v>
      </x:c>
      <x:c r="J302" s="15" t="str">
        <x:v>Gorringe v. Calderdale Metropolitan Borough Council</x:v>
      </x:c>
      <x:c r="K302" s="15" t="str">
        <x:v>N/A</x:v>
      </x:c>
      <x:c r="L302" s="15" t="str">
        <x:v>bc30491e-9ae6-48da-90d0-71d8a8069b22</x:v>
      </x:c>
      <x:c r="M302" s="15" t="str"/>
      <x:c r="N302" s="15" t="str">
        <x:v>issuesForDetermination.issueMatrix[0].sourceCases[0]</x:v>
      </x:c>
      <x:c r="O302" s="15" t="str">
        <x:v>structured_json</x:v>
      </x:c>
      <x:c r="P302" s="15" t="str"/>
      <x:c r="Q302" s="15" t="str">
        <x:v>distinguished</x:v>
      </x:c>
      <x:c r="R302" s="15" t="str">
        <x:v>Bears on the duty of care required from highway authorities.</x:v>
      </x:c>
      <x:c r="S302" s="15" t="str"/>
    </x:row>
    <x:row r="303">
      <x:c r="A303" s="1" t="str">
        <x:v>O0302</x:v>
      </x:c>
      <x:c r="B303" s="1" t="str">
        <x:v>cmmsi1xqb000h04jsef3v6skf</x:v>
      </x:c>
      <x:c r="C303" s="1" t="str">
        <x:v>cmmshtbz8000204jsdrli49qe</x:v>
      </x:c>
      <x:c r="D303" s="1" t="str">
        <x:v>karpasitis-v-hertfordshire-county-council</x:v>
      </x:c>
      <x:c r="E303" s="1" t="str">
        <x:v>real</x:v>
      </x:c>
      <x:c r="F303" s="15" t="str">
        <x:v>Karpasitis v Hertfordshire County Council</x:v>
      </x:c>
      <x:c r="G303" s="16" t="n">
        <x:v>46097.0578459375</x:v>
      </x:c>
      <x:c r="H303" s="15" t="str">
        <x:v>case</x:v>
      </x:c>
      <x:c r="I303" s="15" t="str">
        <x:v>case:griffiths v gwynedd county council</x:v>
      </x:c>
      <x:c r="J303" s="15" t="str">
        <x:v>Griffiths v Gwynedd County Council</x:v>
      </x:c>
      <x:c r="K303" s="15" t="str">
        <x:v>N/A</x:v>
      </x:c>
      <x:c r="L303" s="15" t="str">
        <x:v>70c75405-8cba-40e2-92ff-8302ea4f6789</x:v>
      </x:c>
      <x:c r="M303" s="15" t="str"/>
      <x:c r="N303" s="15" t="str">
        <x:v>issuesForDetermination.issueMatrix[1].sourceCases[0]</x:v>
      </x:c>
      <x:c r="O303" s="15" t="str">
        <x:v>structured_json</x:v>
      </x:c>
      <x:c r="P303" s="15" t="str"/>
      <x:c r="Q303" s="15" t="str">
        <x:v>applied_differently</x:v>
      </x:c>
      <x:c r="R303" s="15" t="str">
        <x:v>Supports argument regarding inspection adequacy preceding accidents.</x:v>
      </x:c>
      <x:c r="S303" s="15" t="str"/>
    </x:row>
    <x:row r="304">
      <x:c r="A304" s="1" t="str">
        <x:v>O0303</x:v>
      </x:c>
      <x:c r="B304" s="1" t="str">
        <x:v>cmmsiews2000304lgc3ooyg67</x:v>
      </x:c>
      <x:c r="C304" s="1" t="str">
        <x:v>cmmshtbz8000204jsdrli49qe</x:v>
      </x:c>
      <x:c r="D304" s="1" t="str">
        <x:v>karpasitis-v-hertfordshire-county-council</x:v>
      </x:c>
      <x:c r="E304" s="1" t="str">
        <x:v>real</x:v>
      </x:c>
      <x:c r="F304" s="15" t="str">
        <x:v>Karpasitis v Hertfordshire County Council</x:v>
      </x:c>
      <x:c r="G304" s="16" t="n">
        <x:v>46097.06485164352</x:v>
      </x:c>
      <x:c r="H304" s="15" t="str">
        <x:v>case</x:v>
      </x:c>
      <x:c r="I304" s="15" t="str">
        <x:v>case:2023 ewhc 1290 kb</x:v>
      </x:c>
      <x:c r="J304" s="15" t="str">
        <x:v>Chapman v. Mid and South Sussex NHS Foundation Trust [2023] EWHC 1290 (KB)</x:v>
      </x:c>
      <x:c r="K304" s="15" t="str">
        <x:v>Chapman v. Mid and South Sussex NHS Foundation Trust [2023] EWHC 1290 (KB)</x:v>
      </x:c>
      <x:c r="L304" s="15" t="str"/>
      <x:c r="M304" s="15" t="str"/>
      <x:c r="N304" s="15" t="str">
        <x:v>legalFramework.precedentCitations[0]</x:v>
      </x:c>
      <x:c r="O304" s="15" t="str">
        <x:v>structured_json</x:v>
      </x:c>
      <x:c r="P304" s="15" t="str">
        <x:v>persuasive</x:v>
      </x:c>
      <x:c r="Q304" s="15" t="str"/>
      <x:c r="R304" s="15" t="str">
        <x:v>Addresses statutory control over public safety regulations for cyclists and pedestrians.</x:v>
      </x:c>
      <x:c r="S304" s="15" t="str"/>
    </x:row>
    <x:row r="305">
      <x:c r="A305" s="1" t="str">
        <x:v>O0304</x:v>
      </x:c>
      <x:c r="B305" s="1" t="str">
        <x:v>cmmsiews2000304lgc3ooyg67</x:v>
      </x:c>
      <x:c r="C305" s="1" t="str">
        <x:v>cmmshtbz8000204jsdrli49qe</x:v>
      </x:c>
      <x:c r="D305" s="1" t="str">
        <x:v>karpasitis-v-hertfordshire-county-council</x:v>
      </x:c>
      <x:c r="E305" s="1" t="str">
        <x:v>real</x:v>
      </x:c>
      <x:c r="F305" s="15" t="str">
        <x:v>Karpasitis v Hertfordshire County Council</x:v>
      </x:c>
      <x:c r="G305" s="16" t="n">
        <x:v>46097.06485164352</x:v>
      </x:c>
      <x:c r="H305" s="15" t="str">
        <x:v>case</x:v>
      </x:c>
      <x:c r="I305" s="15" t="str">
        <x:v>case:2000 1 wlr 377</x:v>
      </x:c>
      <x:c r="J305" s="15" t="str">
        <x:v>Flannery v Halifax Estate Agencies Ltd [2000] 1 WLR 377</x:v>
      </x:c>
      <x:c r="K305" s="15" t="str">
        <x:v>Flannery v Halifax Estate Agencies Ltd [2000] 1 WLR 377</x:v>
      </x:c>
      <x:c r="L305" s="15" t="str"/>
      <x:c r="M305" s="15" t="str"/>
      <x:c r="N305" s="15" t="str">
        <x:v>legalFramework.precedentCitations[1]</x:v>
      </x:c>
      <x:c r="O305" s="15" t="str">
        <x:v>structured_json</x:v>
      </x:c>
      <x:c r="P305" s="15" t="str">
        <x:v>binding</x:v>
      </x:c>
      <x:c r="Q305" s="15" t="str"/>
      <x:c r="R305" s="15" t="str">
        <x:v>Explores the necessity of proper reasoning in judicial decisions to prove adequate care in liability cases.</x:v>
      </x:c>
      <x:c r="S305" s="15" t="str"/>
    </x:row>
    <x:row r="306">
      <x:c r="A306" s="1" t="str">
        <x:v>O0305</x:v>
      </x:c>
      <x:c r="B306" s="1" t="str">
        <x:v>cmmsiews2000304lgc3ooyg67</x:v>
      </x:c>
      <x:c r="C306" s="1" t="str">
        <x:v>cmmshtbz8000204jsdrli49qe</x:v>
      </x:c>
      <x:c r="D306" s="1" t="str">
        <x:v>karpasitis-v-hertfordshire-county-council</x:v>
      </x:c>
      <x:c r="E306" s="1" t="str">
        <x:v>real</x:v>
      </x:c>
      <x:c r="F306" s="15" t="str">
        <x:v>Karpasitis v Hertfordshire County Council</x:v>
      </x:c>
      <x:c r="G306" s="16" t="n">
        <x:v>46097.06485164352</x:v>
      </x:c>
      <x:c r="H306" s="15" t="str">
        <x:v>legislation</x:v>
      </x:c>
      <x:c r="I306" s="15" t="str">
        <x:v>legislation:highways act 1980 s 58</x:v>
      </x:c>
      <x:c r="J306" s="15" t="str">
        <x:v>Highways Act 1980</x:v>
      </x:c>
      <x:c r="K306" s="15" t="str">
        <x:v>Highways Act 1980 section 58</x:v>
      </x:c>
      <x:c r="L306" s="15" t="str"/>
      <x:c r="M306" s="15" t="str">
        <x:v>section 58</x:v>
      </x:c>
      <x:c r="N306" s="15" t="str">
        <x:v>legalFramework.statutoryProvisions[0]</x:v>
      </x:c>
      <x:c r="O306" s="15" t="str">
        <x:v>structured_json</x:v>
      </x:c>
      <x:c r="P306" s="15" t="str"/>
      <x:c r="Q306" s="15" t="str"/>
      <x:c r="R306" s="15" t="str">
        <x:v>Establishes statutory defense for highway authorities relative to public safety inspections.</x:v>
      </x:c>
      <x:c r="S306" s="15" t="str"/>
    </x:row>
    <x:row r="307">
      <x:c r="A307" s="1" t="str">
        <x:v>O0306</x:v>
      </x:c>
      <x:c r="B307" s="1" t="str">
        <x:v>cmmsiews2000304lgc3ooyg67</x:v>
      </x:c>
      <x:c r="C307" s="1" t="str">
        <x:v>cmmshtbz8000204jsdrli49qe</x:v>
      </x:c>
      <x:c r="D307" s="1" t="str">
        <x:v>karpasitis-v-hertfordshire-county-council</x:v>
      </x:c>
      <x:c r="E307" s="1" t="str">
        <x:v>real</x:v>
      </x:c>
      <x:c r="F307" s="15" t="str">
        <x:v>Karpasitis v Hertfordshire County Council</x:v>
      </x:c>
      <x:c r="G307" s="16" t="n">
        <x:v>46097.06485164352</x:v>
      </x:c>
      <x:c r="H307" s="15" t="str">
        <x:v>legislation</x:v>
      </x:c>
      <x:c r="I307" s="15" t="str">
        <x:v>legislation:senior courts act 1981 s 35a</x:v>
      </x:c>
      <x:c r="J307" s="15" t="str">
        <x:v>Senior Courts Act 1981, s.35A</x:v>
      </x:c>
      <x:c r="K307" s="15" t="str">
        <x:v>Senior Courts Act 1981, s.35A</x:v>
      </x:c>
      <x:c r="L307" s="15" t="str"/>
      <x:c r="M307" s="15" t="str"/>
      <x:c r="N307" s="15" t="str">
        <x:v>decisionAndDisposition.interest.statutoryBasis</x:v>
      </x:c>
      <x:c r="O307" s="15" t="str">
        <x:v>structured_json</x:v>
      </x:c>
      <x:c r="P307" s="15" t="str"/>
      <x:c r="Q307" s="15" t="str"/>
      <x:c r="R307" s="15" t="str"/>
      <x:c r="S307" s="15" t="str"/>
    </x:row>
    <x:row r="308">
      <x:c r="A308" s="1" t="str">
        <x:v>O0307</x:v>
      </x:c>
      <x:c r="B308" s="1" t="str">
        <x:v>cmmsiews2000304lgc3ooyg67</x:v>
      </x:c>
      <x:c r="C308" s="1" t="str">
        <x:v>cmmshtbz8000204jsdrli49qe</x:v>
      </x:c>
      <x:c r="D308" s="1" t="str">
        <x:v>karpasitis-v-hertfordshire-county-council</x:v>
      </x:c>
      <x:c r="E308" s="1" t="str">
        <x:v>real</x:v>
      </x:c>
      <x:c r="F308" s="15" t="str">
        <x:v>Karpasitis v Hertfordshire County Council</x:v>
      </x:c>
      <x:c r="G308" s="16" t="n">
        <x:v>46097.06485164352</x:v>
      </x:c>
      <x:c r="H308" s="15" t="str">
        <x:v>legislation</x:v>
      </x:c>
      <x:c r="I308" s="15" t="str">
        <x:v>legislation:highways act 1980 s 58</x:v>
      </x:c>
      <x:c r="J308" s="15" t="str">
        <x:v>Highways Act 1980, s.58</x:v>
      </x:c>
      <x:c r="K308" s="15" t="str">
        <x:v>Highways Act 1980, s.58</x:v>
      </x:c>
      <x:c r="L308" s="15" t="str"/>
      <x:c r="M308" s="15" t="str"/>
      <x:c r="N308" s="15" t="str">
        <x:v>legalFramework.legalTestSummaries[0].sourceAuthority</x:v>
      </x:c>
      <x:c r="O308" s="15" t="str">
        <x:v>structured_json</x:v>
      </x:c>
      <x:c r="P308" s="15" t="str"/>
      <x:c r="Q308" s="15" t="str"/>
      <x:c r="R308" s="15" t="str"/>
      <x:c r="S308" s="15" t="str"/>
    </x:row>
    <x:row r="309">
      <x:c r="A309" s="1" t="str">
        <x:v>O0308</x:v>
      </x:c>
      <x:c r="B309" s="1" t="str">
        <x:v>cmmsiews2000304lgc3ooyg67</x:v>
      </x:c>
      <x:c r="C309" s="1" t="str">
        <x:v>cmmshtbz8000204jsdrli49qe</x:v>
      </x:c>
      <x:c r="D309" s="1" t="str">
        <x:v>karpasitis-v-hertfordshire-county-council</x:v>
      </x:c>
      <x:c r="E309" s="1" t="str">
        <x:v>real</x:v>
      </x:c>
      <x:c r="F309" s="15" t="str">
        <x:v>Karpasitis v Hertfordshire County Council</x:v>
      </x:c>
      <x:c r="G309" s="16" t="n">
        <x:v>46097.06485164352</x:v>
      </x:c>
      <x:c r="H309" s="15" t="str">
        <x:v>other</x:v>
      </x:c>
      <x:c r="I309" s="15" t="str">
        <x:v>other:common law duties of care in tort</x:v>
      </x:c>
      <x:c r="J309" s="15" t="str">
        <x:v>Common law duties of care in tort</x:v>
      </x:c>
      <x:c r="K309" s="15" t="str">
        <x:v>Common law duties of care in tort</x:v>
      </x:c>
      <x:c r="L309" s="15" t="str"/>
      <x:c r="M309" s="15" t="str"/>
      <x:c r="N309" s="15" t="str">
        <x:v>legalFramework.legalTestSummaries[1].sourceAuthority</x:v>
      </x:c>
      <x:c r="O309" s="15" t="str">
        <x:v>structured_json</x:v>
      </x:c>
      <x:c r="P309" s="15" t="str"/>
      <x:c r="Q309" s="15" t="str"/>
      <x:c r="R309" s="15" t="str"/>
      <x:c r="S309" s="15" t="str"/>
    </x:row>
    <x:row r="310">
      <x:c r="A310" s="1" t="str">
        <x:v>O0309</x:v>
      </x:c>
      <x:c r="B310" s="1" t="str">
        <x:v>cmmsiews2000304lgc3ooyg67</x:v>
      </x:c>
      <x:c r="C310" s="1" t="str">
        <x:v>cmmshtbz8000204jsdrli49qe</x:v>
      </x:c>
      <x:c r="D310" s="1" t="str">
        <x:v>karpasitis-v-hertfordshire-county-council</x:v>
      </x:c>
      <x:c r="E310" s="1" t="str">
        <x:v>real</x:v>
      </x:c>
      <x:c r="F310" s="15" t="str">
        <x:v>Karpasitis v Hertfordshire County Council</x:v>
      </x:c>
      <x:c r="G310" s="16" t="n">
        <x:v>46097.06485164352</x:v>
      </x:c>
      <x:c r="H310" s="15" t="str">
        <x:v>case</x:v>
      </x:c>
      <x:c r="I310" s="15" t="str">
        <x:v>case:griffiths v gwynedd county council</x:v>
      </x:c>
      <x:c r="J310" s="15" t="str">
        <x:v>Griffiths v Gwynedd County Council</x:v>
      </x:c>
      <x:c r="K310" s="15" t="str">
        <x:v>N/A</x:v>
      </x:c>
      <x:c r="L310" s="15" t="str">
        <x:v>70c75405-8cba-40e2-92ff-8302ea4f6789</x:v>
      </x:c>
      <x:c r="M310" s="15" t="str"/>
      <x:c r="N310" s="15" t="str">
        <x:v>factualFindings.contestedFacts[0].sourceCases[0]</x:v>
      </x:c>
      <x:c r="O310" s="15" t="str">
        <x:v>structured_json</x:v>
      </x:c>
      <x:c r="P310" s="15" t="str"/>
      <x:c r="Q310" s="15" t="str">
        <x:v>applied_differently</x:v>
      </x:c>
      <x:c r="R310" s="15" t="str">
        <x:v>Similar inspection adequacy analysis for public liability under the Highways Act.</x:v>
      </x:c>
      <x:c r="S310" s="15" t="str"/>
    </x:row>
    <x:row r="311">
      <x:c r="A311" s="1" t="str">
        <x:v>O0310</x:v>
      </x:c>
      <x:c r="B311" s="1" t="str">
        <x:v>cmmsiews2000304lgc3ooyg67</x:v>
      </x:c>
      <x:c r="C311" s="1" t="str">
        <x:v>cmmshtbz8000204jsdrli49qe</x:v>
      </x:c>
      <x:c r="D311" s="1" t="str">
        <x:v>karpasitis-v-hertfordshire-county-council</x:v>
      </x:c>
      <x:c r="E311" s="1" t="str">
        <x:v>real</x:v>
      </x:c>
      <x:c r="F311" s="15" t="str">
        <x:v>Karpasitis v Hertfordshire County Council</x:v>
      </x:c>
      <x:c r="G311" s="16" t="n">
        <x:v>46097.06485164352</x:v>
      </x:c>
      <x:c r="H311" s="15" t="str">
        <x:v>case</x:v>
      </x:c>
      <x:c r="I311" s="15" t="str">
        <x:v>case:the secretary of state for transport &amp; anor v cuciurean</x:v>
      </x:c>
      <x:c r="J311" s="15" t="str">
        <x:v>The Secretary of State for Transport &amp; Anor v Cuciurean</x:v>
      </x:c>
      <x:c r="K311" s="15" t="str">
        <x:v>N/A</x:v>
      </x:c>
      <x:c r="L311" s="15" t="str">
        <x:v>aeeec773-897a-43bf-a319-7d0c8a133974</x:v>
      </x:c>
      <x:c r="M311" s="15" t="str"/>
      <x:c r="N311" s="15" t="str">
        <x:v>factualFindings.contestedFacts[1].sourceCases[0]</x:v>
      </x:c>
      <x:c r="O311" s="15" t="str">
        <x:v>structured_json</x:v>
      </x:c>
      <x:c r="P311" s="15" t="str"/>
      <x:c r="Q311" s="15" t="str">
        <x:v>distinguished</x:v>
      </x:c>
      <x:c r="R311" s="15" t="str">
        <x:v>Relevant discussion regarding public authority obligations and public safety signage.</x:v>
      </x:c>
      <x:c r="S311" s="15" t="str"/>
    </x:row>
    <x:row r="312">
      <x:c r="A312" s="1" t="str">
        <x:v>O0311</x:v>
      </x:c>
      <x:c r="B312" s="1" t="str">
        <x:v>cmmsiews2000304lgc3ooyg67</x:v>
      </x:c>
      <x:c r="C312" s="1" t="str">
        <x:v>cmmshtbz8000204jsdrli49qe</x:v>
      </x:c>
      <x:c r="D312" s="1" t="str">
        <x:v>karpasitis-v-hertfordshire-county-council</x:v>
      </x:c>
      <x:c r="E312" s="1" t="str">
        <x:v>real</x:v>
      </x:c>
      <x:c r="F312" s="15" t="str">
        <x:v>Karpasitis v Hertfordshire County Council</x:v>
      </x:c>
      <x:c r="G312" s="16" t="n">
        <x:v>46097.06485164352</x:v>
      </x:c>
      <x:c r="H312" s="15" t="str">
        <x:v>case</x:v>
      </x:c>
      <x:c r="I312" s="15" t="str">
        <x:v>case:griffiths v gwynedd county council</x:v>
      </x:c>
      <x:c r="J312" s="15" t="str">
        <x:v>Griffiths v Gwynedd County Council</x:v>
      </x:c>
      <x:c r="K312" s="15" t="str">
        <x:v>N/A</x:v>
      </x:c>
      <x:c r="L312" s="15" t="str">
        <x:v>70c75405-8cba-40e2-92ff-8302ea4f6789</x:v>
      </x:c>
      <x:c r="M312" s="15" t="str"/>
      <x:c r="N312" s="15" t="str">
        <x:v>reasoningStructure[0].sourceCases[0]</x:v>
      </x:c>
      <x:c r="O312" s="15" t="str">
        <x:v>structured_json</x:v>
      </x:c>
      <x:c r="P312" s="15" t="str"/>
      <x:c r="Q312" s="15" t="str">
        <x:v>applied_differently</x:v>
      </x:c>
      <x:c r="R312" s="15" t="str">
        <x:v>This case informs the threshold for the statutory defense under Section 58 expectations vis-à-vis inspections.</x:v>
      </x:c>
      <x:c r="S312" s="15" t="str"/>
    </x:row>
    <x:row r="313">
      <x:c r="A313" s="1" t="str">
        <x:v>O0312</x:v>
      </x:c>
      <x:c r="B313" s="1" t="str">
        <x:v>cmmsiews2000304lgc3ooyg67</x:v>
      </x:c>
      <x:c r="C313" s="1" t="str">
        <x:v>cmmshtbz8000204jsdrli49qe</x:v>
      </x:c>
      <x:c r="D313" s="1" t="str">
        <x:v>karpasitis-v-hertfordshire-county-council</x:v>
      </x:c>
      <x:c r="E313" s="1" t="str">
        <x:v>real</x:v>
      </x:c>
      <x:c r="F313" s="15" t="str">
        <x:v>Karpasitis v Hertfordshire County Council</x:v>
      </x:c>
      <x:c r="G313" s="16" t="n">
        <x:v>46097.06485164352</x:v>
      </x:c>
      <x:c r="H313" s="15" t="str">
        <x:v>case</x:v>
      </x:c>
      <x:c r="I313" s="15" t="str">
        <x:v>case:the secretary of state for transport &amp; anor v cuciurean</x:v>
      </x:c>
      <x:c r="J313" s="15" t="str">
        <x:v>The Secretary of State for Transport &amp; Anor v Cuciurean</x:v>
      </x:c>
      <x:c r="K313" s="15" t="str">
        <x:v>N/A</x:v>
      </x:c>
      <x:c r="L313" s="15" t="str">
        <x:v>aeeec773-897a-43bf-a319-7d0c8a133974</x:v>
      </x:c>
      <x:c r="M313" s="15" t="str"/>
      <x:c r="N313" s="15" t="str">
        <x:v>reasoningStructure[1].sourceCases[0]</x:v>
      </x:c>
      <x:c r="O313" s="15" t="str">
        <x:v>structured_json</x:v>
      </x:c>
      <x:c r="P313" s="15" t="str"/>
      <x:c r="Q313" s="15" t="str">
        <x:v>distinguished</x:v>
      </x:c>
      <x:c r="R313" s="15" t="str">
        <x:v>Examines authority safety obligations re: signage which are pertinent here.</x:v>
      </x:c>
      <x:c r="S313" s="15" t="str"/>
    </x:row>
    <x:row r="314">
      <x:c r="A314" s="1" t="str">
        <x:v>O0313</x:v>
      </x:c>
      <x:c r="B314" s="1" t="str">
        <x:v>cmmsiews2000304lgc3ooyg67</x:v>
      </x:c>
      <x:c r="C314" s="1" t="str">
        <x:v>cmmshtbz8000204jsdrli49qe</x:v>
      </x:c>
      <x:c r="D314" s="1" t="str">
        <x:v>karpasitis-v-hertfordshire-county-council</x:v>
      </x:c>
      <x:c r="E314" s="1" t="str">
        <x:v>real</x:v>
      </x:c>
      <x:c r="F314" s="15" t="str">
        <x:v>Karpasitis v Hertfordshire County Council</x:v>
      </x:c>
      <x:c r="G314" s="16" t="n">
        <x:v>46097.06485164352</x:v>
      </x:c>
      <x:c r="H314" s="15" t="str">
        <x:v>case</x:v>
      </x:c>
      <x:c r="I314" s="15" t="str">
        <x:v>case:griffiths v gwynedd county council</x:v>
      </x:c>
      <x:c r="J314" s="15" t="str">
        <x:v>Griffiths v Gwynedd County Council</x:v>
      </x:c>
      <x:c r="K314" s="15" t="str">
        <x:v>N/A</x:v>
      </x:c>
      <x:c r="L314" s="15" t="str">
        <x:v>70c75405-8cba-40e2-92ff-8302ea4f6789</x:v>
      </x:c>
      <x:c r="M314" s="15" t="str"/>
      <x:c r="N314" s="15" t="str">
        <x:v>issuesForDetermination.issueMatrix[0].sourceCases[0]</x:v>
      </x:c>
      <x:c r="O314" s="15" t="str">
        <x:v>structured_json</x:v>
      </x:c>
      <x:c r="P314" s="15" t="str"/>
      <x:c r="Q314" s="15" t="str">
        <x:v>extended</x:v>
      </x:c>
      <x:c r="R314" s="15" t="str">
        <x:v>Adjoins the threshold legal analysis for Section 58 defenses invoking inspection obligations.</x:v>
      </x:c>
      <x:c r="S314" s="15" t="str"/>
    </x:row>
    <x:row r="315">
      <x:c r="A315" s="1" t="str">
        <x:v>O0314</x:v>
      </x:c>
      <x:c r="B315" s="1" t="str">
        <x:v>cmmsiews2000304lgc3ooyg67</x:v>
      </x:c>
      <x:c r="C315" s="1" t="str">
        <x:v>cmmshtbz8000204jsdrli49qe</x:v>
      </x:c>
      <x:c r="D315" s="1" t="str">
        <x:v>karpasitis-v-hertfordshire-county-council</x:v>
      </x:c>
      <x:c r="E315" s="1" t="str">
        <x:v>real</x:v>
      </x:c>
      <x:c r="F315" s="15" t="str">
        <x:v>Karpasitis v Hertfordshire County Council</x:v>
      </x:c>
      <x:c r="G315" s="16" t="n">
        <x:v>46097.06485164352</x:v>
      </x:c>
      <x:c r="H315" s="15" t="str">
        <x:v>case</x:v>
      </x:c>
      <x:c r="I315" s="15" t="str">
        <x:v>case:the secretary of state for transport &amp; anor v cuciurean</x:v>
      </x:c>
      <x:c r="J315" s="15" t="str">
        <x:v>The Secretary of State for Transport &amp; Anor v Cuciurean</x:v>
      </x:c>
      <x:c r="K315" s="15" t="str">
        <x:v>N/A</x:v>
      </x:c>
      <x:c r="L315" s="15" t="str">
        <x:v>aeeec773-897a-43bf-a319-7d0c8a133974</x:v>
      </x:c>
      <x:c r="M315" s="15" t="str"/>
      <x:c r="N315" s="15" t="str">
        <x:v>issuesForDetermination.issueMatrix[1].sourceCases[0]</x:v>
      </x:c>
      <x:c r="O315" s="15" t="str">
        <x:v>structured_json</x:v>
      </x:c>
      <x:c r="P315" s="15" t="str"/>
      <x:c r="Q315" s="15" t="str">
        <x:v>applied_differently</x:v>
      </x:c>
      <x:c r="R315" s="15" t="str">
        <x:v>Features an essential examination of public authorities relating to signage and safety obligations.</x:v>
      </x:c>
      <x:c r="S315" s="15" t="str"/>
    </x:row>
    <x:row r="316">
      <x:c r="A316" s="1" t="str">
        <x:v>O0315</x:v>
      </x:c>
      <x:c r="B316" s="1" t="str">
        <x:v>cmmxgyd9z000h04kttryogau2</x:v>
      </x:c>
      <x:c r="C316" s="1" t="str">
        <x:v>cmmshtbz8000204jsdrli49qe</x:v>
      </x:c>
      <x:c r="D316" s="1" t="str">
        <x:v>karpasitis-v-hertfordshire-county-council</x:v>
      </x:c>
      <x:c r="E316" s="1" t="str">
        <x:v>real</x:v>
      </x:c>
      <x:c r="F316" s="15" t="str">
        <x:v>Karpasitis v Hertfordshire County Council</x:v>
      </x:c>
      <x:c r="G316" s="16" t="n">
        <x:v>46100.53567913194</x:v>
      </x:c>
      <x:c r="H316" s="15" t="str">
        <x:v>case</x:v>
      </x:c>
      <x:c r="I316" s="15" t="str">
        <x:v>case:2002 ewca civ 605</x:v>
      </x:c>
      <x:c r="J316" s="15" t="str">
        <x:v>[2002] EWCA Civ 605</x:v>
      </x:c>
      <x:c r="K316" s="15" t="str">
        <x:v>[2002] EWCA Civ 605</x:v>
      </x:c>
      <x:c r="L316" s="15" t="str"/>
      <x:c r="M316" s="15" t="str"/>
      <x:c r="N316" s="15" t="str">
        <x:v>legalFramework.precedentCitations[0]</x:v>
      </x:c>
      <x:c r="O316" s="15" t="str">
        <x:v>structured_json</x:v>
      </x:c>
      <x:c r="P316" s="15" t="str">
        <x:v>binding</x:v>
      </x:c>
      <x:c r="Q316" s="15" t="str"/>
      <x:c r="R316" s="15" t="str">
        <x:v>Adequacy of reasons in judgments</x:v>
      </x:c>
      <x:c r="S316" s="15" t="str"/>
    </x:row>
    <x:row r="317">
      <x:c r="A317" s="1" t="str">
        <x:v>O0316</x:v>
      </x:c>
      <x:c r="B317" s="1" t="str">
        <x:v>cmmxgyd9z000h04kttryogau2</x:v>
      </x:c>
      <x:c r="C317" s="1" t="str">
        <x:v>cmmshtbz8000204jsdrli49qe</x:v>
      </x:c>
      <x:c r="D317" s="1" t="str">
        <x:v>karpasitis-v-hertfordshire-county-council</x:v>
      </x:c>
      <x:c r="E317" s="1" t="str">
        <x:v>real</x:v>
      </x:c>
      <x:c r="F317" s="15" t="str">
        <x:v>Karpasitis v Hertfordshire County Council</x:v>
      </x:c>
      <x:c r="G317" s="16" t="n">
        <x:v>46100.53567913194</x:v>
      </x:c>
      <x:c r="H317" s="15" t="str">
        <x:v>other</x:v>
      </x:c>
      <x:c r="I317" s="15" t="str">
        <x:v>other:2000 1 wlr 377</x:v>
      </x:c>
      <x:c r="J317" s="15" t="str">
        <x:v>[2000] 1 WLR 377</x:v>
      </x:c>
      <x:c r="K317" s="15" t="str">
        <x:v>[2000] 1 WLR 377</x:v>
      </x:c>
      <x:c r="L317" s="15" t="str"/>
      <x:c r="M317" s="15" t="str"/>
      <x:c r="N317" s="15" t="str">
        <x:v>legalFramework.precedentCitations[1]</x:v>
      </x:c>
      <x:c r="O317" s="15" t="str">
        <x:v>structured_json</x:v>
      </x:c>
      <x:c r="P317" s="15" t="str">
        <x:v>binding</x:v>
      </x:c>
      <x:c r="Q317" s="15" t="str"/>
      <x:c r="R317" s="15" t="str">
        <x:v>Duty to give reasons</x:v>
      </x:c>
      <x:c r="S317" s="15" t="str"/>
    </x:row>
    <x:row r="318">
      <x:c r="A318" s="1" t="str">
        <x:v>O0317</x:v>
      </x:c>
      <x:c r="B318" s="1" t="str">
        <x:v>cmmxgyd9z000h04kttryogau2</x:v>
      </x:c>
      <x:c r="C318" s="1" t="str">
        <x:v>cmmshtbz8000204jsdrli49qe</x:v>
      </x:c>
      <x:c r="D318" s="1" t="str">
        <x:v>karpasitis-v-hertfordshire-county-council</x:v>
      </x:c>
      <x:c r="E318" s="1" t="str">
        <x:v>real</x:v>
      </x:c>
      <x:c r="F318" s="15" t="str">
        <x:v>Karpasitis v Hertfordshire County Council</x:v>
      </x:c>
      <x:c r="G318" s="16" t="n">
        <x:v>46100.53567913194</x:v>
      </x:c>
      <x:c r="H318" s="15" t="str">
        <x:v>legislation</x:v>
      </x:c>
      <x:c r="I318" s="15" t="str">
        <x:v>legislation:senior courts act 1981 s 35a</x:v>
      </x:c>
      <x:c r="J318" s="15" t="str">
        <x:v>Senior Courts Act 1981, s.35A</x:v>
      </x:c>
      <x:c r="K318" s="15" t="str">
        <x:v>Senior Courts Act 1981, s.35A</x:v>
      </x:c>
      <x:c r="L318" s="15" t="str"/>
      <x:c r="M318" s="15" t="str"/>
      <x:c r="N318" s="15" t="str">
        <x:v>legalFramework.precedentCitations[2]</x:v>
      </x:c>
      <x:c r="O318" s="15" t="str">
        <x:v>structured_json</x:v>
      </x:c>
      <x:c r="P318" s="15" t="str">
        <x:v>binding</x:v>
      </x:c>
      <x:c r="Q318" s="15" t="str"/>
      <x:c r="R318" s="15" t="str">
        <x:v>Interest on debts and damages</x:v>
      </x:c>
      <x:c r="S318" s="15" t="str"/>
    </x:row>
    <x:row r="319">
      <x:c r="A319" s="1" t="str">
        <x:v>O0318</x:v>
      </x:c>
      <x:c r="B319" s="1" t="str">
        <x:v>cmmxgyd9z000h04kttryogau2</x:v>
      </x:c>
      <x:c r="C319" s="1" t="str">
        <x:v>cmmshtbz8000204jsdrli49qe</x:v>
      </x:c>
      <x:c r="D319" s="1" t="str">
        <x:v>karpasitis-v-hertfordshire-county-council</x:v>
      </x:c>
      <x:c r="E319" s="1" t="str">
        <x:v>real</x:v>
      </x:c>
      <x:c r="F319" s="15" t="str">
        <x:v>Karpasitis v Hertfordshire County Council</x:v>
      </x:c>
      <x:c r="G319" s="16" t="n">
        <x:v>46100.53567913194</x:v>
      </x:c>
      <x:c r="H319" s="15" t="str">
        <x:v>other</x:v>
      </x:c>
      <x:c r="I319" s="15" t="str">
        <x:v>other:2020 4 wlr 55</x:v>
      </x:c>
      <x:c r="J319" s="15" t="str">
        <x:v>[2020] 4 WLR 55</x:v>
      </x:c>
      <x:c r="K319" s="15" t="str">
        <x:v>[2020] 4 WLR 55</x:v>
      </x:c>
      <x:c r="L319" s="15" t="str"/>
      <x:c r="M319" s="15" t="str"/>
      <x:c r="N319" s="15" t="str">
        <x:v>legalFramework.precedentCitations[3]</x:v>
      </x:c>
      <x:c r="O319" s="15" t="str">
        <x:v>structured_json</x:v>
      </x:c>
      <x:c r="P319" s="15" t="str">
        <x:v>persuasive</x:v>
      </x:c>
      <x:c r="Q319" s="15" t="str"/>
      <x:c r="R319" s="15" t="str">
        <x:v>Statutory defenses are scrutinized against the standard of reasonableness and due diligence.</x:v>
      </x:c>
      <x:c r="S319" s="15" t="str"/>
    </x:row>
    <x:row r="320">
      <x:c r="A320" s="1" t="str">
        <x:v>O0319</x:v>
      </x:c>
      <x:c r="B320" s="1" t="str">
        <x:v>cmmxgyd9z000h04kttryogau2</x:v>
      </x:c>
      <x:c r="C320" s="1" t="str">
        <x:v>cmmshtbz8000204jsdrli49qe</x:v>
      </x:c>
      <x:c r="D320" s="1" t="str">
        <x:v>karpasitis-v-hertfordshire-county-council</x:v>
      </x:c>
      <x:c r="E320" s="1" t="str">
        <x:v>real</x:v>
      </x:c>
      <x:c r="F320" s="15" t="str">
        <x:v>Karpasitis v Hertfordshire County Council</x:v>
      </x:c>
      <x:c r="G320" s="16" t="n">
        <x:v>46100.53567913194</x:v>
      </x:c>
      <x:c r="H320" s="15" t="str">
        <x:v>legislation</x:v>
      </x:c>
      <x:c r="I320" s="15" t="str">
        <x:v>legislation:highways act 1980 s 58</x:v>
      </x:c>
      <x:c r="J320" s="15" t="str">
        <x:v>Highways Act 1980</x:v>
      </x:c>
      <x:c r="K320" s="15" t="str">
        <x:v>Highways Act 1980 s.58</x:v>
      </x:c>
      <x:c r="L320" s="15" t="str"/>
      <x:c r="M320" s="15" t="str">
        <x:v>s.58</x:v>
      </x:c>
      <x:c r="N320" s="15" t="str">
        <x:v>legalFramework.statutoryProvisions[0]</x:v>
      </x:c>
      <x:c r="O320" s="15" t="str">
        <x:v>structured_json</x:v>
      </x:c>
      <x:c r="P320" s="15" t="str"/>
      <x:c r="Q320" s="15" t="str"/>
      <x:c r="R320" s="15" t="str">
        <x:v>Establishes statutory defense for highway authorities when they maintain roads and paths to a reasonable standard.</x:v>
      </x:c>
      <x:c r="S320" s="15" t="str"/>
    </x:row>
    <x:row r="321">
      <x:c r="A321" s="1" t="str">
        <x:v>O0320</x:v>
      </x:c>
      <x:c r="B321" s="1" t="str">
        <x:v>cmmxgyd9z000h04kttryogau2</x:v>
      </x:c>
      <x:c r="C321" s="1" t="str">
        <x:v>cmmshtbz8000204jsdrli49qe</x:v>
      </x:c>
      <x:c r="D321" s="1" t="str">
        <x:v>karpasitis-v-hertfordshire-county-council</x:v>
      </x:c>
      <x:c r="E321" s="1" t="str">
        <x:v>real</x:v>
      </x:c>
      <x:c r="F321" s="15" t="str">
        <x:v>Karpasitis v Hertfordshire County Council</x:v>
      </x:c>
      <x:c r="G321" s="16" t="n">
        <x:v>46100.53567913194</x:v>
      </x:c>
      <x:c r="H321" s="15" t="str">
        <x:v>legislation</x:v>
      </x:c>
      <x:c r="I321" s="15" t="str">
        <x:v>legislation:highways act 1980 s 41</x:v>
      </x:c>
      <x:c r="J321" s="15" t="str">
        <x:v>Highways Act 1980</x:v>
      </x:c>
      <x:c r="K321" s="15" t="str">
        <x:v>Highways Act 1980 s.41</x:v>
      </x:c>
      <x:c r="L321" s="15" t="str"/>
      <x:c r="M321" s="15" t="str">
        <x:v>s.41</x:v>
      </x:c>
      <x:c r="N321" s="15" t="str">
        <x:v>legalFramework.statutoryProvisions[1]</x:v>
      </x:c>
      <x:c r="O321" s="15" t="str">
        <x:v>structured_json</x:v>
      </x:c>
      <x:c r="P321" s="15" t="str"/>
      <x:c r="Q321" s="15" t="str"/>
      <x:c r="R321" s="15" t="str">
        <x:v>Imposes a duty on the highway authority to maintain the highway.</x:v>
      </x:c>
      <x:c r="S321" s="15" t="str"/>
    </x:row>
    <x:row r="322">
      <x:c r="A322" s="1" t="str">
        <x:v>O0321</x:v>
      </x:c>
      <x:c r="B322" s="1" t="str">
        <x:v>cmmxgyd9z000h04kttryogau2</x:v>
      </x:c>
      <x:c r="C322" s="1" t="str">
        <x:v>cmmshtbz8000204jsdrli49qe</x:v>
      </x:c>
      <x:c r="D322" s="1" t="str">
        <x:v>karpasitis-v-hertfordshire-county-council</x:v>
      </x:c>
      <x:c r="E322" s="1" t="str">
        <x:v>real</x:v>
      </x:c>
      <x:c r="F322" s="15" t="str">
        <x:v>Karpasitis v Hertfordshire County Council</x:v>
      </x:c>
      <x:c r="G322" s="16" t="n">
        <x:v>46100.53567913194</x:v>
      </x:c>
      <x:c r="H322" s="15" t="str">
        <x:v>legislation</x:v>
      </x:c>
      <x:c r="I322" s="15" t="str">
        <x:v>legislation:senior courts act 1981 s 35a</x:v>
      </x:c>
      <x:c r="J322" s="15" t="str">
        <x:v>Senior Courts Act 1981, s.35A</x:v>
      </x:c>
      <x:c r="K322" s="15" t="str">
        <x:v>Senior Courts Act 1981, s.35A</x:v>
      </x:c>
      <x:c r="L322" s="15" t="str"/>
      <x:c r="M322" s="15" t="str"/>
      <x:c r="N322" s="15" t="str">
        <x:v>decisionAndDisposition.interest.statutoryBasis</x:v>
      </x:c>
      <x:c r="O322" s="15" t="str">
        <x:v>structured_json</x:v>
      </x:c>
      <x:c r="P322" s="15" t="str"/>
      <x:c r="Q322" s="15" t="str"/>
      <x:c r="R322" s="15" t="str"/>
      <x:c r="S322" s="15" t="str"/>
    </x:row>
    <x:row r="323">
      <x:c r="A323" s="1" t="str">
        <x:v>O0322</x:v>
      </x:c>
      <x:c r="B323" s="1" t="str">
        <x:v>cmmxgyd9z000h04kttryogau2</x:v>
      </x:c>
      <x:c r="C323" s="1" t="str">
        <x:v>cmmshtbz8000204jsdrli49qe</x:v>
      </x:c>
      <x:c r="D323" s="1" t="str">
        <x:v>karpasitis-v-hertfordshire-county-council</x:v>
      </x:c>
      <x:c r="E323" s="1" t="str">
        <x:v>real</x:v>
      </x:c>
      <x:c r="F323" s="15" t="str">
        <x:v>Karpasitis v Hertfordshire County Council</x:v>
      </x:c>
      <x:c r="G323" s="16" t="n">
        <x:v>46100.53567913194</x:v>
      </x:c>
      <x:c r="H323" s="15" t="str">
        <x:v>legislation</x:v>
      </x:c>
      <x:c r="I323" s="15" t="str">
        <x:v>legislation:highways act 1980 s 58</x:v>
      </x:c>
      <x:c r="J323" s="15" t="str">
        <x:v>Highways Act 1980, s.58</x:v>
      </x:c>
      <x:c r="K323" s="15" t="str">
        <x:v>Highways Act 1980, s.58</x:v>
      </x:c>
      <x:c r="L323" s="15" t="str"/>
      <x:c r="M323" s="15" t="str"/>
      <x:c r="N323" s="15" t="str">
        <x:v>legalFramework.legalTestSummaries[0].sourceAuthority</x:v>
      </x:c>
      <x:c r="O323" s="15" t="str">
        <x:v>structured_json</x:v>
      </x:c>
      <x:c r="P323" s="15" t="str"/>
      <x:c r="Q323" s="15" t="str"/>
      <x:c r="R323" s="15" t="str"/>
      <x:c r="S323" s="15" t="str"/>
    </x:row>
    <x:row r="324">
      <x:c r="A324" s="1" t="str">
        <x:v>O0323</x:v>
      </x:c>
      <x:c r="B324" s="1" t="str">
        <x:v>cmmxgyd9z000h04kttryogau2</x:v>
      </x:c>
      <x:c r="C324" s="1" t="str">
        <x:v>cmmshtbz8000204jsdrli49qe</x:v>
      </x:c>
      <x:c r="D324" s="1" t="str">
        <x:v>karpasitis-v-hertfordshire-county-council</x:v>
      </x:c>
      <x:c r="E324" s="1" t="str">
        <x:v>real</x:v>
      </x:c>
      <x:c r="F324" s="15" t="str">
        <x:v>Karpasitis v Hertfordshire County Council</x:v>
      </x:c>
      <x:c r="G324" s="16" t="n">
        <x:v>46100.53567913194</x:v>
      </x:c>
      <x:c r="H324" s="15" t="str">
        <x:v>other</x:v>
      </x:c>
      <x:c r="I324" s="15" t="str">
        <x:v>other:case law on public authorities</x:v>
      </x:c>
      <x:c r="J324" s="15" t="str">
        <x:v>Case law on public authorities</x:v>
      </x:c>
      <x:c r="K324" s="15" t="str">
        <x:v>Case law on public authorities</x:v>
      </x:c>
      <x:c r="L324" s="15" t="str"/>
      <x:c r="M324" s="15" t="str"/>
      <x:c r="N324" s="15" t="str">
        <x:v>legalFramework.legalTestSummaries[1].sourceAuthority</x:v>
      </x:c>
      <x:c r="O324" s="15" t="str">
        <x:v>structured_json</x:v>
      </x:c>
      <x:c r="P324" s="15" t="str"/>
      <x:c r="Q324" s="15" t="str"/>
      <x:c r="R324" s="15" t="str"/>
      <x:c r="S324" s="15" t="str"/>
    </x:row>
    <x:row r="325">
      <x:c r="A325" s="1" t="str">
        <x:v>O0324</x:v>
      </x:c>
      <x:c r="B325" s="1" t="str">
        <x:v>cmmxgyd9z000h04kttryogau2</x:v>
      </x:c>
      <x:c r="C325" s="1" t="str">
        <x:v>cmmshtbz8000204jsdrli49qe</x:v>
      </x:c>
      <x:c r="D325" s="1" t="str">
        <x:v>karpasitis-v-hertfordshire-county-council</x:v>
      </x:c>
      <x:c r="E325" s="1" t="str">
        <x:v>real</x:v>
      </x:c>
      <x:c r="F325" s="15" t="str">
        <x:v>Karpasitis v Hertfordshire County Council</x:v>
      </x:c>
      <x:c r="G325" s="16" t="n">
        <x:v>46100.53567913194</x:v>
      </x:c>
      <x:c r="H325" s="15" t="str">
        <x:v>case</x:v>
      </x:c>
      <x:c r="I325" s="15" t="str">
        <x:v>case:gorringe v calderdale metropolitan borough council</x:v>
      </x:c>
      <x:c r="J325" s="15" t="str">
        <x:v>Gorringe v. Calderdale Metropolitan Borough Council</x:v>
      </x:c>
      <x:c r="K325" s="15" t="str">
        <x:v>N/A</x:v>
      </x:c>
      <x:c r="L325" s="15" t="str">
        <x:v>bc30491e-9ae6-48da-90d0-71d8a8069b22</x:v>
      </x:c>
      <x:c r="M325" s="15" t="str"/>
      <x:c r="N325" s="15" t="str">
        <x:v>legalFramework.precedentCitations[1].sourceCases[0]</x:v>
      </x:c>
      <x:c r="O325" s="15" t="str">
        <x:v>structured_json</x:v>
      </x:c>
      <x:c r="P325" s="15" t="str"/>
      <x:c r="Q325" s="15" t="str"/>
      <x:c r="R325" s="15" t="str">
        <x:v>This case revolves around the duty to provide an adequate explanation of the evidence base for a judgment decision.</x:v>
      </x:c>
      <x:c r="S325" s="15" t="str"/>
    </x:row>
    <x:row r="326">
      <x:c r="A326" s="1" t="str">
        <x:v>O0325</x:v>
      </x:c>
      <x:c r="B326" s="1" t="str">
        <x:v>cmmxgyd9z000h04kttryogau2</x:v>
      </x:c>
      <x:c r="C326" s="1" t="str">
        <x:v>cmmshtbz8000204jsdrli49qe</x:v>
      </x:c>
      <x:c r="D326" s="1" t="str">
        <x:v>karpasitis-v-hertfordshire-county-council</x:v>
      </x:c>
      <x:c r="E326" s="1" t="str">
        <x:v>real</x:v>
      </x:c>
      <x:c r="F326" s="15" t="str">
        <x:v>Karpasitis v Hertfordshire County Council</x:v>
      </x:c>
      <x:c r="G326" s="16" t="n">
        <x:v>46100.53567913194</x:v>
      </x:c>
      <x:c r="H326" s="15" t="str">
        <x:v>case</x:v>
      </x:c>
      <x:c r="I326" s="15" t="str">
        <x:v>case:king lifting ltd v oxfordshire county council</x:v>
      </x:c>
      <x:c r="J326" s="15" t="str">
        <x:v>King Lifting Ltd v Oxfordshire County Council</x:v>
      </x:c>
      <x:c r="K326" s="15" t="str">
        <x:v>[2016] EWHC 1767</x:v>
      </x:c>
      <x:c r="L326" s="15" t="str">
        <x:v>52d20bb9-6964-44a6-9c32-d191ef76297c</x:v>
      </x:c>
      <x:c r="M326" s="15" t="str"/>
      <x:c r="N326" s="15" t="str">
        <x:v>legalFramework.precedentCitations[3].sourceCases[0]</x:v>
      </x:c>
      <x:c r="O326" s="15" t="str">
        <x:v>structured_json</x:v>
      </x:c>
      <x:c r="P326" s="15" t="str"/>
      <x:c r="Q326" s="15" t="str"/>
      <x:c r="R326" s="15" t="str">
        <x:v>Uncovers the requisite standard of due diligence for statutory defenses pertaining to highway safety and maintenance.</x:v>
      </x:c>
      <x:c r="S326" s="15" t="str"/>
    </x:row>
    <x:row r="327">
      <x:c r="A327" s="1" t="str">
        <x:v>O0326</x:v>
      </x:c>
      <x:c r="B327" s="1" t="str">
        <x:v>cmmxgyd9z000h04kttryogau2</x:v>
      </x:c>
      <x:c r="C327" s="1" t="str">
        <x:v>cmmshtbz8000204jsdrli49qe</x:v>
      </x:c>
      <x:c r="D327" s="1" t="str">
        <x:v>karpasitis-v-hertfordshire-county-council</x:v>
      </x:c>
      <x:c r="E327" s="1" t="str">
        <x:v>real</x:v>
      </x:c>
      <x:c r="F327" s="15" t="str">
        <x:v>Karpasitis v Hertfordshire County Council</x:v>
      </x:c>
      <x:c r="G327" s="16" t="n">
        <x:v>46100.53567913194</x:v>
      </x:c>
      <x:c r="H327" s="15" t="str">
        <x:v>case</x:v>
      </x:c>
      <x:c r="I327" s="15" t="str">
        <x:v>case:2022 ewca civ 25</x:v>
      </x:c>
      <x:c r="J327" s="15" t="str">
        <x:v>Tindall &amp; Anor v Chief Constable of Thames Valley Police &amp; Anor</x:v>
      </x:c>
      <x:c r="K327" s="15" t="str">
        <x:v>[2022] EWCA Civ 25</x:v>
      </x:c>
      <x:c r="L327" s="15" t="str">
        <x:v>4685ad0e-87e7-4f59-8991-823ab27d9393</x:v>
      </x:c>
      <x:c r="M327" s="15" t="str"/>
      <x:c r="N327" s="15" t="str">
        <x:v>factualFindings.chronology[0].sourceCases[0]</x:v>
      </x:c>
      <x:c r="O327" s="15" t="str">
        <x:v>structured_json</x:v>
      </x:c>
      <x:c r="P327" s="15" t="str"/>
      <x:c r="Q327" s="15" t="str"/>
      <x:c r="R327" s="15" t="str">
        <x:v>Discusses procedural aspects around liability for prior inspections and the duty of care owed by public authorities.</x:v>
      </x:c>
      <x:c r="S327" s="15" t="str"/>
    </x:row>
    <x:row r="328">
      <x:c r="A328" s="1" t="str">
        <x:v>O0327</x:v>
      </x:c>
      <x:c r="B328" s="1" t="str">
        <x:v>cmmxgyd9z000h04kttryogau2</x:v>
      </x:c>
      <x:c r="C328" s="1" t="str">
        <x:v>cmmshtbz8000204jsdrli49qe</x:v>
      </x:c>
      <x:c r="D328" s="1" t="str">
        <x:v>karpasitis-v-hertfordshire-county-council</x:v>
      </x:c>
      <x:c r="E328" s="1" t="str">
        <x:v>real</x:v>
      </x:c>
      <x:c r="F328" s="15" t="str">
        <x:v>Karpasitis v Hertfordshire County Council</x:v>
      </x:c>
      <x:c r="G328" s="16" t="n">
        <x:v>46100.53567913194</x:v>
      </x:c>
      <x:c r="H328" s="15" t="str">
        <x:v>case</x:v>
      </x:c>
      <x:c r="I328" s="15" t="str">
        <x:v>case:gorringe v calderdale metropolitan borough council</x:v>
      </x:c>
      <x:c r="J328" s="15" t="str">
        <x:v>Gorringe v. Calderdale Metropolitan Borough Council</x:v>
      </x:c>
      <x:c r="K328" s="15" t="str">
        <x:v>N/A</x:v>
      </x:c>
      <x:c r="L328" s="15" t="str">
        <x:v>bc30491e-9ae6-48da-90d0-71d8a8069b22</x:v>
      </x:c>
      <x:c r="M328" s="15" t="str"/>
      <x:c r="N328" s="15" t="str">
        <x:v>factualFindings.contestedFacts[0].sourceCases[0]</x:v>
      </x:c>
      <x:c r="O328" s="15" t="str">
        <x:v>structured_json</x:v>
      </x:c>
      <x:c r="P328" s="15" t="str"/>
      <x:c r="Q328" s="15" t="str"/>
      <x:c r="R328" s="15" t="str">
        <x:v>This case involved a similar highway maintenance issue and the adequacy of signage.</x:v>
      </x:c>
      <x:c r="S328" s="15" t="str"/>
    </x:row>
    <x:row r="329">
      <x:c r="A329" s="1" t="str">
        <x:v>O0328</x:v>
      </x:c>
      <x:c r="B329" s="1" t="str">
        <x:v>cmmxgyd9z000h04kttryogau2</x:v>
      </x:c>
      <x:c r="C329" s="1" t="str">
        <x:v>cmmshtbz8000204jsdrli49qe</x:v>
      </x:c>
      <x:c r="D329" s="1" t="str">
        <x:v>karpasitis-v-hertfordshire-county-council</x:v>
      </x:c>
      <x:c r="E329" s="1" t="str">
        <x:v>real</x:v>
      </x:c>
      <x:c r="F329" s="15" t="str">
        <x:v>Karpasitis v Hertfordshire County Council</x:v>
      </x:c>
      <x:c r="G329" s="16" t="n">
        <x:v>46100.53567913194</x:v>
      </x:c>
      <x:c r="H329" s="15" t="str">
        <x:v>case</x:v>
      </x:c>
      <x:c r="I329" s="15" t="str">
        <x:v>case:2022 ewca civ 18</x:v>
      </x:c>
      <x:c r="J329" s="15" t="str">
        <x:v>Brown &amp; Ors v South West Lakes Trust &amp; Ors</x:v>
      </x:c>
      <x:c r="K329" s="15" t="str">
        <x:v>[2022] EWCA Civ 18</x:v>
      </x:c>
      <x:c r="L329" s="15" t="str">
        <x:v>70d43223-0ec6-458b-b052-bdc295e0d6ec</x:v>
      </x:c>
      <x:c r="M329" s="15" t="str"/>
      <x:c r="N329" s="15" t="str">
        <x:v>factualFindings.contestedFacts[1].sourceCases[0]</x:v>
      </x:c>
      <x:c r="O329" s="15" t="str">
        <x:v>structured_json</x:v>
      </x:c>
      <x:c r="P329" s="15" t="str"/>
      <x:c r="Q329" s="15" t="str"/>
      <x:c r="R329" s="15" t="str">
        <x:v>Expresses principles around maintenance duties and inspections in public areas.</x:v>
      </x:c>
      <x:c r="S329" s="15" t="str"/>
    </x:row>
    <x:row r="330">
      <x:c r="A330" s="1" t="str">
        <x:v>O0329</x:v>
      </x:c>
      <x:c r="B330" s="1" t="str">
        <x:v>cmmxgyd9z000h04kttryogau2</x:v>
      </x:c>
      <x:c r="C330" s="1" t="str">
        <x:v>cmmshtbz8000204jsdrli49qe</x:v>
      </x:c>
      <x:c r="D330" s="1" t="str">
        <x:v>karpasitis-v-hertfordshire-county-council</x:v>
      </x:c>
      <x:c r="E330" s="1" t="str">
        <x:v>real</x:v>
      </x:c>
      <x:c r="F330" s="15" t="str">
        <x:v>Karpasitis v Hertfordshire County Council</x:v>
      </x:c>
      <x:c r="G330" s="16" t="n">
        <x:v>46100.53567913194</x:v>
      </x:c>
      <x:c r="H330" s="15" t="str">
        <x:v>case</x:v>
      </x:c>
      <x:c r="I330" s="15" t="str">
        <x:v>case:gorringe v calderdale metropolitan borough council</x:v>
      </x:c>
      <x:c r="J330" s="15" t="str">
        <x:v>Gorringe v. Calderdale Metropolitan Borough Council</x:v>
      </x:c>
      <x:c r="K330" s="15" t="str">
        <x:v>N/A</x:v>
      </x:c>
      <x:c r="L330" s="15" t="str">
        <x:v>bc30491e-9ae6-48da-90d0-71d8a8069b22</x:v>
      </x:c>
      <x:c r="M330" s="15" t="str"/>
      <x:c r="N330" s="15" t="str">
        <x:v>reasoningStructure[0].sourceCases[0]</x:v>
      </x:c>
      <x:c r="O330" s="15" t="str">
        <x:v>structured_json</x:v>
      </x:c>
      <x:c r="P330" s="15" t="str"/>
      <x:c r="Q330" s="15" t="str"/>
      <x:c r="R330" s="15" t="str">
        <x:v>Informs the analysis on statutory road maintenance responsibilities and failures in sign postings.</x:v>
      </x:c>
      <x:c r="S330" s="15" t="str"/>
    </x:row>
    <x:row r="331">
      <x:c r="A331" s="1" t="str">
        <x:v>O0330</x:v>
      </x:c>
      <x:c r="B331" s="1" t="str">
        <x:v>cmmxgyd9z000h04kttryogau2</x:v>
      </x:c>
      <x:c r="C331" s="1" t="str">
        <x:v>cmmshtbz8000204jsdrli49qe</x:v>
      </x:c>
      <x:c r="D331" s="1" t="str">
        <x:v>karpasitis-v-hertfordshire-county-council</x:v>
      </x:c>
      <x:c r="E331" s="1" t="str">
        <x:v>real</x:v>
      </x:c>
      <x:c r="F331" s="15" t="str">
        <x:v>Karpasitis v Hertfordshire County Council</x:v>
      </x:c>
      <x:c r="G331" s="16" t="n">
        <x:v>46100.53567913194</x:v>
      </x:c>
      <x:c r="H331" s="15" t="str">
        <x:v>case</x:v>
      </x:c>
      <x:c r="I331" s="15" t="str">
        <x:v>case:2022 ewca civ 18</x:v>
      </x:c>
      <x:c r="J331" s="15" t="str">
        <x:v>Brown &amp; Ors v South West Lakes Trust &amp; Ors</x:v>
      </x:c>
      <x:c r="K331" s="15" t="str">
        <x:v>[2022] EWCA Civ 18</x:v>
      </x:c>
      <x:c r="L331" s="15" t="str">
        <x:v>70d43223-0ec6-458b-b052-bdc295e0d6ec</x:v>
      </x:c>
      <x:c r="M331" s="15" t="str"/>
      <x:c r="N331" s="15" t="str">
        <x:v>reasoningStructure[1].sourceCases[0]</x:v>
      </x:c>
      <x:c r="O331" s="15" t="str">
        <x:v>structured_json</x:v>
      </x:c>
      <x:c r="P331" s="15" t="str"/>
      <x:c r="Q331" s="15" t="str"/>
      <x:c r="R331" s="15" t="str">
        <x:v>Points towards expectations of statutory compliance in ensuring empty conditions for public safety.</x:v>
      </x:c>
      <x:c r="S331" s="15" t="str"/>
    </x:row>
    <x:row r="332">
      <x:c r="A332" s="1" t="str">
        <x:v>O0331</x:v>
      </x:c>
      <x:c r="B332" s="1" t="str">
        <x:v>cmmxgyd9z000h04kttryogau2</x:v>
      </x:c>
      <x:c r="C332" s="1" t="str">
        <x:v>cmmshtbz8000204jsdrli49qe</x:v>
      </x:c>
      <x:c r="D332" s="1" t="str">
        <x:v>karpasitis-v-hertfordshire-county-council</x:v>
      </x:c>
      <x:c r="E332" s="1" t="str">
        <x:v>real</x:v>
      </x:c>
      <x:c r="F332" s="15" t="str">
        <x:v>Karpasitis v Hertfordshire County Council</x:v>
      </x:c>
      <x:c r="G332" s="16" t="n">
        <x:v>46100.53567913194</x:v>
      </x:c>
      <x:c r="H332" s="15" t="str">
        <x:v>case</x:v>
      </x:c>
      <x:c r="I332" s="15" t="str">
        <x:v>case:gorringe v calderdale metropolitan borough council</x:v>
      </x:c>
      <x:c r="J332" s="15" t="str">
        <x:v>Gorringe v. Calderdale Metropolitan Borough Council</x:v>
      </x:c>
      <x:c r="K332" s="15" t="str">
        <x:v>N/A</x:v>
      </x:c>
      <x:c r="L332" s="15" t="str">
        <x:v>bc30491e-9ae6-48da-90d0-71d8a8069b22</x:v>
      </x:c>
      <x:c r="M332" s="15" t="str"/>
      <x:c r="N332" s="15" t="str">
        <x:v>issuesForDetermination.issueMatrix[0].sourceCases[0]</x:v>
      </x:c>
      <x:c r="O332" s="15" t="str">
        <x:v>structured_json</x:v>
      </x:c>
      <x:c r="P332" s="15" t="str"/>
      <x:c r="Q332" s="15" t="str"/>
      <x:c r="R332" s="15" t="str">
        <x:v>Similar breach of duty case regarding the adequacy of warnings and road safety measures.</x:v>
      </x:c>
      <x:c r="S332" s="15" t="str"/>
    </x:row>
    <x:row r="333">
      <x:c r="A333" s="1" t="str">
        <x:v>O0332</x:v>
      </x:c>
      <x:c r="B333" s="1" t="str">
        <x:v>cmmxgyd9z000h04kttryogau2</x:v>
      </x:c>
      <x:c r="C333" s="1" t="str">
        <x:v>cmmshtbz8000204jsdrli49qe</x:v>
      </x:c>
      <x:c r="D333" s="1" t="str">
        <x:v>karpasitis-v-hertfordshire-county-council</x:v>
      </x:c>
      <x:c r="E333" s="1" t="str">
        <x:v>real</x:v>
      </x:c>
      <x:c r="F333" s="15" t="str">
        <x:v>Karpasitis v Hertfordshire County Council</x:v>
      </x:c>
      <x:c r="G333" s="16" t="n">
        <x:v>46100.53567913194</x:v>
      </x:c>
      <x:c r="H333" s="15" t="str">
        <x:v>case</x:v>
      </x:c>
      <x:c r="I333" s="15" t="str">
        <x:v>case:2022 ewca civ 18</x:v>
      </x:c>
      <x:c r="J333" s="15" t="str">
        <x:v>Brown &amp; Ors v South West Lakes Trust &amp; Ors</x:v>
      </x:c>
      <x:c r="K333" s="15" t="str">
        <x:v>[2022] EWCA Civ 18</x:v>
      </x:c>
      <x:c r="L333" s="15" t="str">
        <x:v>70d43223-0ec6-458b-b052-bdc295e0d6ec</x:v>
      </x:c>
      <x:c r="M333" s="15" t="str"/>
      <x:c r="N333" s="15" t="str">
        <x:v>issuesForDetermination.issueMatrix[1].sourceCases[0]</x:v>
      </x:c>
      <x:c r="O333" s="15" t="str">
        <x:v>structured_json</x:v>
      </x:c>
      <x:c r="P333" s="15" t="str"/>
      <x:c r="Q333" s="15" t="str"/>
      <x:c r="R333" s="15" t="str">
        <x:v>Addressed obligations regarding path maintenance and public safety, relevant to presenting a case of negligence.</x:v>
      </x:c>
      <x:c r="S333" s="15" t="str"/>
    </x:row>
    <x:row r="334">
      <x:c r="A334" s="1" t="str">
        <x:v>O0333</x:v>
      </x:c>
      <x:c r="B334" s="1" t="str">
        <x:v>cmmxi2xkc000t04l8hsscxyvl</x:v>
      </x:c>
      <x:c r="C334" s="1" t="str">
        <x:v>cmmxhx487000e04l8w5bketmq</x:v>
      </x:c>
      <x:c r="D334" s="1" t="str">
        <x:v>ksy-juice-blends-uk-limited-v-citrosuco-gmbh</x:v>
      </x:c>
      <x:c r="E334" s="1" t="str">
        <x:v>real</x:v>
      </x:c>
      <x:c r="F334" s="15" t="str">
        <x:v>KSY Juice Blends UK Limited v Citrosuco GmbH</x:v>
      </x:c>
      <x:c r="G334" s="16" t="n">
        <x:v>46100.55758346065</x:v>
      </x:c>
      <x:c r="H334" s="15" t="str">
        <x:v>case</x:v>
      </x:c>
      <x:c r="I334" s="15" t="str">
        <x:v>case:2001 2 lloyd s rep 76</x:v>
      </x:c>
      <x:c r="J334" s="15" t="str">
        <x:v>Mamidoil v Okta [2001] 2 Lloyd's Rep 76</x:v>
      </x:c>
      <x:c r="K334" s="15" t="str">
        <x:v>Mamidoil v Okta [2001] 2 Lloyd's Rep 76</x:v>
      </x:c>
      <x:c r="L334" s="15" t="str"/>
      <x:c r="M334" s="15" t="str"/>
      <x:c r="N334" s="15" t="str">
        <x:v>legalFramework.precedentCitations[0]</x:v>
      </x:c>
      <x:c r="O334" s="15" t="str">
        <x:v>structured_json</x:v>
      </x:c>
      <x:c r="P334" s="15" t="str">
        <x:v>persuasive</x:v>
      </x:c>
      <x:c r="Q334" s="15" t="str"/>
      <x:c r="R334" s="15" t="str">
        <x:v>Outlines enforceable contract terms and implications tied to pricing.</x:v>
      </x:c>
      <x:c r="S334" s="15" t="str"/>
    </x:row>
    <x:row r="335">
      <x:c r="A335" s="1" t="str">
        <x:v>O0334</x:v>
      </x:c>
      <x:c r="B335" s="1" t="str">
        <x:v>cmmxi2xkc000t04l8hsscxyvl</x:v>
      </x:c>
      <x:c r="C335" s="1" t="str">
        <x:v>cmmxhx487000e04l8w5bketmq</x:v>
      </x:c>
      <x:c r="D335" s="1" t="str">
        <x:v>ksy-juice-blends-uk-limited-v-citrosuco-gmbh</x:v>
      </x:c>
      <x:c r="E335" s="1" t="str">
        <x:v>real</x:v>
      </x:c>
      <x:c r="F335" s="15" t="str">
        <x:v>KSY Juice Blends UK Limited v Citrosuco GmbH</x:v>
      </x:c>
      <x:c r="G335" s="16" t="n">
        <x:v>46100.55758346065</x:v>
      </x:c>
      <x:c r="H335" s="15" t="str">
        <x:v>case</x:v>
      </x:c>
      <x:c r="I335" s="15" t="str">
        <x:v>case:2009 ukhl 38</x:v>
      </x:c>
      <x:c r="J335" s="15" t="str">
        <x:v>Chartbrook Ltd v Persimmon Homes Ltd [2009] UKHL 38</x:v>
      </x:c>
      <x:c r="K335" s="15" t="str">
        <x:v>Chartbrook Ltd v Persimmon Homes Ltd [2009] UKHL 38</x:v>
      </x:c>
      <x:c r="L335" s="15" t="str"/>
      <x:c r="M335" s="15" t="str"/>
      <x:c r="N335" s="15" t="str">
        <x:v>legalFramework.precedentCitations[1]</x:v>
      </x:c>
      <x:c r="O335" s="15" t="str">
        <x:v>structured_json</x:v>
      </x:c>
      <x:c r="P335" s="15" t="str">
        <x:v>binding</x:v>
      </x:c>
      <x:c r="Q335" s="15" t="str"/>
      <x:c r="R335" s="15" t="str">
        <x:v>Establishes how courts may imply reasonable terms in cases with unexplicit pricing.</x:v>
      </x:c>
      <x:c r="S335" s="15" t="str"/>
    </x:row>
    <x:row r="336">
      <x:c r="A336" s="1" t="str">
        <x:v>O0335</x:v>
      </x:c>
      <x:c r="B336" s="1" t="str">
        <x:v>cmmxi2xkc000t04l8hsscxyvl</x:v>
      </x:c>
      <x:c r="C336" s="1" t="str">
        <x:v>cmmxhx487000e04l8w5bketmq</x:v>
      </x:c>
      <x:c r="D336" s="1" t="str">
        <x:v>ksy-juice-blends-uk-limited-v-citrosuco-gmbh</x:v>
      </x:c>
      <x:c r="E336" s="1" t="str">
        <x:v>real</x:v>
      </x:c>
      <x:c r="F336" s="15" t="str">
        <x:v>KSY Juice Blends UK Limited v Citrosuco GmbH</x:v>
      </x:c>
      <x:c r="G336" s="16" t="n">
        <x:v>46100.55758346065</x:v>
      </x:c>
      <x:c r="H336" s="15" t="str">
        <x:v>legislation</x:v>
      </x:c>
      <x:c r="I336" s="15" t="str">
        <x:v>legislation:sale of goods act 1979 8 2</x:v>
      </x:c>
      <x:c r="J336" s="15" t="str">
        <x:v>Sale of Goods Act 1979</x:v>
      </x:c>
      <x:c r="K336" s="15" t="str">
        <x:v>Sale of Goods Act 1979 8(2)</x:v>
      </x:c>
      <x:c r="L336" s="15" t="str"/>
      <x:c r="M336" s="15" t="str">
        <x:v>8(2)</x:v>
      </x:c>
      <x:c r="N336" s="15" t="str">
        <x:v>legalFramework.statutoryProvisions[0]</x:v>
      </x:c>
      <x:c r="O336" s="15" t="str">
        <x:v>structured_json</x:v>
      </x:c>
      <x:c r="P336" s="15" t="str"/>
      <x:c r="Q336" s="15" t="str"/>
      <x:c r="R336" s="15" t="str">
        <x:v>Allows for reasonable price determination in contracts where the price is not fixed.</x:v>
      </x:c>
      <x:c r="S336" s="15" t="str"/>
    </x:row>
    <x:row r="337">
      <x:c r="A337" s="1" t="str">
        <x:v>O0336</x:v>
      </x:c>
      <x:c r="B337" s="1" t="str">
        <x:v>cmmxi2xkc000t04l8hsscxyvl</x:v>
      </x:c>
      <x:c r="C337" s="1" t="str">
        <x:v>cmmxhx487000e04l8w5bketmq</x:v>
      </x:c>
      <x:c r="D337" s="1" t="str">
        <x:v>ksy-juice-blends-uk-limited-v-citrosuco-gmbh</x:v>
      </x:c>
      <x:c r="E337" s="1" t="str">
        <x:v>real</x:v>
      </x:c>
      <x:c r="F337" s="15" t="str">
        <x:v>KSY Juice Blends UK Limited v Citrosuco GmbH</x:v>
      </x:c>
      <x:c r="G337" s="16" t="n">
        <x:v>46100.55758346065</x:v>
      </x:c>
      <x:c r="H337" s="15" t="str">
        <x:v>legislation</x:v>
      </x:c>
      <x:c r="I337" s="15" t="str">
        <x:v>legislation:senior courts act 1981 s 35a</x:v>
      </x:c>
      <x:c r="J337" s="15" t="str">
        <x:v>Senior Courts Act 1981, s.35A</x:v>
      </x:c>
      <x:c r="K337" s="15" t="str">
        <x:v>Senior Courts Act 1981, s.35A</x:v>
      </x:c>
      <x:c r="L337" s="15" t="str"/>
      <x:c r="M337" s="15" t="str"/>
      <x:c r="N337" s="15" t="str">
        <x:v>decisionAndDisposition.interest.statutoryBasis</x:v>
      </x:c>
      <x:c r="O337" s="15" t="str">
        <x:v>structured_json</x:v>
      </x:c>
      <x:c r="P337" s="15" t="str"/>
      <x:c r="Q337" s="15" t="str"/>
      <x:c r="R337" s="15" t="str"/>
      <x:c r="S337" s="15" t="str"/>
    </x:row>
    <x:row r="338">
      <x:c r="A338" s="1" t="str">
        <x:v>O0337</x:v>
      </x:c>
      <x:c r="B338" s="1" t="str">
        <x:v>cmmxi2xkc000t04l8hsscxyvl</x:v>
      </x:c>
      <x:c r="C338" s="1" t="str">
        <x:v>cmmxhx487000e04l8w5bketmq</x:v>
      </x:c>
      <x:c r="D338" s="1" t="str">
        <x:v>ksy-juice-blends-uk-limited-v-citrosuco-gmbh</x:v>
      </x:c>
      <x:c r="E338" s="1" t="str">
        <x:v>real</x:v>
      </x:c>
      <x:c r="F338" s="15" t="str">
        <x:v>KSY Juice Blends UK Limited v Citrosuco GmbH</x:v>
      </x:c>
      <x:c r="G338" s="16" t="n">
        <x:v>46100.55758346065</x:v>
      </x:c>
      <x:c r="H338" s="15" t="str">
        <x:v>case</x:v>
      </x:c>
      <x:c r="I338" s="15" t="str">
        <x:v>case:2009 ukhl 38</x:v>
      </x:c>
      <x:c r="J338" s="15" t="str">
        <x:v>Chartbrook Ltd v Persimmon Homes Ltd &amp; Ors</x:v>
      </x:c>
      <x:c r="K338" s="15" t="str">
        <x:v>[2009] UKHL 38</x:v>
      </x:c>
      <x:c r="L338" s="15" t="str">
        <x:v>2d2f67c0-33b8-47de-ade5-124c90fc1a95</x:v>
      </x:c>
      <x:c r="M338" s="15" t="str"/>
      <x:c r="N338" s="15" t="str">
        <x:v>legalFramework.precedentCitations[1].sourceCases[0]</x:v>
      </x:c>
      <x:c r="O338" s="15" t="str">
        <x:v>structured_json</x:v>
      </x:c>
      <x:c r="P338" s="15" t="str"/>
      <x:c r="Q338" s="15" t="str">
        <x:v>applied_differently</x:v>
      </x:c>
      <x:c r="R338" s="15" t="str">
        <x:v>Decisive in clarifying contractual constructs on pricing and implications of implied terms.</x:v>
      </x:c>
      <x:c r="S338" s="15" t="str"/>
    </x:row>
    <x:row r="339">
      <x:c r="A339" s="1" t="str">
        <x:v>O0338</x:v>
      </x:c>
      <x:c r="B339" s="1" t="str">
        <x:v>cmmxi2xkc000t04l8hsscxyvl</x:v>
      </x:c>
      <x:c r="C339" s="1" t="str">
        <x:v>cmmxhx487000e04l8w5bketmq</x:v>
      </x:c>
      <x:c r="D339" s="1" t="str">
        <x:v>ksy-juice-blends-uk-limited-v-citrosuco-gmbh</x:v>
      </x:c>
      <x:c r="E339" s="1" t="str">
        <x:v>real</x:v>
      </x:c>
      <x:c r="F339" s="15" t="str">
        <x:v>KSY Juice Blends UK Limited v Citrosuco GmbH</x:v>
      </x:c>
      <x:c r="G339" s="16" t="n">
        <x:v>46100.55758346065</x:v>
      </x:c>
      <x:c r="H339" s="15" t="str">
        <x:v>case</x:v>
      </x:c>
      <x:c r="I339" s="15" t="str">
        <x:v>case:2009 ukhl 38</x:v>
      </x:c>
      <x:c r="J339" s="15" t="str">
        <x:v>Chartbrook Ltd v Persimmon Homes Ltd &amp; Ors</x:v>
      </x:c>
      <x:c r="K339" s="15" t="str">
        <x:v>[2009] UKHL 38</x:v>
      </x:c>
      <x:c r="L339" s="15" t="str">
        <x:v>2d2f67c0-33b8-47de-ade5-124c90fc1a95</x:v>
      </x:c>
      <x:c r="M339" s="15" t="str"/>
      <x:c r="N339" s="15" t="str">
        <x:v>legalFramework.statutoryProvisions[0].sourceCases[0]</x:v>
      </x:c>
      <x:c r="O339" s="15" t="str">
        <x:v>structured_json</x:v>
      </x:c>
      <x:c r="P339" s="15" t="str"/>
      <x:c r="Q339" s="15" t="str">
        <x:v>extended</x:v>
      </x:c>
      <x:c r="R339" s="15" t="str">
        <x:v>This case addresses similar pricing implications and indicates a court's willingness to imply terms when needed.</x:v>
      </x:c>
      <x:c r="S339" s="15" t="str"/>
    </x:row>
    <x:row r="340">
      <x:c r="A340" s="1" t="str">
        <x:v>O0339</x:v>
      </x:c>
      <x:c r="B340" s="1" t="str">
        <x:v>cmmxi2xkc000t04l8hsscxyvl</x:v>
      </x:c>
      <x:c r="C340" s="1" t="str">
        <x:v>cmmxhx487000e04l8w5bketmq</x:v>
      </x:c>
      <x:c r="D340" s="1" t="str">
        <x:v>ksy-juice-blends-uk-limited-v-citrosuco-gmbh</x:v>
      </x:c>
      <x:c r="E340" s="1" t="str">
        <x:v>real</x:v>
      </x:c>
      <x:c r="F340" s="15" t="str">
        <x:v>KSY Juice Blends UK Limited v Citrosuco GmbH</x:v>
      </x:c>
      <x:c r="G340" s="16" t="n">
        <x:v>46100.55758346065</x:v>
      </x:c>
      <x:c r="H340" s="15" t="str">
        <x:v>case</x:v>
      </x:c>
      <x:c r="I340" s="15" t="str">
        <x:v>case:cornelius v dubai islamic bank pjsc</x:v>
      </x:c>
      <x:c r="J340" s="15" t="str">
        <x:v>Cornelius v Dubai Islamic Bank PJSC</x:v>
      </x:c>
      <x:c r="K340" s="15" t="str"/>
      <x:c r="L340" s="15" t="str">
        <x:v>89eec5b0-6a53-4135-8ab9-17e062417bff</x:v>
      </x:c>
      <x:c r="M340" s="15" t="str"/>
      <x:c r="N340" s="15" t="str">
        <x:v>factualFindings.chronology[1].sourceCases[0]</x:v>
      </x:c>
      <x:c r="O340" s="15" t="str">
        <x:v>structured_json</x:v>
      </x:c>
      <x:c r="P340" s="15" t="str"/>
      <x:c r="Q340" s="15" t="str">
        <x:v>distinguished</x:v>
      </x:c>
      <x:c r="R340" s="15" t="str">
        <x:v>Demonstrates how communications can factor into the understanding of contractual obligations.</x:v>
      </x:c>
      <x:c r="S340" s="15" t="str"/>
    </x:row>
    <x:row r="341">
      <x:c r="A341" s="1" t="str">
        <x:v>O0340</x:v>
      </x:c>
      <x:c r="B341" s="1" t="str">
        <x:v>cmmxi2xkc000t04l8hsscxyvl</x:v>
      </x:c>
      <x:c r="C341" s="1" t="str">
        <x:v>cmmxhx487000e04l8w5bketmq</x:v>
      </x:c>
      <x:c r="D341" s="1" t="str">
        <x:v>ksy-juice-blends-uk-limited-v-citrosuco-gmbh</x:v>
      </x:c>
      <x:c r="E341" s="1" t="str">
        <x:v>real</x:v>
      </x:c>
      <x:c r="F341" s="15" t="str">
        <x:v>KSY Juice Blends UK Limited v Citrosuco GmbH</x:v>
      </x:c>
      <x:c r="G341" s="16" t="n">
        <x:v>46100.55758346065</x:v>
      </x:c>
      <x:c r="H341" s="15" t="str">
        <x:v>case</x:v>
      </x:c>
      <x:c r="I341" s="15" t="str">
        <x:v>case:proforce recruit ltd v the rugby group ltd</x:v>
      </x:c>
      <x:c r="J341" s="15" t="str">
        <x:v>Proforce Recruit Ltd v The Rugby Group Ltd</x:v>
      </x:c>
      <x:c r="K341" s="15" t="str"/>
      <x:c r="L341" s="15" t="str">
        <x:v>66a2adb7-bddd-44b0-98f8-695142e21b39</x:v>
      </x:c>
      <x:c r="M341" s="15" t="str"/>
      <x:c r="N341" s="15" t="str">
        <x:v>factualFindings.contestedFacts[0].sourceCases[0]</x:v>
      </x:c>
      <x:c r="O341" s="15" t="str">
        <x:v>structured_json</x:v>
      </x:c>
      <x:c r="P341" s="15" t="str"/>
      <x:c r="Q341" s="15" t="str">
        <x:v>applied_differently</x:v>
      </x:c>
      <x:c r="R341" s="15" t="str">
        <x:v>This case addresses the implications of pricing uncertainty and its influence on contract enforceability.</x:v>
      </x:c>
      <x:c r="S341" s="15" t="str"/>
    </x:row>
    <x:row r="342">
      <x:c r="A342" s="1" t="str">
        <x:v>O0341</x:v>
      </x:c>
      <x:c r="B342" s="1" t="str">
        <x:v>cmmxi2xkc000t04l8hsscxyvl</x:v>
      </x:c>
      <x:c r="C342" s="1" t="str">
        <x:v>cmmxhx487000e04l8w5bketmq</x:v>
      </x:c>
      <x:c r="D342" s="1" t="str">
        <x:v>ksy-juice-blends-uk-limited-v-citrosuco-gmbh</x:v>
      </x:c>
      <x:c r="E342" s="1" t="str">
        <x:v>real</x:v>
      </x:c>
      <x:c r="F342" s="15" t="str">
        <x:v>KSY Juice Blends UK Limited v Citrosuco GmbH</x:v>
      </x:c>
      <x:c r="G342" s="16" t="n">
        <x:v>46100.55758346065</x:v>
      </x:c>
      <x:c r="H342" s="15" t="str">
        <x:v>case</x:v>
      </x:c>
      <x:c r="I342" s="15" t="str">
        <x:v>case:2009 ukhl 38</x:v>
      </x:c>
      <x:c r="J342" s="15" t="str">
        <x:v>Chartbrook Ltd v Persimmon Homes Ltd &amp; Ors</x:v>
      </x:c>
      <x:c r="K342" s="15" t="str">
        <x:v>[2009] UKHL 38</x:v>
      </x:c>
      <x:c r="L342" s="15" t="str">
        <x:v>2d2f67c0-33b8-47de-ade5-124c90fc1a95</x:v>
      </x:c>
      <x:c r="M342" s="15" t="str"/>
      <x:c r="N342" s="15" t="str">
        <x:v>factualFindings.contestedFacts[1].sourceCases[0]</x:v>
      </x:c>
      <x:c r="O342" s="15" t="str">
        <x:v>structured_json</x:v>
      </x:c>
      <x:c r="P342" s="15" t="str"/>
      <x:c r="Q342" s="15" t="str">
        <x:v>extended</x:v>
      </x:c>
      <x:c r="R342" s="15" t="str">
        <x:v>Clarifies how parties can imply reasonable terms in cases with ambiguous pricing provisions.</x:v>
      </x:c>
      <x:c r="S342" s="15" t="str"/>
    </x:row>
    <x:row r="343">
      <x:c r="A343" s="1" t="str">
        <x:v>O0342</x:v>
      </x:c>
      <x:c r="B343" s="1" t="str">
        <x:v>cmmxi2xkc000t04l8hsscxyvl</x:v>
      </x:c>
      <x:c r="C343" s="1" t="str">
        <x:v>cmmxhx487000e04l8w5bketmq</x:v>
      </x:c>
      <x:c r="D343" s="1" t="str">
        <x:v>ksy-juice-blends-uk-limited-v-citrosuco-gmbh</x:v>
      </x:c>
      <x:c r="E343" s="1" t="str">
        <x:v>real</x:v>
      </x:c>
      <x:c r="F343" s="15" t="str">
        <x:v>KSY Juice Blends UK Limited v Citrosuco GmbH</x:v>
      </x:c>
      <x:c r="G343" s="16" t="n">
        <x:v>46100.55758346065</x:v>
      </x:c>
      <x:c r="H343" s="15" t="str">
        <x:v>case</x:v>
      </x:c>
      <x:c r="I343" s="15" t="str">
        <x:v>case:proforce recruit ltd v the rugby group ltd</x:v>
      </x:c>
      <x:c r="J343" s="15" t="str">
        <x:v>Proforce Recruit Ltd v The Rugby Group Ltd</x:v>
      </x:c>
      <x:c r="K343" s="15" t="str"/>
      <x:c r="L343" s="15" t="str">
        <x:v>66a2adb7-bddd-44b0-98f8-695142e21b39</x:v>
      </x:c>
      <x:c r="M343" s="15" t="str"/>
      <x:c r="N343" s="15" t="str">
        <x:v>reasoningStructure[0].sourceCases[0]</x:v>
      </x:c>
      <x:c r="O343" s="15" t="str">
        <x:v>structured_json</x:v>
      </x:c>
      <x:c r="P343" s="15" t="str"/>
      <x:c r="Q343" s="15" t="str">
        <x:v>applied_differently</x:v>
      </x:c>
      <x:c r="R343" s="15" t="str">
        <x:v>Illustrates how intent in pricing terms can be interpreted in favor of enforceability.</x:v>
      </x:c>
      <x:c r="S343" s="15" t="str"/>
    </x:row>
    <x:row r="344">
      <x:c r="A344" s="1" t="str">
        <x:v>O0343</x:v>
      </x:c>
      <x:c r="B344" s="1" t="str">
        <x:v>cmmxi2xkc000t04l8hsscxyvl</x:v>
      </x:c>
      <x:c r="C344" s="1" t="str">
        <x:v>cmmxhx487000e04l8w5bketmq</x:v>
      </x:c>
      <x:c r="D344" s="1" t="str">
        <x:v>ksy-juice-blends-uk-limited-v-citrosuco-gmbh</x:v>
      </x:c>
      <x:c r="E344" s="1" t="str">
        <x:v>real</x:v>
      </x:c>
      <x:c r="F344" s="15" t="str">
        <x:v>KSY Juice Blends UK Limited v Citrosuco GmbH</x:v>
      </x:c>
      <x:c r="G344" s="16" t="n">
        <x:v>46100.55758346065</x:v>
      </x:c>
      <x:c r="H344" s="15" t="str">
        <x:v>case</x:v>
      </x:c>
      <x:c r="I344" s="15" t="str">
        <x:v>case:2009 ukhl 38</x:v>
      </x:c>
      <x:c r="J344" s="15" t="str">
        <x:v>Chartbrook Ltd v Persimmon Homes Ltd &amp; Ors</x:v>
      </x:c>
      <x:c r="K344" s="15" t="str">
        <x:v>[2009] UKHL 38</x:v>
      </x:c>
      <x:c r="L344" s="15" t="str">
        <x:v>2d2f67c0-33b8-47de-ade5-124c90fc1a95</x:v>
      </x:c>
      <x:c r="M344" s="15" t="str"/>
      <x:c r="N344" s="15" t="str">
        <x:v>reasoningStructure[1].sourceCases[0]</x:v>
      </x:c>
      <x:c r="O344" s="15" t="str">
        <x:v>structured_json</x:v>
      </x:c>
      <x:c r="P344" s="15" t="str"/>
      <x:c r="Q344" s="15" t="str">
        <x:v>extended</x:v>
      </x:c>
      <x:c r="R344" s="15" t="str">
        <x:v>Emphasizes judicial recognition of implied terms when clarity on pricing is sought.</x:v>
      </x:c>
      <x:c r="S344" s="15" t="str"/>
    </x:row>
    <x:row r="345">
      <x:c r="A345" s="1" t="str">
        <x:v>O0344</x:v>
      </x:c>
      <x:c r="B345" s="1" t="str">
        <x:v>cmmxi2xkc000t04l8hsscxyvl</x:v>
      </x:c>
      <x:c r="C345" s="1" t="str">
        <x:v>cmmxhx487000e04l8w5bketmq</x:v>
      </x:c>
      <x:c r="D345" s="1" t="str">
        <x:v>ksy-juice-blends-uk-limited-v-citrosuco-gmbh</x:v>
      </x:c>
      <x:c r="E345" s="1" t="str">
        <x:v>real</x:v>
      </x:c>
      <x:c r="F345" s="15" t="str">
        <x:v>KSY Juice Blends UK Limited v Citrosuco GmbH</x:v>
      </x:c>
      <x:c r="G345" s="16" t="n">
        <x:v>46100.55758346065</x:v>
      </x:c>
      <x:c r="H345" s="15" t="str">
        <x:v>case</x:v>
      </x:c>
      <x:c r="I345" s="15" t="str">
        <x:v>case:proforce recruit ltd v the rugby group ltd</x:v>
      </x:c>
      <x:c r="J345" s="15" t="str">
        <x:v>Proforce Recruit Ltd v The Rugby Group Ltd</x:v>
      </x:c>
      <x:c r="K345" s="15" t="str"/>
      <x:c r="L345" s="15" t="str">
        <x:v>66a2adb7-bddd-44b0-98f8-695142e21b39</x:v>
      </x:c>
      <x:c r="M345" s="15" t="str"/>
      <x:c r="N345" s="15" t="str">
        <x:v>issuesForDetermination.issueMatrix[0].sourceCases[0]</x:v>
      </x:c>
      <x:c r="O345" s="15" t="str">
        <x:v>structured_json</x:v>
      </x:c>
      <x:c r="P345" s="15" t="str"/>
      <x:c r="Q345" s="15" t="str">
        <x:v>applied_differently</x:v>
      </x:c>
      <x:c r="R345" s="15" t="str">
        <x:v>Addresses enforceability of similar pricing disputes in contracts.</x:v>
      </x:c>
      <x:c r="S345" s="15" t="str"/>
    </x:row>
    <x:row r="346">
      <x:c r="A346" s="1" t="str">
        <x:v>O0345</x:v>
      </x:c>
      <x:c r="B346" s="1" t="str">
        <x:v>cmmxi2xkc000t04l8hsscxyvl</x:v>
      </x:c>
      <x:c r="C346" s="1" t="str">
        <x:v>cmmxhx487000e04l8w5bketmq</x:v>
      </x:c>
      <x:c r="D346" s="1" t="str">
        <x:v>ksy-juice-blends-uk-limited-v-citrosuco-gmbh</x:v>
      </x:c>
      <x:c r="E346" s="1" t="str">
        <x:v>real</x:v>
      </x:c>
      <x:c r="F346" s="15" t="str">
        <x:v>KSY Juice Blends UK Limited v Citrosuco GmbH</x:v>
      </x:c>
      <x:c r="G346" s="16" t="n">
        <x:v>46100.55758346065</x:v>
      </x:c>
      <x:c r="H346" s="15" t="str">
        <x:v>case</x:v>
      </x:c>
      <x:c r="I346" s="15" t="str">
        <x:v>case:2009 ukhl 38</x:v>
      </x:c>
      <x:c r="J346" s="15" t="str">
        <x:v>Chartbrook Ltd v Persimmon Homes Ltd &amp; Ors</x:v>
      </x:c>
      <x:c r="K346" s="15" t="str">
        <x:v>[2009] UKHL 38</x:v>
      </x:c>
      <x:c r="L346" s="15" t="str">
        <x:v>2d2f67c0-33b8-47de-ade5-124c90fc1a95</x:v>
      </x:c>
      <x:c r="M346" s="15" t="str"/>
      <x:c r="N346" s="15" t="str">
        <x:v>issuesForDetermination.issueMatrix[1].sourceCases[0]</x:v>
      </x:c>
      <x:c r="O346" s="15" t="str">
        <x:v>structured_json</x:v>
      </x:c>
      <x:c r="P346" s="15" t="str"/>
      <x:c r="Q346" s="15" t="str">
        <x:v>extended</x:v>
      </x:c>
      <x:c r="R346" s="15" t="str">
        <x:v>Provides a framework on how pricing terms could be interpreted in similar contractual arrangements.</x:v>
      </x:c>
      <x:c r="S346" s="15" t="str"/>
    </x:row>
    <x:row r="347">
      <x:c r="A347" s="1" t="str">
        <x:v>O0346</x:v>
      </x:c>
      <x:c r="B347" s="1" t="str">
        <x:v>cmmxktfx8000904johoqmmfkm</x:v>
      </x:c>
      <x:c r="C347" s="1" t="str">
        <x:v>cmmshtbz8000204jsdrli49qe</x:v>
      </x:c>
      <x:c r="D347" s="1" t="str">
        <x:v>karpasitis-v-hertfordshire-county-council</x:v>
      </x:c>
      <x:c r="E347" s="1" t="str">
        <x:v>real</x:v>
      </x:c>
      <x:c r="F347" s="15" t="str">
        <x:v>Karpasitis v Hertfordshire County Council</x:v>
      </x:c>
      <x:c r="G347" s="16" t="n">
        <x:v>46100.61077880787</x:v>
      </x:c>
      <x:c r="H347" s="15" t="str">
        <x:v>case</x:v>
      </x:c>
      <x:c r="I347" s="15" t="str">
        <x:v>case:2002 ewca civ 605</x:v>
      </x:c>
      <x:c r="J347" s="15" t="str">
        <x:v>English v Emery Reimbold &amp; Strick Ltd [2002] EWCA Civ 605</x:v>
      </x:c>
      <x:c r="K347" s="15" t="str">
        <x:v>English v Emery Reimbold &amp; Strick Ltd [2002] EWCA Civ 605</x:v>
      </x:c>
      <x:c r="L347" s="15" t="str"/>
      <x:c r="M347" s="15" t="str"/>
      <x:c r="N347" s="15" t="str">
        <x:v>legalFramework.precedentCitations[0]</x:v>
      </x:c>
      <x:c r="O347" s="15" t="str">
        <x:v>structured_json</x:v>
      </x:c>
      <x:c r="P347" s="15" t="str">
        <x:v>binding</x:v>
      </x:c>
      <x:c r="Q347" s="15" t="str"/>
      <x:c r="R347" s="15" t="str">
        <x:v>Adequacy of reasons in judgments</x:v>
      </x:c>
      <x:c r="S347" s="15" t="str"/>
    </x:row>
    <x:row r="348">
      <x:c r="A348" s="1" t="str">
        <x:v>O0347</x:v>
      </x:c>
      <x:c r="B348" s="1" t="str">
        <x:v>cmmxktfx8000904johoqmmfkm</x:v>
      </x:c>
      <x:c r="C348" s="1" t="str">
        <x:v>cmmshtbz8000204jsdrli49qe</x:v>
      </x:c>
      <x:c r="D348" s="1" t="str">
        <x:v>karpasitis-v-hertfordshire-county-council</x:v>
      </x:c>
      <x:c r="E348" s="1" t="str">
        <x:v>real</x:v>
      </x:c>
      <x:c r="F348" s="15" t="str">
        <x:v>Karpasitis v Hertfordshire County Council</x:v>
      </x:c>
      <x:c r="G348" s="16" t="n">
        <x:v>46100.61077880787</x:v>
      </x:c>
      <x:c r="H348" s="15" t="str">
        <x:v>case</x:v>
      </x:c>
      <x:c r="I348" s="15" t="str">
        <x:v>case:2000 1 wlr 377</x:v>
      </x:c>
      <x:c r="J348" s="15" t="str">
        <x:v>Flannery v Halifax Estate Agencies Ltd [2000] 1 WLR 377</x:v>
      </x:c>
      <x:c r="K348" s="15" t="str">
        <x:v>Flannery v Halifax Estate Agencies Ltd [2000] 1 WLR 377</x:v>
      </x:c>
      <x:c r="L348" s="15" t="str"/>
      <x:c r="M348" s="15" t="str"/>
      <x:c r="N348" s="15" t="str">
        <x:v>legalFramework.precedentCitations[1]</x:v>
      </x:c>
      <x:c r="O348" s="15" t="str">
        <x:v>structured_json</x:v>
      </x:c>
      <x:c r="P348" s="15" t="str">
        <x:v>binding</x:v>
      </x:c>
      <x:c r="Q348" s="15" t="str"/>
      <x:c r="R348" s="15" t="str">
        <x:v>Duty to give reasons</x:v>
      </x:c>
      <x:c r="S348" s="15" t="str"/>
    </x:row>
    <x:row r="349">
      <x:c r="A349" s="1" t="str">
        <x:v>O0348</x:v>
      </x:c>
      <x:c r="B349" s="1" t="str">
        <x:v>cmmxktfx8000904johoqmmfkm</x:v>
      </x:c>
      <x:c r="C349" s="1" t="str">
        <x:v>cmmshtbz8000204jsdrli49qe</x:v>
      </x:c>
      <x:c r="D349" s="1" t="str">
        <x:v>karpasitis-v-hertfordshire-county-council</x:v>
      </x:c>
      <x:c r="E349" s="1" t="str">
        <x:v>real</x:v>
      </x:c>
      <x:c r="F349" s="15" t="str">
        <x:v>Karpasitis v Hertfordshire County Council</x:v>
      </x:c>
      <x:c r="G349" s="16" t="n">
        <x:v>46100.61077880787</x:v>
      </x:c>
      <x:c r="H349" s="15" t="str">
        <x:v>legislation</x:v>
      </x:c>
      <x:c r="I349" s="15" t="str">
        <x:v>legislation:highways act 1980 s 58</x:v>
      </x:c>
      <x:c r="J349" s="15" t="str">
        <x:v>Highways Act 1980</x:v>
      </x:c>
      <x:c r="K349" s="15" t="str">
        <x:v>Highways Act 1980 Section 58</x:v>
      </x:c>
      <x:c r="L349" s="15" t="str"/>
      <x:c r="M349" s="15" t="str">
        <x:v>Section 58</x:v>
      </x:c>
      <x:c r="N349" s="15" t="str">
        <x:v>legalFramework.statutoryProvisions[0]</x:v>
      </x:c>
      <x:c r="O349" s="15" t="str">
        <x:v>structured_json</x:v>
      </x:c>
      <x:c r="P349" s="15" t="str"/>
      <x:c r="Q349" s="15" t="str"/>
      <x:c r="R349" s="15" t="str">
        <x:v>This section outlines the defences available for highway authorities, specifically related to adequate inspections and duty of care.</x:v>
      </x:c>
      <x:c r="S349" s="15" t="str">
        <x:v>https://www.legislation.gov.uk/ukpga/1980/66/section/58</x:v>
      </x:c>
    </x:row>
    <x:row r="350">
      <x:c r="A350" s="1" t="str">
        <x:v>O0349</x:v>
      </x:c>
      <x:c r="B350" s="1" t="str">
        <x:v>cmmxktfx8000904johoqmmfkm</x:v>
      </x:c>
      <x:c r="C350" s="1" t="str">
        <x:v>cmmshtbz8000204jsdrli49qe</x:v>
      </x:c>
      <x:c r="D350" s="1" t="str">
        <x:v>karpasitis-v-hertfordshire-county-council</x:v>
      </x:c>
      <x:c r="E350" s="1" t="str">
        <x:v>real</x:v>
      </x:c>
      <x:c r="F350" s="15" t="str">
        <x:v>Karpasitis v Hertfordshire County Council</x:v>
      </x:c>
      <x:c r="G350" s="16" t="n">
        <x:v>46100.61077880787</x:v>
      </x:c>
      <x:c r="H350" s="15" t="str">
        <x:v>legislation</x:v>
      </x:c>
      <x:c r="I350" s="15" t="str">
        <x:v>legislation:senior courts act 1981 s 35a</x:v>
      </x:c>
      <x:c r="J350" s="15" t="str">
        <x:v>Senior Courts Act 1981</x:v>
      </x:c>
      <x:c r="K350" s="15" t="str">
        <x:v>Senior Courts Act 1981 s.35A</x:v>
      </x:c>
      <x:c r="L350" s="15" t="str"/>
      <x:c r="M350" s="15" t="str">
        <x:v>s.35A</x:v>
      </x:c>
      <x:c r="N350" s="15" t="str">
        <x:v>legalFramework.statutoryProvisions[1]</x:v>
      </x:c>
      <x:c r="O350" s="15" t="str">
        <x:v>structured_json</x:v>
      </x:c>
      <x:c r="P350" s="15" t="str"/>
      <x:c r="Q350" s="15" t="str"/>
      <x:c r="R350" s="15" t="str">
        <x:v>Details the applicability of interest on debts and damages awarded, ensuring compliance with statutory requirements for victim compensation.</x:v>
      </x:c>
      <x:c r="S350" s="15" t="str">
        <x:v>https://www.legislation.gov.uk/ukpga/1981/54/section/35A</x:v>
      </x:c>
    </x:row>
    <x:row r="351">
      <x:c r="A351" s="1" t="str">
        <x:v>O0350</x:v>
      </x:c>
      <x:c r="B351" s="1" t="str">
        <x:v>cmmxktfx8000904johoqmmfkm</x:v>
      </x:c>
      <x:c r="C351" s="1" t="str">
        <x:v>cmmshtbz8000204jsdrli49qe</x:v>
      </x:c>
      <x:c r="D351" s="1" t="str">
        <x:v>karpasitis-v-hertfordshire-county-council</x:v>
      </x:c>
      <x:c r="E351" s="1" t="str">
        <x:v>real</x:v>
      </x:c>
      <x:c r="F351" s="15" t="str">
        <x:v>Karpasitis v Hertfordshire County Council</x:v>
      </x:c>
      <x:c r="G351" s="16" t="n">
        <x:v>46100.61077880787</x:v>
      </x:c>
      <x:c r="H351" s="15" t="str">
        <x:v>legislation</x:v>
      </x:c>
      <x:c r="I351" s="15" t="str">
        <x:v>legislation:civil procedure rules part 52</x:v>
      </x:c>
      <x:c r="J351" s="15" t="str">
        <x:v>Civil Procedure Rules</x:v>
      </x:c>
      <x:c r="K351" s="15" t="str">
        <x:v>Civil Procedure Rules Part 52</x:v>
      </x:c>
      <x:c r="L351" s="15" t="str"/>
      <x:c r="M351" s="15" t="str">
        <x:v>Part 52</x:v>
      </x:c>
      <x:c r="N351" s="15" t="str">
        <x:v>legalFramework.statutoryProvisions[2]</x:v>
      </x:c>
      <x:c r="O351" s="15" t="str">
        <x:v>structured_json</x:v>
      </x:c>
      <x:c r="P351" s="15" t="str"/>
      <x:c r="Q351" s="15" t="str"/>
      <x:c r="R351" s="15" t="str">
        <x:v>Outlines the requirements for the grounds to interfere in a lower court's findings and the weight of evidence required for appeals.</x:v>
      </x:c>
      <x:c r="S351" s="15" t="str">
        <x:v>https://www.legislation.gov.uk/ukpga/1997/18/part/52</x:v>
      </x:c>
    </x:row>
    <x:row r="352">
      <x:c r="A352" s="1" t="str">
        <x:v>O0351</x:v>
      </x:c>
      <x:c r="B352" s="1" t="str">
        <x:v>cmmxktfx8000904johoqmmfkm</x:v>
      </x:c>
      <x:c r="C352" s="1" t="str">
        <x:v>cmmshtbz8000204jsdrli49qe</x:v>
      </x:c>
      <x:c r="D352" s="1" t="str">
        <x:v>karpasitis-v-hertfordshire-county-council</x:v>
      </x:c>
      <x:c r="E352" s="1" t="str">
        <x:v>real</x:v>
      </x:c>
      <x:c r="F352" s="15" t="str">
        <x:v>Karpasitis v Hertfordshire County Council</x:v>
      </x:c>
      <x:c r="G352" s="16" t="n">
        <x:v>46100.61077880787</x:v>
      </x:c>
      <x:c r="H352" s="15" t="str">
        <x:v>legislation</x:v>
      </x:c>
      <x:c r="I352" s="15" t="str">
        <x:v>legislation:highways act 1980 s 41</x:v>
      </x:c>
      <x:c r="J352" s="15" t="str">
        <x:v>Highways Act 1980</x:v>
      </x:c>
      <x:c r="K352" s="15" t="str">
        <x:v>Highways Act 1980 Section 41</x:v>
      </x:c>
      <x:c r="L352" s="15" t="str"/>
      <x:c r="M352" s="15" t="str">
        <x:v>Section 41</x:v>
      </x:c>
      <x:c r="N352" s="15" t="str">
        <x:v>legalFramework.statutoryProvisions[3]</x:v>
      </x:c>
      <x:c r="O352" s="15" t="str">
        <x:v>structured_json</x:v>
      </x:c>
      <x:c r="P352" s="15" t="str"/>
      <x:c r="Q352" s="15" t="str"/>
      <x:c r="R352" s="15" t="str">
        <x:v>Delineates the duty of care imposed on highway authorities to ensure the safety of available paths to public users.</x:v>
      </x:c>
      <x:c r="S352" s="15" t="str">
        <x:v>https://www.legislation.gov.uk/ukpga/1980/66/section/41</x:v>
      </x:c>
    </x:row>
    <x:row r="353">
      <x:c r="A353" s="1" t="str">
        <x:v>O0352</x:v>
      </x:c>
      <x:c r="B353" s="1" t="str">
        <x:v>cmmxktfx8000904johoqmmfkm</x:v>
      </x:c>
      <x:c r="C353" s="1" t="str">
        <x:v>cmmshtbz8000204jsdrli49qe</x:v>
      </x:c>
      <x:c r="D353" s="1" t="str">
        <x:v>karpasitis-v-hertfordshire-county-council</x:v>
      </x:c>
      <x:c r="E353" s="1" t="str">
        <x:v>real</x:v>
      </x:c>
      <x:c r="F353" s="15" t="str">
        <x:v>Karpasitis v Hertfordshire County Council</x:v>
      </x:c>
      <x:c r="G353" s="16" t="n">
        <x:v>46100.61077880787</x:v>
      </x:c>
      <x:c r="H353" s="15" t="str">
        <x:v>legislation</x:v>
      </x:c>
      <x:c r="I353" s="15" t="str">
        <x:v>legislation:senior courts act 1981 s 35a</x:v>
      </x:c>
      <x:c r="J353" s="15" t="str">
        <x:v>Senior Courts Act 1981, s.35A</x:v>
      </x:c>
      <x:c r="K353" s="15" t="str">
        <x:v>Senior Courts Act 1981, s.35A</x:v>
      </x:c>
      <x:c r="L353" s="15" t="str"/>
      <x:c r="M353" s="15" t="str"/>
      <x:c r="N353" s="15" t="str">
        <x:v>decisionAndDisposition.interest.statutoryBasis</x:v>
      </x:c>
      <x:c r="O353" s="15" t="str">
        <x:v>structured_json</x:v>
      </x:c>
      <x:c r="P353" s="15" t="str"/>
      <x:c r="Q353" s="15" t="str"/>
      <x:c r="R353" s="15" t="str"/>
      <x:c r="S353" s="15" t="str"/>
    </x:row>
    <x:row r="354">
      <x:c r="A354" s="1" t="str">
        <x:v>O0353</x:v>
      </x:c>
      <x:c r="B354" s="1" t="str">
        <x:v>cmmxktfx8000904johoqmmfkm</x:v>
      </x:c>
      <x:c r="C354" s="1" t="str">
        <x:v>cmmshtbz8000204jsdrli49qe</x:v>
      </x:c>
      <x:c r="D354" s="1" t="str">
        <x:v>karpasitis-v-hertfordshire-county-council</x:v>
      </x:c>
      <x:c r="E354" s="1" t="str">
        <x:v>real</x:v>
      </x:c>
      <x:c r="F354" s="15" t="str">
        <x:v>Karpasitis v Hertfordshire County Council</x:v>
      </x:c>
      <x:c r="G354" s="16" t="n">
        <x:v>46100.61077880787</x:v>
      </x:c>
      <x:c r="H354" s="15" t="str">
        <x:v>legislation</x:v>
      </x:c>
      <x:c r="I354" s="15" t="str">
        <x:v>legislation:highways act 1980 s 58</x:v>
      </x:c>
      <x:c r="J354" s="15" t="str">
        <x:v>Highways Act 1980, Section 58</x:v>
      </x:c>
      <x:c r="K354" s="15" t="str">
        <x:v>Highways Act 1980, Section 58</x:v>
      </x:c>
      <x:c r="L354" s="15" t="str"/>
      <x:c r="M354" s="15" t="str"/>
      <x:c r="N354" s="15" t="str">
        <x:v>legalFramework.legalTestSummaries[0].sourceAuthority</x:v>
      </x:c>
      <x:c r="O354" s="15" t="str">
        <x:v>structured_json</x:v>
      </x:c>
      <x:c r="P354" s="15" t="str"/>
      <x:c r="Q354" s="15" t="str"/>
      <x:c r="R354" s="15" t="str"/>
      <x:c r="S354" s="15" t="str"/>
    </x:row>
    <x:row r="355">
      <x:c r="A355" s="1" t="str">
        <x:v>O0354</x:v>
      </x:c>
      <x:c r="B355" s="1" t="str">
        <x:v>cmmxktfx8000904johoqmmfkm</x:v>
      </x:c>
      <x:c r="C355" s="1" t="str">
        <x:v>cmmshtbz8000204jsdrli49qe</x:v>
      </x:c>
      <x:c r="D355" s="1" t="str">
        <x:v>karpasitis-v-hertfordshire-county-council</x:v>
      </x:c>
      <x:c r="E355" s="1" t="str">
        <x:v>real</x:v>
      </x:c>
      <x:c r="F355" s="15" t="str">
        <x:v>Karpasitis v Hertfordshire County Council</x:v>
      </x:c>
      <x:c r="G355" s="16" t="n">
        <x:v>46100.61077880787</x:v>
      </x:c>
      <x:c r="H355" s="15" t="str">
        <x:v>legislation</x:v>
      </x:c>
      <x:c r="I355" s="15" t="str">
        <x:v>legislation:highways act 1980 s 41</x:v>
      </x:c>
      <x:c r="J355" s="15" t="str">
        <x:v>Highways Act 1980, Section 41</x:v>
      </x:c>
      <x:c r="K355" s="15" t="str">
        <x:v>Highways Act 1980, Section 41</x:v>
      </x:c>
      <x:c r="L355" s="15" t="str"/>
      <x:c r="M355" s="15" t="str"/>
      <x:c r="N355" s="15" t="str">
        <x:v>legalFramework.legalTestSummaries[1].sourceAuthority</x:v>
      </x:c>
      <x:c r="O355" s="15" t="str">
        <x:v>structured_json</x:v>
      </x:c>
      <x:c r="P355" s="15" t="str"/>
      <x:c r="Q355" s="15" t="str"/>
      <x:c r="R355" s="15" t="str"/>
      <x:c r="S355" s="15" t="str"/>
    </x:row>
    <x:row r="356">
      <x:c r="A356" s="1" t="str">
        <x:v>O0355</x:v>
      </x:c>
      <x:c r="B356" s="1" t="str">
        <x:v>cmmxktfx8000904johoqmmfkm</x:v>
      </x:c>
      <x:c r="C356" s="1" t="str">
        <x:v>cmmshtbz8000204jsdrli49qe</x:v>
      </x:c>
      <x:c r="D356" s="1" t="str">
        <x:v>karpasitis-v-hertfordshire-county-council</x:v>
      </x:c>
      <x:c r="E356" s="1" t="str">
        <x:v>real</x:v>
      </x:c>
      <x:c r="F356" s="15" t="str">
        <x:v>Karpasitis v Hertfordshire County Council</x:v>
      </x:c>
      <x:c r="G356" s="16" t="n">
        <x:v>46100.61077880787</x:v>
      </x:c>
      <x:c r="H356" s="15" t="str">
        <x:v>case</x:v>
      </x:c>
      <x:c r="I356" s="15" t="str">
        <x:v>case:2010 ewca civ 776</x:v>
      </x:c>
      <x:c r="J356" s="15" t="str">
        <x:v>Yetkin v London Borough of Newham</x:v>
      </x:c>
      <x:c r="K356" s="15" t="str">
        <x:v>[2010] EWCA Civ 776</x:v>
      </x:c>
      <x:c r="L356" s="15" t="str">
        <x:v>5a42b4bc-fe8f-47be-9b13-869933b2ddff</x:v>
      </x:c>
      <x:c r="M356" s="15" t="str"/>
      <x:c r="N356" s="15" t="str">
        <x:v>legalFramework.statutoryProvisions[0].sourceCases[0]</x:v>
      </x:c>
      <x:c r="O356" s="15" t="str">
        <x:v>structured_json</x:v>
      </x:c>
      <x:c r="P356" s="15" t="str"/>
      <x:c r="Q356" s="15" t="str">
        <x:v>applied_differently</x:v>
      </x:c>
      <x:c r="R356" s="15" t="str">
        <x:v>Provides precedent regarding statutory defences under the Highways Act and local council obligations.</x:v>
      </x:c>
      <x:c r="S356" s="15" t="str"/>
    </x:row>
    <x:row r="357">
      <x:c r="A357" s="1" t="str">
        <x:v>O0356</x:v>
      </x:c>
      <x:c r="B357" s="1" t="str">
        <x:v>cmmxktfx8000904johoqmmfkm</x:v>
      </x:c>
      <x:c r="C357" s="1" t="str">
        <x:v>cmmshtbz8000204jsdrli49qe</x:v>
      </x:c>
      <x:c r="D357" s="1" t="str">
        <x:v>karpasitis-v-hertfordshire-county-council</x:v>
      </x:c>
      <x:c r="E357" s="1" t="str">
        <x:v>real</x:v>
      </x:c>
      <x:c r="F357" s="15" t="str">
        <x:v>Karpasitis v Hertfordshire County Council</x:v>
      </x:c>
      <x:c r="G357" s="16" t="n">
        <x:v>46100.61077880787</x:v>
      </x:c>
      <x:c r="H357" s="15" t="str">
        <x:v>case</x:v>
      </x:c>
      <x:c r="I357" s="15" t="str">
        <x:v>case:2022 ewca civ 18</x:v>
      </x:c>
      <x:c r="J357" s="15" t="str">
        <x:v>Brown &amp; Ors v South West Lakes Trust &amp; Ors</x:v>
      </x:c>
      <x:c r="K357" s="15" t="str">
        <x:v>[2022] EWCA Civ 18</x:v>
      </x:c>
      <x:c r="L357" s="15" t="str">
        <x:v>70d43223-0ec6-458b-b052-bdc295e0d6ec</x:v>
      </x:c>
      <x:c r="M357" s="15" t="str"/>
      <x:c r="N357" s="15" t="str">
        <x:v>legalFramework.statutoryProvisions[3].sourceCases[0]</x:v>
      </x:c>
      <x:c r="O357" s="15" t="str">
        <x:v>structured_json</x:v>
      </x:c>
      <x:c r="P357" s="15" t="str"/>
      <x:c r="Q357" s="15" t="str">
        <x:v>applied_differently</x:v>
      </x:c>
      <x:c r="R357" s="15" t="str">
        <x:v>Explores the implications of public pathway care and the ensuing duties of local councils.</x:v>
      </x:c>
      <x:c r="S357" s="15" t="str"/>
    </x:row>
    <x:row r="358">
      <x:c r="A358" s="1" t="str">
        <x:v>O0357</x:v>
      </x:c>
      <x:c r="B358" s="1" t="str">
        <x:v>cmmxktfx8000904johoqmmfkm</x:v>
      </x:c>
      <x:c r="C358" s="1" t="str">
        <x:v>cmmshtbz8000204jsdrli49qe</x:v>
      </x:c>
      <x:c r="D358" s="1" t="str">
        <x:v>karpasitis-v-hertfordshire-county-council</x:v>
      </x:c>
      <x:c r="E358" s="1" t="str">
        <x:v>real</x:v>
      </x:c>
      <x:c r="F358" s="15" t="str">
        <x:v>Karpasitis v Hertfordshire County Council</x:v>
      </x:c>
      <x:c r="G358" s="16" t="n">
        <x:v>46100.61077880787</x:v>
      </x:c>
      <x:c r="H358" s="15" t="str">
        <x:v>case</x:v>
      </x:c>
      <x:c r="I358" s="15" t="str">
        <x:v>case:2016 ewhc 1767 qb</x:v>
      </x:c>
      <x:c r="J358" s="15" t="str">
        <x:v>King Lifting Ltd v Oxfordshire County Council</x:v>
      </x:c>
      <x:c r="K358" s="15" t="str">
        <x:v>[2016] EWHC 1767 (QB)</x:v>
      </x:c>
      <x:c r="L358" s="15" t="str">
        <x:v>52d20bb9-6964-44a6-9c32-d191ef76297c</x:v>
      </x:c>
      <x:c r="M358" s="15" t="str"/>
      <x:c r="N358" s="15" t="str">
        <x:v>factualFindings.chronology[0].sourceCases[0]</x:v>
      </x:c>
      <x:c r="O358" s="15" t="str">
        <x:v>structured_json</x:v>
      </x:c>
      <x:c r="P358" s="15" t="str"/>
      <x:c r="Q358" s="15" t="str">
        <x:v>applied_differently</x:v>
      </x:c>
      <x:c r="R358" s="15" t="str">
        <x:v>Illustrates the timeline impact of inspections on liability assessments.</x:v>
      </x:c>
      <x:c r="S358" s="15" t="str"/>
    </x:row>
    <x:row r="359">
      <x:c r="A359" s="1" t="str">
        <x:v>O0358</x:v>
      </x:c>
      <x:c r="B359" s="1" t="str">
        <x:v>cmmxktfx8000904johoqmmfkm</x:v>
      </x:c>
      <x:c r="C359" s="1" t="str">
        <x:v>cmmshtbz8000204jsdrli49qe</x:v>
      </x:c>
      <x:c r="D359" s="1" t="str">
        <x:v>karpasitis-v-hertfordshire-county-council</x:v>
      </x:c>
      <x:c r="E359" s="1" t="str">
        <x:v>real</x:v>
      </x:c>
      <x:c r="F359" s="15" t="str">
        <x:v>Karpasitis v Hertfordshire County Council</x:v>
      </x:c>
      <x:c r="G359" s="16" t="n">
        <x:v>46100.61077880787</x:v>
      </x:c>
      <x:c r="H359" s="15" t="str">
        <x:v>case</x:v>
      </x:c>
      <x:c r="I359" s="15" t="str">
        <x:v>case:2022 ewca civ 18</x:v>
      </x:c>
      <x:c r="J359" s="15" t="str">
        <x:v>Brown &amp; Ors v South West Lakes Trust &amp; Ors</x:v>
      </x:c>
      <x:c r="K359" s="15" t="str">
        <x:v>[2022] EWCA Civ 18</x:v>
      </x:c>
      <x:c r="L359" s="15" t="str">
        <x:v>70d43223-0ec6-458b-b052-bdc295e0d6ec</x:v>
      </x:c>
      <x:c r="M359" s="15" t="str"/>
      <x:c r="N359" s="15" t="str">
        <x:v>factualFindings.chronology[1].sourceCases[0]</x:v>
      </x:c>
      <x:c r="O359" s="15" t="str">
        <x:v>structured_json</x:v>
      </x:c>
      <x:c r="P359" s="15" t="str"/>
      <x:c r="Q359" s="15" t="str">
        <x:v>applied_differently</x:v>
      </x:c>
      <x:c r="R359" s="15" t="str">
        <x:v>Explores liability linked to accidents on public pathways.</x:v>
      </x:c>
      <x:c r="S359" s="15" t="str"/>
    </x:row>
    <x:row r="360">
      <x:c r="A360" s="1" t="str">
        <x:v>O0359</x:v>
      </x:c>
      <x:c r="B360" s="1" t="str">
        <x:v>cmmxktfx8000904johoqmmfkm</x:v>
      </x:c>
      <x:c r="C360" s="1" t="str">
        <x:v>cmmshtbz8000204jsdrli49qe</x:v>
      </x:c>
      <x:c r="D360" s="1" t="str">
        <x:v>karpasitis-v-hertfordshire-county-council</x:v>
      </x:c>
      <x:c r="E360" s="1" t="str">
        <x:v>real</x:v>
      </x:c>
      <x:c r="F360" s="15" t="str">
        <x:v>Karpasitis v Hertfordshire County Council</x:v>
      </x:c>
      <x:c r="G360" s="16" t="n">
        <x:v>46100.61077880787</x:v>
      </x:c>
      <x:c r="H360" s="15" t="str">
        <x:v>case</x:v>
      </x:c>
      <x:c r="I360" s="15" t="str">
        <x:v>case:gorringe v calderdale metropolitan borough council</x:v>
      </x:c>
      <x:c r="J360" s="15" t="str">
        <x:v>Gorringe v. Calderdale Metropolitan Borough Council</x:v>
      </x:c>
      <x:c r="K360" s="15" t="str">
        <x:v>N/A</x:v>
      </x:c>
      <x:c r="L360" s="15" t="str">
        <x:v>bc30491e-9ae6-48da-90d0-71d8a8069b22</x:v>
      </x:c>
      <x:c r="M360" s="15" t="str"/>
      <x:c r="N360" s="15" t="str">
        <x:v>factualFindings.contestedFacts[0].sourceCases[0]</x:v>
      </x:c>
      <x:c r="O360" s="15" t="str">
        <x:v>structured_json</x:v>
      </x:c>
      <x:c r="P360" s="15" t="str"/>
      <x:c r="Q360" s="15" t="str">
        <x:v>applied_differently</x:v>
      </x:c>
      <x:c r="R360" s="15" t="str">
        <x:v>Discusses signage obligations in maintaining safe highway conditions.</x:v>
      </x:c>
      <x:c r="S360" s="15" t="str"/>
    </x:row>
    <x:row r="361">
      <x:c r="A361" s="1" t="str">
        <x:v>O0360</x:v>
      </x:c>
      <x:c r="B361" s="1" t="str">
        <x:v>cmmxktfx8000904johoqmmfkm</x:v>
      </x:c>
      <x:c r="C361" s="1" t="str">
        <x:v>cmmshtbz8000204jsdrli49qe</x:v>
      </x:c>
      <x:c r="D361" s="1" t="str">
        <x:v>karpasitis-v-hertfordshire-county-council</x:v>
      </x:c>
      <x:c r="E361" s="1" t="str">
        <x:v>real</x:v>
      </x:c>
      <x:c r="F361" s="15" t="str">
        <x:v>Karpasitis v Hertfordshire County Council</x:v>
      </x:c>
      <x:c r="G361" s="16" t="n">
        <x:v>46100.61077880787</x:v>
      </x:c>
      <x:c r="H361" s="15" t="str">
        <x:v>case</x:v>
      </x:c>
      <x:c r="I361" s="15" t="str">
        <x:v>case:2015 ewca civ 1440</x:v>
      </x:c>
      <x:c r="J361" s="15" t="str">
        <x:v>Griffiths v Gwynedd County Council</x:v>
      </x:c>
      <x:c r="K361" s="15" t="str">
        <x:v>[2015] EWCA Civ 1440</x:v>
      </x:c>
      <x:c r="L361" s="15" t="str">
        <x:v>70c75405-8cba-40e2-92ff-8302ea4f6789</x:v>
      </x:c>
      <x:c r="M361" s="15" t="str"/>
      <x:c r="N361" s="15" t="str">
        <x:v>factualFindings.contestedFacts[1].sourceCases[0]</x:v>
      </x:c>
      <x:c r="O361" s="15" t="str">
        <x:v>structured_json</x:v>
      </x:c>
      <x:c r="P361" s="15" t="str"/>
      <x:c r="Q361" s="15" t="str">
        <x:v>applied_differently</x:v>
      </x:c>
      <x:c r="R361" s="15" t="str">
        <x:v>Establishes the standard of care expected regarding public path inspections.</x:v>
      </x:c>
      <x:c r="S361" s="15" t="str"/>
    </x:row>
    <x:row r="362">
      <x:c r="A362" s="1" t="str">
        <x:v>O0361</x:v>
      </x:c>
      <x:c r="B362" s="1" t="str">
        <x:v>cmmxktfx8000904johoqmmfkm</x:v>
      </x:c>
      <x:c r="C362" s="1" t="str">
        <x:v>cmmshtbz8000204jsdrli49qe</x:v>
      </x:c>
      <x:c r="D362" s="1" t="str">
        <x:v>karpasitis-v-hertfordshire-county-council</x:v>
      </x:c>
      <x:c r="E362" s="1" t="str">
        <x:v>real</x:v>
      </x:c>
      <x:c r="F362" s="15" t="str">
        <x:v>Karpasitis v Hertfordshire County Council</x:v>
      </x:c>
      <x:c r="G362" s="16" t="n">
        <x:v>46100.61077880787</x:v>
      </x:c>
      <x:c r="H362" s="15" t="str">
        <x:v>case</x:v>
      </x:c>
      <x:c r="I362" s="15" t="str">
        <x:v>case:gorringe v calderdale metropolitan borough council</x:v>
      </x:c>
      <x:c r="J362" s="15" t="str">
        <x:v>Gorringe v. Calderdale Metropolitan Borough Council</x:v>
      </x:c>
      <x:c r="K362" s="15" t="str">
        <x:v>N/A</x:v>
      </x:c>
      <x:c r="L362" s="15" t="str">
        <x:v>bc30491e-9ae6-48da-90d0-71d8a8069b22</x:v>
      </x:c>
      <x:c r="M362" s="15" t="str"/>
      <x:c r="N362" s="15" t="str">
        <x:v>reasoningStructure[0].sourceCases[0]</x:v>
      </x:c>
      <x:c r="O362" s="15" t="str">
        <x:v>structured_json</x:v>
      </x:c>
      <x:c r="P362" s="15" t="str"/>
      <x:c r="Q362" s="15" t="str">
        <x:v>same_proposition</x:v>
      </x:c>
      <x:c r="R362" s="15" t="str">
        <x:v>Assesses failure in signage obligations resulting in public safety infractions.</x:v>
      </x:c>
      <x:c r="S362" s="15" t="str"/>
    </x:row>
    <x:row r="363">
      <x:c r="A363" s="1" t="str">
        <x:v>O0362</x:v>
      </x:c>
      <x:c r="B363" s="1" t="str">
        <x:v>cmmxktfx8000904johoqmmfkm</x:v>
      </x:c>
      <x:c r="C363" s="1" t="str">
        <x:v>cmmshtbz8000204jsdrli49qe</x:v>
      </x:c>
      <x:c r="D363" s="1" t="str">
        <x:v>karpasitis-v-hertfordshire-county-council</x:v>
      </x:c>
      <x:c r="E363" s="1" t="str">
        <x:v>real</x:v>
      </x:c>
      <x:c r="F363" s="15" t="str">
        <x:v>Karpasitis v Hertfordshire County Council</x:v>
      </x:c>
      <x:c r="G363" s="16" t="n">
        <x:v>46100.61077880787</x:v>
      </x:c>
      <x:c r="H363" s="15" t="str">
        <x:v>case</x:v>
      </x:c>
      <x:c r="I363" s="15" t="str">
        <x:v>case:2015 ewca civ 1440</x:v>
      </x:c>
      <x:c r="J363" s="15" t="str">
        <x:v>Griffiths v Gwynedd County Council</x:v>
      </x:c>
      <x:c r="K363" s="15" t="str">
        <x:v>[2015] EWCA Civ 1440</x:v>
      </x:c>
      <x:c r="L363" s="15" t="str">
        <x:v>70c75405-8cba-40e2-92ff-8302ea4f6789</x:v>
      </x:c>
      <x:c r="M363" s="15" t="str"/>
      <x:c r="N363" s="15" t="str">
        <x:v>reasoningStructure[1].sourceCases[0]</x:v>
      </x:c>
      <x:c r="O363" s="15" t="str">
        <x:v>structured_json</x:v>
      </x:c>
      <x:c r="P363" s="15" t="str"/>
      <x:c r="Q363" s="15" t="str">
        <x:v>same_proposition</x:v>
      </x:c>
      <x:c r="R363" s="15" t="str">
        <x:v>Reviews necessary action required by councils in terms of path inspections and safety ramifications.</x:v>
      </x:c>
      <x:c r="S363" s="15" t="str"/>
    </x:row>
    <x:row r="364">
      <x:c r="A364" s="1" t="str">
        <x:v>O0363</x:v>
      </x:c>
      <x:c r="B364" s="1" t="str">
        <x:v>cmmxktfx8000904johoqmmfkm</x:v>
      </x:c>
      <x:c r="C364" s="1" t="str">
        <x:v>cmmshtbz8000204jsdrli49qe</x:v>
      </x:c>
      <x:c r="D364" s="1" t="str">
        <x:v>karpasitis-v-hertfordshire-county-council</x:v>
      </x:c>
      <x:c r="E364" s="1" t="str">
        <x:v>real</x:v>
      </x:c>
      <x:c r="F364" s="15" t="str">
        <x:v>Karpasitis v Hertfordshire County Council</x:v>
      </x:c>
      <x:c r="G364" s="16" t="n">
        <x:v>46100.61077880787</x:v>
      </x:c>
      <x:c r="H364" s="15" t="str">
        <x:v>case</x:v>
      </x:c>
      <x:c r="I364" s="15" t="str">
        <x:v>case:gorringe v calderdale metropolitan borough council</x:v>
      </x:c>
      <x:c r="J364" s="15" t="str">
        <x:v>Gorringe v. Calderdale Metropolitan Borough Council</x:v>
      </x:c>
      <x:c r="K364" s="15" t="str">
        <x:v>N/A</x:v>
      </x:c>
      <x:c r="L364" s="15" t="str">
        <x:v>bc30491e-9ae6-48da-90d0-71d8a8069b22</x:v>
      </x:c>
      <x:c r="M364" s="15" t="str"/>
      <x:c r="N364" s="15" t="str">
        <x:v>issuesForDetermination.issueMatrix[0].sourceCases[0]</x:v>
      </x:c>
      <x:c r="O364" s="15" t="str">
        <x:v>structured_json</x:v>
      </x:c>
      <x:c r="P364" s="15" t="str"/>
      <x:c r="Q364" s="15" t="str">
        <x:v>same_proposition</x:v>
      </x:c>
      <x:c r="R364" s="15" t="str">
        <x:v>Simple comparative negligence analysis that’s similar in nature.</x:v>
      </x:c>
      <x:c r="S364" s="15" t="str"/>
    </x:row>
    <x:row r="365">
      <x:c r="A365" s="1" t="str">
        <x:v>O0364</x:v>
      </x:c>
      <x:c r="B365" s="1" t="str">
        <x:v>cmmxktfx8000904johoqmmfkm</x:v>
      </x:c>
      <x:c r="C365" s="1" t="str">
        <x:v>cmmshtbz8000204jsdrli49qe</x:v>
      </x:c>
      <x:c r="D365" s="1" t="str">
        <x:v>karpasitis-v-hertfordshire-county-council</x:v>
      </x:c>
      <x:c r="E365" s="1" t="str">
        <x:v>real</x:v>
      </x:c>
      <x:c r="F365" s="15" t="str">
        <x:v>Karpasitis v Hertfordshire County Council</x:v>
      </x:c>
      <x:c r="G365" s="16" t="n">
        <x:v>46100.61077880787</x:v>
      </x:c>
      <x:c r="H365" s="15" t="str">
        <x:v>case</x:v>
      </x:c>
      <x:c r="I365" s="15" t="str">
        <x:v>case:2015 ewca civ 1440</x:v>
      </x:c>
      <x:c r="J365" s="15" t="str">
        <x:v>Griffiths v Gwynedd County Council</x:v>
      </x:c>
      <x:c r="K365" s="15" t="str">
        <x:v>[2015] EWCA Civ 1440</x:v>
      </x:c>
      <x:c r="L365" s="15" t="str">
        <x:v>70c75405-8cba-40e2-92ff-8302ea4f6789</x:v>
      </x:c>
      <x:c r="M365" s="15" t="str"/>
      <x:c r="N365" s="15" t="str">
        <x:v>issuesForDetermination.issueMatrix[1].sourceCases[0]</x:v>
      </x:c>
      <x:c r="O365" s="15" t="str">
        <x:v>structured_json</x:v>
      </x:c>
      <x:c r="P365" s="15" t="str"/>
      <x:c r="Q365" s="15" t="str">
        <x:v>same_proposition</x:v>
      </x:c>
      <x:c r="R365" s="15" t="str">
        <x:v>Discusses the implications of inadequate maintenance and inspection procedures aiding liability analysis.</x:v>
      </x:c>
      <x:c r="S365" s="15" t="str"/>
    </x:row>
    <x:row r="366">
      <x:c r="A366" s="1" t="str">
        <x:v>O0365</x:v>
      </x:c>
      <x:c r="B366" s="1" t="str">
        <x:v>cmmxpdot1000h04i8q3aleh7a</x:v>
      </x:c>
      <x:c r="C366" s="1" t="str">
        <x:v>cmmshtbz8000204jsdrli49qe</x:v>
      </x:c>
      <x:c r="D366" s="1" t="str">
        <x:v>karpasitis-v-hertfordshire-county-council</x:v>
      </x:c>
      <x:c r="E366" s="1" t="str">
        <x:v>real</x:v>
      </x:c>
      <x:c r="F366" s="15" t="str">
        <x:v>Karpasitis v Hertfordshire County Council</x:v>
      </x:c>
      <x:c r="G366" s="16" t="n">
        <x:v>46100.69947208333</x:v>
      </x:c>
      <x:c r="H366" s="15" t="str">
        <x:v>case</x:v>
      </x:c>
      <x:c r="I366" s="15" t="str">
        <x:v>case:2002 ewca civ 605</x:v>
      </x:c>
      <x:c r="J366" s="15" t="str">
        <x:v>English v Emery Reimbold &amp; Strick Ltd [2002] EWCA Civ 605</x:v>
      </x:c>
      <x:c r="K366" s="15" t="str">
        <x:v>English v Emery Reimbold &amp; Strick Ltd [2002] EWCA Civ 605</x:v>
      </x:c>
      <x:c r="L366" s="15" t="str"/>
      <x:c r="M366" s="15" t="str"/>
      <x:c r="N366" s="15" t="str">
        <x:v>legalFramework.precedentCitations[0]</x:v>
      </x:c>
      <x:c r="O366" s="15" t="str">
        <x:v>structured_json</x:v>
      </x:c>
      <x:c r="P366" s="15" t="str">
        <x:v>binding</x:v>
      </x:c>
      <x:c r="Q366" s="15" t="str"/>
      <x:c r="R366" s="15" t="str">
        <x:v>A judgment must provide adequate reasons for its decision</x:v>
      </x:c>
      <x:c r="S366" s="15" t="str"/>
    </x:row>
    <x:row r="367">
      <x:c r="A367" s="1" t="str">
        <x:v>O0366</x:v>
      </x:c>
      <x:c r="B367" s="1" t="str">
        <x:v>cmmxpdot1000h04i8q3aleh7a</x:v>
      </x:c>
      <x:c r="C367" s="1" t="str">
        <x:v>cmmshtbz8000204jsdrli49qe</x:v>
      </x:c>
      <x:c r="D367" s="1" t="str">
        <x:v>karpasitis-v-hertfordshire-county-council</x:v>
      </x:c>
      <x:c r="E367" s="1" t="str">
        <x:v>real</x:v>
      </x:c>
      <x:c r="F367" s="15" t="str">
        <x:v>Karpasitis v Hertfordshire County Council</x:v>
      </x:c>
      <x:c r="G367" s="16" t="n">
        <x:v>46100.69947208333</x:v>
      </x:c>
      <x:c r="H367" s="15" t="str">
        <x:v>legislation</x:v>
      </x:c>
      <x:c r="I367" s="15" t="str">
        <x:v>legislation:highways act 1980 58</x:v>
      </x:c>
      <x:c r="J367" s="15" t="str">
        <x:v>Highways Act 1980</x:v>
      </x:c>
      <x:c r="K367" s="15" t="str">
        <x:v>Highways Act 1980 58</x:v>
      </x:c>
      <x:c r="L367" s="15" t="str"/>
      <x:c r="M367" s="15" t="str">
        <x:v>58</x:v>
      </x:c>
      <x:c r="N367" s="15" t="str">
        <x:v>legalFramework.statutoryProvisions[0]</x:v>
      </x:c>
      <x:c r="O367" s="15" t="str">
        <x:v>structured_json</x:v>
      </x:c>
      <x:c r="P367" s="15" t="str"/>
      <x:c r="Q367" s="15" t="str"/>
      <x:c r="R367" s="15" t="str">
        <x:v>This section provides a statutory defense for highway authorities against claims of negligence for non-maintenance if proper inspection and maintenance are demonstrated.</x:v>
      </x:c>
      <x:c r="S367" s="15" t="str">
        <x:v>N/A</x:v>
      </x:c>
    </x:row>
    <x:row r="368">
      <x:c r="A368" s="1" t="str">
        <x:v>O0367</x:v>
      </x:c>
      <x:c r="B368" s="1" t="str">
        <x:v>cmmxpdot1000h04i8q3aleh7a</x:v>
      </x:c>
      <x:c r="C368" s="1" t="str">
        <x:v>cmmshtbz8000204jsdrli49qe</x:v>
      </x:c>
      <x:c r="D368" s="1" t="str">
        <x:v>karpasitis-v-hertfordshire-county-council</x:v>
      </x:c>
      <x:c r="E368" s="1" t="str">
        <x:v>real</x:v>
      </x:c>
      <x:c r="F368" s="15" t="str">
        <x:v>Karpasitis v Hertfordshire County Council</x:v>
      </x:c>
      <x:c r="G368" s="16" t="n">
        <x:v>46100.69947208333</x:v>
      </x:c>
      <x:c r="H368" s="15" t="str">
        <x:v>legislation</x:v>
      </x:c>
      <x:c r="I368" s="15" t="str">
        <x:v>legislation:highways act 1980 41</x:v>
      </x:c>
      <x:c r="J368" s="15" t="str">
        <x:v>Highways Act 1980</x:v>
      </x:c>
      <x:c r="K368" s="15" t="str">
        <x:v>Highways Act 1980 41</x:v>
      </x:c>
      <x:c r="L368" s="15" t="str"/>
      <x:c r="M368" s="15" t="str">
        <x:v>41</x:v>
      </x:c>
      <x:c r="N368" s="15" t="str">
        <x:v>legalFramework.statutoryProvisions[1]</x:v>
      </x:c>
      <x:c r="O368" s="15" t="str">
        <x:v>structured_json</x:v>
      </x:c>
      <x:c r="P368" s="15" t="str"/>
      <x:c r="Q368" s="15" t="str"/>
      <x:c r="R368" s="15" t="str">
        <x:v>Establishes the duty of care owed by highway authorities towards users of public thoroughfares. Non-compliance can amount to negligence.</x:v>
      </x:c>
      <x:c r="S368" s="15" t="str">
        <x:v>N/A</x:v>
      </x:c>
    </x:row>
    <x:row r="369">
      <x:c r="A369" s="1" t="str">
        <x:v>O0368</x:v>
      </x:c>
      <x:c r="B369" s="1" t="str">
        <x:v>cmmxpdot1000h04i8q3aleh7a</x:v>
      </x:c>
      <x:c r="C369" s="1" t="str">
        <x:v>cmmshtbz8000204jsdrli49qe</x:v>
      </x:c>
      <x:c r="D369" s="1" t="str">
        <x:v>karpasitis-v-hertfordshire-county-council</x:v>
      </x:c>
      <x:c r="E369" s="1" t="str">
        <x:v>real</x:v>
      </x:c>
      <x:c r="F369" s="15" t="str">
        <x:v>Karpasitis v Hertfordshire County Council</x:v>
      </x:c>
      <x:c r="G369" s="16" t="n">
        <x:v>46100.69947208333</x:v>
      </x:c>
      <x:c r="H369" s="15" t="str">
        <x:v>legislation</x:v>
      </x:c>
      <x:c r="I369" s="15" t="str">
        <x:v>legislation:senior courts act 1981 s 35a</x:v>
      </x:c>
      <x:c r="J369" s="15" t="str">
        <x:v>Senior Courts Act 1981, s.35A</x:v>
      </x:c>
      <x:c r="K369" s="15" t="str">
        <x:v>Senior Courts Act 1981, s.35A</x:v>
      </x:c>
      <x:c r="L369" s="15" t="str"/>
      <x:c r="M369" s="15" t="str"/>
      <x:c r="N369" s="15" t="str">
        <x:v>decisionAndDisposition.interest.statutoryBasis</x:v>
      </x:c>
      <x:c r="O369" s="15" t="str">
        <x:v>structured_json</x:v>
      </x:c>
      <x:c r="P369" s="15" t="str"/>
      <x:c r="Q369" s="15" t="str"/>
      <x:c r="R369" s="15" t="str"/>
      <x:c r="S369" s="15" t="str"/>
    </x:row>
    <x:row r="370">
      <x:c r="A370" s="1" t="str">
        <x:v>O0369</x:v>
      </x:c>
      <x:c r="B370" s="1" t="str">
        <x:v>cmmxpdot1000h04i8q3aleh7a</x:v>
      </x:c>
      <x:c r="C370" s="1" t="str">
        <x:v>cmmshtbz8000204jsdrli49qe</x:v>
      </x:c>
      <x:c r="D370" s="1" t="str">
        <x:v>karpasitis-v-hertfordshire-county-council</x:v>
      </x:c>
      <x:c r="E370" s="1" t="str">
        <x:v>real</x:v>
      </x:c>
      <x:c r="F370" s="15" t="str">
        <x:v>Karpasitis v Hertfordshire County Council</x:v>
      </x:c>
      <x:c r="G370" s="16" t="n">
        <x:v>46100.69947208333</x:v>
      </x:c>
      <x:c r="H370" s="15" t="str">
        <x:v>case</x:v>
      </x:c>
      <x:c r="I370" s="15" t="str">
        <x:v>case:2016 ewhc 1767 qb</x:v>
      </x:c>
      <x:c r="J370" s="15" t="str">
        <x:v>King Lifting Ltd v Oxfordshire County Council</x:v>
      </x:c>
      <x:c r="K370" s="15" t="str">
        <x:v>[2016] EWHC 1767 (QB)</x:v>
      </x:c>
      <x:c r="L370" s="15" t="str">
        <x:v>52d20bb9-6964-44a6-9c32-d191ef76297c</x:v>
      </x:c>
      <x:c r="M370" s="15" t="str"/>
      <x:c r="N370" s="15" t="str">
        <x:v>factualFindings.contestedFacts[0].sourceCases[0]</x:v>
      </x:c>
      <x:c r="O370" s="15" t="str">
        <x:v>structured_json</x:v>
      </x:c>
      <x:c r="P370" s="15" t="str"/>
      <x:c r="Q370" s="15" t="str">
        <x:v>applied_differently</x:v>
      </x:c>
      <x:c r="R370" s="15" t="str">
        <x:v>This case discusses the duty of care regarding visible warnings and maintenance obligations in similar circumstances.</x:v>
      </x:c>
      <x:c r="S370" s="15" t="str"/>
    </x:row>
    <x:row r="371">
      <x:c r="A371" s="1" t="str">
        <x:v>O0370</x:v>
      </x:c>
      <x:c r="B371" s="1" t="str">
        <x:v>cmmxpdot1000h04i8q3aleh7a</x:v>
      </x:c>
      <x:c r="C371" s="1" t="str">
        <x:v>cmmshtbz8000204jsdrli49qe</x:v>
      </x:c>
      <x:c r="D371" s="1" t="str">
        <x:v>karpasitis-v-hertfordshire-county-council</x:v>
      </x:c>
      <x:c r="E371" s="1" t="str">
        <x:v>real</x:v>
      </x:c>
      <x:c r="F371" s="15" t="str">
        <x:v>Karpasitis v Hertfordshire County Council</x:v>
      </x:c>
      <x:c r="G371" s="16" t="n">
        <x:v>46100.69947208333</x:v>
      </x:c>
      <x:c r="H371" s="15" t="str">
        <x:v>case</x:v>
      </x:c>
      <x:c r="I371" s="15" t="str">
        <x:v>case:gorringe v calderdale metropolitan borough council</x:v>
      </x:c>
      <x:c r="J371" s="15" t="str">
        <x:v>Gorringe v. Calderdale Metropolitan Borough Council</x:v>
      </x:c>
      <x:c r="K371" s="15" t="str">
        <x:v>N/A</x:v>
      </x:c>
      <x:c r="L371" s="15" t="str">
        <x:v>bc30491e-9ae6-48da-90d0-71d8a8069b22</x:v>
      </x:c>
      <x:c r="M371" s="15" t="str"/>
      <x:c r="N371" s="15" t="str">
        <x:v>factualFindings.contestedFacts[1].sourceCases[0]</x:v>
      </x:c>
      <x:c r="O371" s="15" t="str">
        <x:v>structured_json</x:v>
      </x:c>
      <x:c r="P371" s="15" t="str"/>
      <x:c r="Q371" s="15" t="str">
        <x:v>distinguished</x:v>
      </x:c>
      <x:c r="R371" s="15" t="str">
        <x:v>This case provides insight into statutory obligations of highway authorities and related maintenance standards.</x:v>
      </x:c>
      <x:c r="S371" s="15" t="str"/>
    </x:row>
    <x:row r="372">
      <x:c r="A372" s="1" t="str">
        <x:v>O0371</x:v>
      </x:c>
      <x:c r="B372" s="1" t="str">
        <x:v>cmmxpdot1000h04i8q3aleh7a</x:v>
      </x:c>
      <x:c r="C372" s="1" t="str">
        <x:v>cmmshtbz8000204jsdrli49qe</x:v>
      </x:c>
      <x:c r="D372" s="1" t="str">
        <x:v>karpasitis-v-hertfordshire-county-council</x:v>
      </x:c>
      <x:c r="E372" s="1" t="str">
        <x:v>real</x:v>
      </x:c>
      <x:c r="F372" s="15" t="str">
        <x:v>Karpasitis v Hertfordshire County Council</x:v>
      </x:c>
      <x:c r="G372" s="16" t="n">
        <x:v>46100.69947208333</x:v>
      </x:c>
      <x:c r="H372" s="15" t="str">
        <x:v>case</x:v>
      </x:c>
      <x:c r="I372" s="15" t="str">
        <x:v>case:2016 ewhc 1767 qb</x:v>
      </x:c>
      <x:c r="J372" s="15" t="str">
        <x:v>King Lifting Ltd v Oxfordshire County Council</x:v>
      </x:c>
      <x:c r="K372" s="15" t="str">
        <x:v>[2016] EWHC 1767 (QB)</x:v>
      </x:c>
      <x:c r="L372" s="15" t="str">
        <x:v>52d20bb9-6964-44a6-9c32-d191ef76297c</x:v>
      </x:c>
      <x:c r="M372" s="15" t="str"/>
      <x:c r="N372" s="15" t="str">
        <x:v>reasoningStructure[0].sourceCases[0]</x:v>
      </x:c>
      <x:c r="O372" s="15" t="str">
        <x:v>structured_json</x:v>
      </x:c>
      <x:c r="P372" s="15" t="str"/>
      <x:c r="Q372" s="15" t="str">
        <x:v>applied_differently</x:v>
      </x:c>
      <x:c r="R372" s="15" t="str">
        <x:v>Reinforces the obligation to provide adequate warnings, particularly in public use areas.</x:v>
      </x:c>
      <x:c r="S372" s="15" t="str"/>
    </x:row>
    <x:row r="373">
      <x:c r="A373" s="1" t="str">
        <x:v>O0372</x:v>
      </x:c>
      <x:c r="B373" s="1" t="str">
        <x:v>cmmxpdot1000h04i8q3aleh7a</x:v>
      </x:c>
      <x:c r="C373" s="1" t="str">
        <x:v>cmmshtbz8000204jsdrli49qe</x:v>
      </x:c>
      <x:c r="D373" s="1" t="str">
        <x:v>karpasitis-v-hertfordshire-county-council</x:v>
      </x:c>
      <x:c r="E373" s="1" t="str">
        <x:v>real</x:v>
      </x:c>
      <x:c r="F373" s="15" t="str">
        <x:v>Karpasitis v Hertfordshire County Council</x:v>
      </x:c>
      <x:c r="G373" s="16" t="n">
        <x:v>46100.69947208333</x:v>
      </x:c>
      <x:c r="H373" s="15" t="str">
        <x:v>case</x:v>
      </x:c>
      <x:c r="I373" s="15" t="str">
        <x:v>case:gorringe v calderdale metropolitan borough council</x:v>
      </x:c>
      <x:c r="J373" s="15" t="str">
        <x:v>Gorringe v. Calderdale Metropolitan Borough Council</x:v>
      </x:c>
      <x:c r="K373" s="15" t="str">
        <x:v>N/A</x:v>
      </x:c>
      <x:c r="L373" s="15" t="str">
        <x:v>bc30491e-9ae6-48da-90d0-71d8a8069b22</x:v>
      </x:c>
      <x:c r="M373" s="15" t="str"/>
      <x:c r="N373" s="15" t="str">
        <x:v>reasoningStructure[1].sourceCases[0]</x:v>
      </x:c>
      <x:c r="O373" s="15" t="str">
        <x:v>structured_json</x:v>
      </x:c>
      <x:c r="P373" s="15" t="str"/>
      <x:c r="Q373" s="15" t="str">
        <x:v>distinguished</x:v>
      </x:c>
      <x:c r="R373" s="15" t="str">
        <x:v>Highlights the standards expected from highway authority maintenance and inspection practices.</x:v>
      </x:c>
      <x:c r="S373" s="15" t="str"/>
    </x:row>
    <x:row r="374">
      <x:c r="A374" s="1" t="str">
        <x:v>O0373</x:v>
      </x:c>
      <x:c r="B374" s="1" t="str">
        <x:v>cmmxpdot1000h04i8q3aleh7a</x:v>
      </x:c>
      <x:c r="C374" s="1" t="str">
        <x:v>cmmshtbz8000204jsdrli49qe</x:v>
      </x:c>
      <x:c r="D374" s="1" t="str">
        <x:v>karpasitis-v-hertfordshire-county-council</x:v>
      </x:c>
      <x:c r="E374" s="1" t="str">
        <x:v>real</x:v>
      </x:c>
      <x:c r="F374" s="15" t="str">
        <x:v>Karpasitis v Hertfordshire County Council</x:v>
      </x:c>
      <x:c r="G374" s="16" t="n">
        <x:v>46100.69947208333</x:v>
      </x:c>
      <x:c r="H374" s="15" t="str">
        <x:v>case</x:v>
      </x:c>
      <x:c r="I374" s="15" t="str">
        <x:v>case:2016 ewhc 1767 qb</x:v>
      </x:c>
      <x:c r="J374" s="15" t="str">
        <x:v>King Lifting Ltd v Oxfordshire County Council</x:v>
      </x:c>
      <x:c r="K374" s="15" t="str">
        <x:v>[2016] EWHC 1767 (QB)</x:v>
      </x:c>
      <x:c r="L374" s="15" t="str">
        <x:v>52d20bb9-6964-44a6-9c32-d191ef76297c</x:v>
      </x:c>
      <x:c r="M374" s="15" t="str"/>
      <x:c r="N374" s="15" t="str">
        <x:v>issuesForDetermination.issueMatrix[0].sourceCases[0]</x:v>
      </x:c>
      <x:c r="O374" s="15" t="str">
        <x:v>structured_json</x:v>
      </x:c>
      <x:c r="P374" s="15" t="str"/>
      <x:c r="Q374" s="15" t="str">
        <x:v>applied_differently</x:v>
      </x:c>
      <x:c r="R374" s="15" t="str">
        <x:v>Relevant as it assesses visibility and warning duties related to negligent road conditions.</x:v>
      </x:c>
      <x:c r="S374" s="15" t="str"/>
    </x:row>
    <x:row r="375">
      <x:c r="A375" s="1" t="str">
        <x:v>O0374</x:v>
      </x:c>
      <x:c r="B375" s="1" t="str">
        <x:v>cmmxpdot1000h04i8q3aleh7a</x:v>
      </x:c>
      <x:c r="C375" s="1" t="str">
        <x:v>cmmshtbz8000204jsdrli49qe</x:v>
      </x:c>
      <x:c r="D375" s="1" t="str">
        <x:v>karpasitis-v-hertfordshire-county-council</x:v>
      </x:c>
      <x:c r="E375" s="1" t="str">
        <x:v>real</x:v>
      </x:c>
      <x:c r="F375" s="15" t="str">
        <x:v>Karpasitis v Hertfordshire County Council</x:v>
      </x:c>
      <x:c r="G375" s="16" t="n">
        <x:v>46100.69947208333</x:v>
      </x:c>
      <x:c r="H375" s="15" t="str">
        <x:v>case</x:v>
      </x:c>
      <x:c r="I375" s="15" t="str">
        <x:v>case:gorringe v calderdale metropolitan borough council</x:v>
      </x:c>
      <x:c r="J375" s="15" t="str">
        <x:v>Gorringe v. Calderdale Metropolitan Borough Council</x:v>
      </x:c>
      <x:c r="K375" s="15" t="str">
        <x:v>N/A</x:v>
      </x:c>
      <x:c r="L375" s="15" t="str">
        <x:v>bc30491e-9ae6-48da-90d0-71d8a8069b22</x:v>
      </x:c>
      <x:c r="M375" s="15" t="str"/>
      <x:c r="N375" s="15" t="str">
        <x:v>issuesForDetermination.issueMatrix[1].sourceCases[0]</x:v>
      </x:c>
      <x:c r="O375" s="15" t="str">
        <x:v>structured_json</x:v>
      </x:c>
      <x:c r="P375" s="15" t="str"/>
      <x:c r="Q375" s="15" t="str">
        <x:v>distinguished</x:v>
      </x:c>
      <x:c r="R375" s="15" t="str">
        <x:v>Provides context on statutory and operational obligations for local authorities.</x:v>
      </x:c>
      <x:c r="S375" s="15" t="str"/>
    </x:row>
    <x:row r="376">
      <x:c r="A376" s="1" t="str">
        <x:v>O0375</x:v>
      </x:c>
      <x:c r="B376" s="1" t="str">
        <x:v>cmmxsk5kn000h04ldd570wr09</x:v>
      </x:c>
      <x:c r="C376" s="1" t="str">
        <x:v>cmmxhmaji000604l8iyhbwnn1</x:v>
      </x:c>
      <x:c r="D376" s="1" t="str">
        <x:v>greenfields--iow--limited-v-isle-of-wight-council---westridge-village-limited</x:v>
      </x:c>
      <x:c r="E376" s="1" t="str">
        <x:v>real</x:v>
      </x:c>
      <x:c r="F376" s="15" t="str">
        <x:v>Greenfields (IOW) Limited v Isle of Wight Council &amp; Westridge Village Limited</x:v>
      </x:c>
      <x:c r="G376" s="16" t="n">
        <x:v>46100.76128357639</x:v>
      </x:c>
      <x:c r="H376" s="15" t="str">
        <x:v>case</x:v>
      </x:c>
      <x:c r="I376" s="15" t="str">
        <x:v>case:2002 1 wlr 1593</x:v>
      </x:c>
      <x:c r="J376" s="15" t="str">
        <x:v>R (Burkett) v Hammersmith LBC [2002] 1 WLR 1593</x:v>
      </x:c>
      <x:c r="K376" s="15" t="str">
        <x:v>R (Burkett) v Hammersmith LBC [2002] 1 WLR 1593</x:v>
      </x:c>
      <x:c r="L376" s="15" t="str"/>
      <x:c r="M376" s="15" t="str"/>
      <x:c r="N376" s="15" t="str">
        <x:v>legalFramework.precedentCitations[0]</x:v>
      </x:c>
      <x:c r="O376" s="15" t="str">
        <x:v>structured_json</x:v>
      </x:c>
      <x:c r="P376" s="15" t="str">
        <x:v>binding</x:v>
      </x:c>
      <x:c r="Q376" s="15" t="str"/>
      <x:c r="R376" s="15" t="str">
        <x:v>Duties of public bodies to act fairly and transparently when making decisions affecting public rights.</x:v>
      </x:c>
      <x:c r="S376" s="15" t="str"/>
    </x:row>
    <x:row r="377">
      <x:c r="A377" s="1" t="str">
        <x:v>O0376</x:v>
      </x:c>
      <x:c r="B377" s="1" t="str">
        <x:v>cmmxsk5kn000h04ldd570wr09</x:v>
      </x:c>
      <x:c r="C377" s="1" t="str">
        <x:v>cmmxhmaji000604l8iyhbwnn1</x:v>
      </x:c>
      <x:c r="D377" s="1" t="str">
        <x:v>greenfields--iow--limited-v-isle-of-wight-council---westridge-village-limited</x:v>
      </x:c>
      <x:c r="E377" s="1" t="str">
        <x:v>real</x:v>
      </x:c>
      <x:c r="F377" s="15" t="str">
        <x:v>Greenfields (IOW) Limited v Isle of Wight Council &amp; Westridge Village Limited</x:v>
      </x:c>
      <x:c r="G377" s="16" t="n">
        <x:v>46100.76128357639</x:v>
      </x:c>
      <x:c r="H377" s="15" t="str">
        <x:v>legislation</x:v>
      </x:c>
      <x:c r="I377" s="15" t="str">
        <x:v>legislation:town and country planning development management procedure order 2015 article 40 3 b</x:v>
      </x:c>
      <x:c r="J377" s="15" t="str">
        <x:v>Town and Country Planning (Development Management Procedure) Order 2015</x:v>
      </x:c>
      <x:c r="K377" s="15" t="str">
        <x:v>Town and Country Planning (Development Management Procedure) Order 2015 Article 40(3)(b)</x:v>
      </x:c>
      <x:c r="L377" s="15" t="str"/>
      <x:c r="M377" s="15" t="str">
        <x:v>Article 40(3)(b)</x:v>
      </x:c>
      <x:c r="N377" s="15" t="str">
        <x:v>legalFramework.statutoryProvisions[0]</x:v>
      </x:c>
      <x:c r="O377" s="15" t="str">
        <x:v>structured_json</x:v>
      </x:c>
      <x:c r="P377" s="15" t="str"/>
      <x:c r="Q377" s="15" t="str"/>
      <x:c r="R377" s="15" t="str">
        <x:v>Outlines the obligations for transparency in planning obligations.</x:v>
      </x:c>
      <x:c r="S377" s="15" t="str"/>
    </x:row>
    <x:row r="378">
      <x:c r="A378" s="1" t="str">
        <x:v>O0377</x:v>
      </x:c>
      <x:c r="B378" s="1" t="str">
        <x:v>cmmxsk5kn000h04ldd570wr09</x:v>
      </x:c>
      <x:c r="C378" s="1" t="str">
        <x:v>cmmxhmaji000604l8iyhbwnn1</x:v>
      </x:c>
      <x:c r="D378" s="1" t="str">
        <x:v>greenfields--iow--limited-v-isle-of-wight-council---westridge-village-limited</x:v>
      </x:c>
      <x:c r="E378" s="1" t="str">
        <x:v>real</x:v>
      </x:c>
      <x:c r="F378" s="15" t="str">
        <x:v>Greenfields (IOW) Limited v Isle of Wight Council &amp; Westridge Village Limited</x:v>
      </x:c>
      <x:c r="G378" s="16" t="n">
        <x:v>46100.76128357639</x:v>
      </x:c>
      <x:c r="H378" s="15" t="str">
        <x:v>legislation</x:v>
      </x:c>
      <x:c r="I378" s="15" t="str">
        <x:v>legislation:senior courts act 1981</x:v>
      </x:c>
      <x:c r="J378" s="15" t="str">
        <x:v>Senior Courts Act 1981</x:v>
      </x:c>
      <x:c r="K378" s="15" t="str">
        <x:v>Senior Courts Act 1981</x:v>
      </x:c>
      <x:c r="L378" s="15" t="str"/>
      <x:c r="M378" s="15" t="str"/>
      <x:c r="N378" s="15" t="str">
        <x:v>decisionAndDisposition.interest.statutoryBasis</x:v>
      </x:c>
      <x:c r="O378" s="15" t="str">
        <x:v>structured_json</x:v>
      </x:c>
      <x:c r="P378" s="15" t="str"/>
      <x:c r="Q378" s="15" t="str"/>
      <x:c r="R378" s="15" t="str"/>
      <x:c r="S378" s="15" t="str"/>
    </x:row>
    <x:row r="379">
      <x:c r="A379" s="1" t="str">
        <x:v>O0378</x:v>
      </x:c>
      <x:c r="B379" s="1" t="str">
        <x:v>cmmxsk5kn000h04ldd570wr09</x:v>
      </x:c>
      <x:c r="C379" s="1" t="str">
        <x:v>cmmxhmaji000604l8iyhbwnn1</x:v>
      </x:c>
      <x:c r="D379" s="1" t="str">
        <x:v>greenfields--iow--limited-v-isle-of-wight-council---westridge-village-limited</x:v>
      </x:c>
      <x:c r="E379" s="1" t="str">
        <x:v>real</x:v>
      </x:c>
      <x:c r="F379" s="15" t="str">
        <x:v>Greenfields (IOW) Limited v Isle of Wight Council &amp; Westridge Village Limited</x:v>
      </x:c>
      <x:c r="G379" s="16" t="n">
        <x:v>46100.76128357639</x:v>
      </x:c>
      <x:c r="H379" s="15" t="str">
        <x:v>case</x:v>
      </x:c>
      <x:c r="I379" s="15" t="str">
        <x:v>case:2014 ewca civ 1555</x:v>
      </x:c>
      <x:c r="J379" s="15" t="str">
        <x:v>Vicente &amp; Anor v Secretary of State for Communities and Local Government &amp; Anor</x:v>
      </x:c>
      <x:c r="K379" s="15" t="str">
        <x:v>[2014] EWCA Civ 1555</x:v>
      </x:c>
      <x:c r="L379" s="15" t="str">
        <x:v>3ff34419-ffbc-40f9-a087-a1cb1371d0e1</x:v>
      </x:c>
      <x:c r="M379" s="15" t="str"/>
      <x:c r="N379" s="15" t="str">
        <x:v>factualFindings.contestedFacts[0].sourceCases[0]</x:v>
      </x:c>
      <x:c r="O379" s="15" t="str">
        <x:v>structured_json</x:v>
      </x:c>
      <x:c r="P379" s="15" t="str"/>
      <x:c r="Q379" s="15" t="str">
        <x:v>applied_differently</x:v>
      </x:c>
      <x:c r="R379" s="15" t="str">
        <x:v>This case addresses procedural impropriety similar to the claims made regarding Cllr Brodie's actions.</x:v>
      </x:c>
      <x:c r="S379" s="15" t="str"/>
    </x:row>
    <x:row r="380">
      <x:c r="A380" s="1" t="str">
        <x:v>O0379</x:v>
      </x:c>
      <x:c r="B380" s="1" t="str">
        <x:v>cmmxsk5kn000h04ldd570wr09</x:v>
      </x:c>
      <x:c r="C380" s="1" t="str">
        <x:v>cmmxhmaji000604l8iyhbwnn1</x:v>
      </x:c>
      <x:c r="D380" s="1" t="str">
        <x:v>greenfields--iow--limited-v-isle-of-wight-council---westridge-village-limited</x:v>
      </x:c>
      <x:c r="E380" s="1" t="str">
        <x:v>real</x:v>
      </x:c>
      <x:c r="F380" s="15" t="str">
        <x:v>Greenfields (IOW) Limited v Isle of Wight Council &amp; Westridge Village Limited</x:v>
      </x:c>
      <x:c r="G380" s="16" t="n">
        <x:v>46100.76128357639</x:v>
      </x:c>
      <x:c r="H380" s="15" t="str">
        <x:v>case</x:v>
      </x:c>
      <x:c r="I380" s="15" t="str">
        <x:v>case:2004 ewhc 779 admin</x:v>
      </x:c>
      <x:c r="J380" s="15" t="str">
        <x:v>Georgiou v London Borough of Enfield &amp; Ors</x:v>
      </x:c>
      <x:c r="K380" s="15" t="str">
        <x:v>[2004] EWHC 779 (Admin)</x:v>
      </x:c>
      <x:c r="L380" s="15" t="str">
        <x:v>f36914c7-32ec-4f23-9909-c4ece2be9d33</x:v>
      </x:c>
      <x:c r="M380" s="15" t="str"/>
      <x:c r="N380" s="15" t="str">
        <x:v>factualFindings.contestedFacts[1].sourceCases[0]</x:v>
      </x:c>
      <x:c r="O380" s="15" t="str">
        <x:v>structured_json</x:v>
      </x:c>
      <x:c r="P380" s="15" t="str"/>
      <x:c r="Q380" s="15" t="str">
        <x:v>same_proposition</x:v>
      </x:c>
      <x:c r="R380" s="15" t="str">
        <x:v>This case reinforces obligations of transparency and public interest in planning decisions, relevant to the argument around section 106 disclosures.</x:v>
      </x:c>
      <x:c r="S380" s="15" t="str"/>
    </x:row>
    <x:row r="381">
      <x:c r="A381" s="1" t="str">
        <x:v>O0380</x:v>
      </x:c>
      <x:c r="B381" s="1" t="str">
        <x:v>cmmxsk5kn000h04ldd570wr09</x:v>
      </x:c>
      <x:c r="C381" s="1" t="str">
        <x:v>cmmxhmaji000604l8iyhbwnn1</x:v>
      </x:c>
      <x:c r="D381" s="1" t="str">
        <x:v>greenfields--iow--limited-v-isle-of-wight-council---westridge-village-limited</x:v>
      </x:c>
      <x:c r="E381" s="1" t="str">
        <x:v>real</x:v>
      </x:c>
      <x:c r="F381" s="15" t="str">
        <x:v>Greenfields (IOW) Limited v Isle of Wight Council &amp; Westridge Village Limited</x:v>
      </x:c>
      <x:c r="G381" s="16" t="n">
        <x:v>46100.76128357639</x:v>
      </x:c>
      <x:c r="H381" s="15" t="str">
        <x:v>case</x:v>
      </x:c>
      <x:c r="I381" s="15" t="str">
        <x:v>case:2014 ewca civ 1555</x:v>
      </x:c>
      <x:c r="J381" s="15" t="str">
        <x:v>Vicente &amp; Anor v Secretary of State for Communities and Local Government &amp; Anor</x:v>
      </x:c>
      <x:c r="K381" s="15" t="str">
        <x:v>[2014] EWCA Civ 1555</x:v>
      </x:c>
      <x:c r="L381" s="15" t="str">
        <x:v>3ff34419-ffbc-40f9-a087-a1cb1371d0e1</x:v>
      </x:c>
      <x:c r="M381" s="15" t="str"/>
      <x:c r="N381" s="15" t="str">
        <x:v>issuesForDetermination.issueMatrix[0].sourceCases[0]</x:v>
      </x:c>
      <x:c r="O381" s="15" t="str">
        <x:v>structured_json</x:v>
      </x:c>
      <x:c r="P381" s="15" t="str"/>
      <x:c r="Q381" s="15" t="str">
        <x:v>distinguished</x:v>
      </x:c>
      <x:c r="R381" s="15" t="str">
        <x:v>Similar procedural impropriety cases provide a comparative basis for assessing Cllr Brodie’s actions in this context.</x:v>
      </x:c>
      <x:c r="S381" s="15" t="str"/>
    </x:row>
    <x:row r="382">
      <x:c r="A382" s="1" t="str">
        <x:v>O0381</x:v>
      </x:c>
      <x:c r="B382" s="1" t="str">
        <x:v>cmmxsk5kn000h04ldd570wr09</x:v>
      </x:c>
      <x:c r="C382" s="1" t="str">
        <x:v>cmmxhmaji000604l8iyhbwnn1</x:v>
      </x:c>
      <x:c r="D382" s="1" t="str">
        <x:v>greenfields--iow--limited-v-isle-of-wight-council---westridge-village-limited</x:v>
      </x:c>
      <x:c r="E382" s="1" t="str">
        <x:v>real</x:v>
      </x:c>
      <x:c r="F382" s="15" t="str">
        <x:v>Greenfields (IOW) Limited v Isle of Wight Council &amp; Westridge Village Limited</x:v>
      </x:c>
      <x:c r="G382" s="16" t="n">
        <x:v>46100.76128357639</x:v>
      </x:c>
      <x:c r="H382" s="15" t="str">
        <x:v>case</x:v>
      </x:c>
      <x:c r="I382" s="15" t="str">
        <x:v>case:2004 ewhc 779 admin</x:v>
      </x:c>
      <x:c r="J382" s="15" t="str">
        <x:v>Georgiou v London Borough of Enfield &amp; Ors</x:v>
      </x:c>
      <x:c r="K382" s="15" t="str">
        <x:v>[2004] EWHC 779 (Admin)</x:v>
      </x:c>
      <x:c r="L382" s="15" t="str">
        <x:v>f36914c7-32ec-4f23-9909-c4ece2be9d33</x:v>
      </x:c>
      <x:c r="M382" s="15" t="str"/>
      <x:c r="N382" s="15" t="str">
        <x:v>issuesForDetermination.issueMatrix[1].sourceCases[0]</x:v>
      </x:c>
      <x:c r="O382" s="15" t="str">
        <x:v>structured_json</x:v>
      </x:c>
      <x:c r="P382" s="15" t="str"/>
      <x:c r="Q382" s="15" t="str">
        <x:v>applied_differently</x:v>
      </x:c>
      <x:c r="R382" s="15" t="str">
        <x:v>Provides a critical backdrop for assessing transparency and obligations in local governance regarding planning permission disclosures.</x:v>
      </x:c>
      <x:c r="S382" s="15" t="str"/>
    </x:row>
    <x:row r="383">
      <x:c r="A383" s="1" t="str">
        <x:v>O0382</x:v>
      </x:c>
      <x:c r="B383" s="1" t="str">
        <x:v>cmmxtzd4o000904jrjc2hdwrx</x:v>
      </x:c>
      <x:c r="C383" s="1" t="str">
        <x:v>cmmxhmaji000604l8iyhbwnn1</x:v>
      </x:c>
      <x:c r="D383" s="1" t="str">
        <x:v>greenfields--iow--limited-v-isle-of-wight-council---westridge-village-limited</x:v>
      </x:c>
      <x:c r="E383" s="1" t="str">
        <x:v>real</x:v>
      </x:c>
      <x:c r="F383" s="15" t="str">
        <x:v>Greenfields (IOW) Limited v Isle of Wight Council &amp; Westridge Village Limited</x:v>
      </x:c>
      <x:c r="G383" s="16" t="n">
        <x:v>46100.78893692129</x:v>
      </x:c>
      <x:c r="H383" s="15" t="str">
        <x:v>case</x:v>
      </x:c>
      <x:c r="I383" s="15" t="str">
        <x:v>case:2002 ukhl 23</x:v>
      </x:c>
      <x:c r="J383" s="15" t="str">
        <x:v>Regina v. London Borough of Hammersmith and Fulham (Burkett) [2002] UKHL 23</x:v>
      </x:c>
      <x:c r="K383" s="15" t="str">
        <x:v>Regina v. London Borough of Hammersmith and Fulham (Burkett) [2002] UKHL 23</x:v>
      </x:c>
      <x:c r="L383" s="15" t="str"/>
      <x:c r="M383" s="15" t="str"/>
      <x:c r="N383" s="15" t="str">
        <x:v>legalFramework.precedentCitations[0]</x:v>
      </x:c>
      <x:c r="O383" s="15" t="str">
        <x:v>structured_json</x:v>
      </x:c>
      <x:c r="P383" s="15" t="str">
        <x:v>binding</x:v>
      </x:c>
      <x:c r="Q383" s="15" t="str"/>
      <x:c r="R383" s="15" t="str">
        <x:v>Addresses issues of procedural impropriety in planning decisions.</x:v>
      </x:c>
      <x:c r="S383" s="15" t="str"/>
    </x:row>
    <x:row r="384">
      <x:c r="A384" s="1" t="str">
        <x:v>O0383</x:v>
      </x:c>
      <x:c r="B384" s="1" t="str">
        <x:v>cmmxtzd4o000904jrjc2hdwrx</x:v>
      </x:c>
      <x:c r="C384" s="1" t="str">
        <x:v>cmmxhmaji000604l8iyhbwnn1</x:v>
      </x:c>
      <x:c r="D384" s="1" t="str">
        <x:v>greenfields--iow--limited-v-isle-of-wight-council---westridge-village-limited</x:v>
      </x:c>
      <x:c r="E384" s="1" t="str">
        <x:v>real</x:v>
      </x:c>
      <x:c r="F384" s="15" t="str">
        <x:v>Greenfields (IOW) Limited v Isle of Wight Council &amp; Westridge Village Limited</x:v>
      </x:c>
      <x:c r="G384" s="16" t="n">
        <x:v>46100.78893692129</x:v>
      </x:c>
      <x:c r="H384" s="15" t="str">
        <x:v>case</x:v>
      </x:c>
      <x:c r="I384" s="15" t="str">
        <x:v>case:2023 ewhc 1995 admin</x:v>
      </x:c>
      <x:c r="J384" s="15" t="str">
        <x:v>R (Worcestershire Acute Hospitals NHS Trust) v Malvern Hills District Council [2023] EWHC 1995 (Admin)</x:v>
      </x:c>
      <x:c r="K384" s="15" t="str">
        <x:v>R (Worcestershire Acute Hospitals NHS Trust) v Malvern Hills District Council [2023] EWHC 1995 (Admin)</x:v>
      </x:c>
      <x:c r="L384" s="15" t="str"/>
      <x:c r="M384" s="15" t="str"/>
      <x:c r="N384" s="15" t="str">
        <x:v>legalFramework.precedentCitations[1]</x:v>
      </x:c>
      <x:c r="O384" s="15" t="str">
        <x:v>structured_json</x:v>
      </x:c>
      <x:c r="P384" s="15" t="str">
        <x:v>persuasive</x:v>
      </x:c>
      <x:c r="Q384" s="15" t="str"/>
      <x:c r="R384" s="15" t="str">
        <x:v>Clarifies requirements for planning obligations and public notice.</x:v>
      </x:c>
      <x:c r="S384" s="15" t="str"/>
    </x:row>
    <x:row r="385">
      <x:c r="A385" s="1" t="str">
        <x:v>O0384</x:v>
      </x:c>
      <x:c r="B385" s="1" t="str">
        <x:v>cmmxtzd4o000904jrjc2hdwrx</x:v>
      </x:c>
      <x:c r="C385" s="1" t="str">
        <x:v>cmmxhmaji000604l8iyhbwnn1</x:v>
      </x:c>
      <x:c r="D385" s="1" t="str">
        <x:v>greenfields--iow--limited-v-isle-of-wight-council---westridge-village-limited</x:v>
      </x:c>
      <x:c r="E385" s="1" t="str">
        <x:v>real</x:v>
      </x:c>
      <x:c r="F385" s="15" t="str">
        <x:v>Greenfields (IOW) Limited v Isle of Wight Council &amp; Westridge Village Limited</x:v>
      </x:c>
      <x:c r="G385" s="16" t="n">
        <x:v>46100.78893692129</x:v>
      </x:c>
      <x:c r="H385" s="15" t="str">
        <x:v>legislation</x:v>
      </x:c>
      <x:c r="I385" s="15" t="str">
        <x:v>legislation:town and country planning development management procedure order 2015 article 40 3 b</x:v>
      </x:c>
      <x:c r="J385" s="15" t="str">
        <x:v>Town and Country Planning (Development Management Procedure) Order 2015</x:v>
      </x:c>
      <x:c r="K385" s="15" t="str">
        <x:v>Town and Country Planning (Development Management Procedure) Order 2015 Article 40(3)(b)</x:v>
      </x:c>
      <x:c r="L385" s="15" t="str"/>
      <x:c r="M385" s="15" t="str">
        <x:v>Article 40(3)(b)</x:v>
      </x:c>
      <x:c r="N385" s="15" t="str">
        <x:v>legalFramework.statutoryProvisions[0]</x:v>
      </x:c>
      <x:c r="O385" s="15" t="str">
        <x:v>structured_json</x:v>
      </x:c>
      <x:c r="P385" s="15" t="str"/>
      <x:c r="Q385" s="15" t="str"/>
      <x:c r="R385" s="15" t="str">
        <x:v>Addresses procedural conduct within planning applications.</x:v>
      </x:c>
      <x:c r="S385" s="15" t="str"/>
    </x:row>
    <x:row r="386">
      <x:c r="A386" s="1" t="str">
        <x:v>O0385</x:v>
      </x:c>
      <x:c r="B386" s="1" t="str">
        <x:v>cmmxtzd4o000904jrjc2hdwrx</x:v>
      </x:c>
      <x:c r="C386" s="1" t="str">
        <x:v>cmmxhmaji000604l8iyhbwnn1</x:v>
      </x:c>
      <x:c r="D386" s="1" t="str">
        <x:v>greenfields--iow--limited-v-isle-of-wight-council---westridge-village-limited</x:v>
      </x:c>
      <x:c r="E386" s="1" t="str">
        <x:v>real</x:v>
      </x:c>
      <x:c r="F386" s="15" t="str">
        <x:v>Greenfields (IOW) Limited v Isle of Wight Council &amp; Westridge Village Limited</x:v>
      </x:c>
      <x:c r="G386" s="16" t="n">
        <x:v>46100.78893692129</x:v>
      </x:c>
      <x:c r="H386" s="15" t="str">
        <x:v>legislation</x:v>
      </x:c>
      <x:c r="I386" s="15" t="str">
        <x:v>legislation:senior courts act 1981 s 35a</x:v>
      </x:c>
      <x:c r="J386" s="15" t="str">
        <x:v>Senior Courts Act 1981, s.35A</x:v>
      </x:c>
      <x:c r="K386" s="15" t="str">
        <x:v>Senior Courts Act 1981, s.35A</x:v>
      </x:c>
      <x:c r="L386" s="15" t="str"/>
      <x:c r="M386" s="15" t="str"/>
      <x:c r="N386" s="15" t="str">
        <x:v>decisionAndDisposition.interest.statutoryBasis</x:v>
      </x:c>
      <x:c r="O386" s="15" t="str">
        <x:v>structured_json</x:v>
      </x:c>
      <x:c r="P386" s="15" t="str"/>
      <x:c r="Q386" s="15" t="str"/>
      <x:c r="R386" s="15" t="str"/>
      <x:c r="S386" s="15" t="str"/>
    </x:row>
    <x:row r="387">
      <x:c r="A387" s="1" t="str">
        <x:v>O0386</x:v>
      </x:c>
      <x:c r="B387" s="1" t="str">
        <x:v>cmmxtzd4o000904jrjc2hdwrx</x:v>
      </x:c>
      <x:c r="C387" s="1" t="str">
        <x:v>cmmxhmaji000604l8iyhbwnn1</x:v>
      </x:c>
      <x:c r="D387" s="1" t="str">
        <x:v>greenfields--iow--limited-v-isle-of-wight-council---westridge-village-limited</x:v>
      </x:c>
      <x:c r="E387" s="1" t="str">
        <x:v>real</x:v>
      </x:c>
      <x:c r="F387" s="15" t="str">
        <x:v>Greenfields (IOW) Limited v Isle of Wight Council &amp; Westridge Village Limited</x:v>
      </x:c>
      <x:c r="G387" s="16" t="n">
        <x:v>46100.78893692129</x:v>
      </x:c>
      <x:c r="H387" s="15" t="str">
        <x:v>case</x:v>
      </x:c>
      <x:c r="I387" s="15" t="str">
        <x:v>case:2002 ukhl 23</x:v>
      </x:c>
      <x:c r="J387" s="15" t="str">
        <x:v>Regina v. London Borough of Hammersmith and Fulham (Burkett) [2002] UKHL 23</x:v>
      </x:c>
      <x:c r="K387" s="15" t="str">
        <x:v>Regina v. London Borough of Hammersmith and Fulham (Burkett) [2002] UKHL 23</x:v>
      </x:c>
      <x:c r="L387" s="15" t="str"/>
      <x:c r="M387" s="15" t="str"/>
      <x:c r="N387" s="15" t="str">
        <x:v>legalFramework.legalTestSummaries[0].sourceAuthority</x:v>
      </x:c>
      <x:c r="O387" s="15" t="str">
        <x:v>structured_json</x:v>
      </x:c>
      <x:c r="P387" s="15" t="str"/>
      <x:c r="Q387" s="15" t="str"/>
      <x:c r="R387" s="15" t="str"/>
      <x:c r="S387" s="15" t="str"/>
    </x:row>
    <x:row r="388">
      <x:c r="A388" s="1" t="str">
        <x:v>O0387</x:v>
      </x:c>
      <x:c r="B388" s="1" t="str">
        <x:v>cmmxtzd4o000904jrjc2hdwrx</x:v>
      </x:c>
      <x:c r="C388" s="1" t="str">
        <x:v>cmmxhmaji000604l8iyhbwnn1</x:v>
      </x:c>
      <x:c r="D388" s="1" t="str">
        <x:v>greenfields--iow--limited-v-isle-of-wight-council---westridge-village-limited</x:v>
      </x:c>
      <x:c r="E388" s="1" t="str">
        <x:v>real</x:v>
      </x:c>
      <x:c r="F388" s="15" t="str">
        <x:v>Greenfields (IOW) Limited v Isle of Wight Council &amp; Westridge Village Limited</x:v>
      </x:c>
      <x:c r="G388" s="16" t="n">
        <x:v>46100.78893692129</x:v>
      </x:c>
      <x:c r="H388" s="15" t="str">
        <x:v>case</x:v>
      </x:c>
      <x:c r="I388" s="15" t="str">
        <x:v>case:2023 ewhc 1995 admin</x:v>
      </x:c>
      <x:c r="J388" s="15" t="str">
        <x:v>R (Worcestershire Acute Hospitals NHS Trust) v Malvern Hills District Council [2023] EWHC 1995 (Admin)</x:v>
      </x:c>
      <x:c r="K388" s="15" t="str">
        <x:v>R (Worcestershire Acute Hospitals NHS Trust) v Malvern Hills District Council [2023] EWHC 1995 (Admin)</x:v>
      </x:c>
      <x:c r="L388" s="15" t="str"/>
      <x:c r="M388" s="15" t="str"/>
      <x:c r="N388" s="15" t="str">
        <x:v>legalFramework.legalTestSummaries[1].sourceAuthority</x:v>
      </x:c>
      <x:c r="O388" s="15" t="str">
        <x:v>structured_json</x:v>
      </x:c>
      <x:c r="P388" s="15" t="str"/>
      <x:c r="Q388" s="15" t="str"/>
      <x:c r="R388" s="15" t="str"/>
      <x:c r="S388" s="15" t="str"/>
    </x:row>
    <x:row r="389">
      <x:c r="A389" s="1" t="str">
        <x:v>O0388</x:v>
      </x:c>
      <x:c r="B389" s="1" t="str">
        <x:v>cmmxtzd4o000904jrjc2hdwrx</x:v>
      </x:c>
      <x:c r="C389" s="1" t="str">
        <x:v>cmmxhmaji000604l8iyhbwnn1</x:v>
      </x:c>
      <x:c r="D389" s="1" t="str">
        <x:v>greenfields--iow--limited-v-isle-of-wight-council---westridge-village-limited</x:v>
      </x:c>
      <x:c r="E389" s="1" t="str">
        <x:v>real</x:v>
      </x:c>
      <x:c r="F389" s="15" t="str">
        <x:v>Greenfields (IOW) Limited v Isle of Wight Council &amp; Westridge Village Limited</x:v>
      </x:c>
      <x:c r="G389" s="16" t="n">
        <x:v>46100.78893692129</x:v>
      </x:c>
      <x:c r="H389" s="15" t="str">
        <x:v>case</x:v>
      </x:c>
      <x:c r="I389" s="15" t="str">
        <x:v>case:cherkley campaign ltd r on the application of v mole valley district council &amp; anor</x:v>
      </x:c>
      <x:c r="J389" s="15" t="str">
        <x:v>Cherkley Campaign Ltd, R (on the application of) v Mole Valley District Council &amp; Anor</x:v>
      </x:c>
      <x:c r="K389" s="15" t="str">
        <x:v>N/A</x:v>
      </x:c>
      <x:c r="L389" s="15" t="str">
        <x:v>f42492fd-8832-4f70-b315-d7597c15a5ef</x:v>
      </x:c>
      <x:c r="M389" s="15" t="str"/>
      <x:c r="N389" s="15" t="str">
        <x:v>legalFramework.statutoryProvisions[0].sourceCases[0]</x:v>
      </x:c>
      <x:c r="O389" s="15" t="str">
        <x:v>structured_json</x:v>
      </x:c>
      <x:c r="P389" s="15" t="str"/>
      <x:c r="Q389" s="15" t="str">
        <x:v>applied_differently</x:v>
      </x:c>
      <x:c r="R389" s="15" t="str">
        <x:v>This case involved similar procedural duties under the 2015 Order.</x:v>
      </x:c>
      <x:c r="S389" s="15" t="str"/>
    </x:row>
    <x:row r="390">
      <x:c r="A390" s="1" t="str">
        <x:v>O0389</x:v>
      </x:c>
      <x:c r="B390" s="1" t="str">
        <x:v>cmmxtzd4o000904jrjc2hdwrx</x:v>
      </x:c>
      <x:c r="C390" s="1" t="str">
        <x:v>cmmxhmaji000604l8iyhbwnn1</x:v>
      </x:c>
      <x:c r="D390" s="1" t="str">
        <x:v>greenfields--iow--limited-v-isle-of-wight-council---westridge-village-limited</x:v>
      </x:c>
      <x:c r="E390" s="1" t="str">
        <x:v>real</x:v>
      </x:c>
      <x:c r="F390" s="15" t="str">
        <x:v>Greenfields (IOW) Limited v Isle of Wight Council &amp; Westridge Village Limited</x:v>
      </x:c>
      <x:c r="G390" s="16" t="n">
        <x:v>46100.78893692129</x:v>
      </x:c>
      <x:c r="H390" s="15" t="str">
        <x:v>case</x:v>
      </x:c>
      <x:c r="I390" s="15" t="str">
        <x:v>case:2002 ukhl 23</x:v>
      </x:c>
      <x:c r="J390" s="15" t="str">
        <x:v>Regina v. London Borough of Hammersmith and Fulham (Burkett)</x:v>
      </x:c>
      <x:c r="K390" s="15" t="str">
        <x:v>[2002] UKHL 23</x:v>
      </x:c>
      <x:c r="L390" s="15" t="str">
        <x:v>379d4f20-62f5-403b-a082-fa36b82fe1c1</x:v>
      </x:c>
      <x:c r="M390" s="15" t="str"/>
      <x:c r="N390" s="15" t="str">
        <x:v>factualFindings.contestedFacts[0].sourceCases[0]</x:v>
      </x:c>
      <x:c r="O390" s="15" t="str">
        <x:v>structured_json</x:v>
      </x:c>
      <x:c r="P390" s="15" t="str"/>
      <x:c r="Q390" s="15" t="str">
        <x:v>same_proposition</x:v>
      </x:c>
      <x:c r="R390" s="15" t="str">
        <x:v>Addresses procedural improprieties which are similar to the claims made by the claimant here.</x:v>
      </x:c>
      <x:c r="S390" s="15" t="str"/>
    </x:row>
    <x:row r="391">
      <x:c r="A391" s="1" t="str">
        <x:v>O0390</x:v>
      </x:c>
      <x:c r="B391" s="1" t="str">
        <x:v>cmmxtzd4o000904jrjc2hdwrx</x:v>
      </x:c>
      <x:c r="C391" s="1" t="str">
        <x:v>cmmxhmaji000604l8iyhbwnn1</x:v>
      </x:c>
      <x:c r="D391" s="1" t="str">
        <x:v>greenfields--iow--limited-v-isle-of-wight-council---westridge-village-limited</x:v>
      </x:c>
      <x:c r="E391" s="1" t="str">
        <x:v>real</x:v>
      </x:c>
      <x:c r="F391" s="15" t="str">
        <x:v>Greenfields (IOW) Limited v Isle of Wight Council &amp; Westridge Village Limited</x:v>
      </x:c>
      <x:c r="G391" s="16" t="n">
        <x:v>46100.78893692129</x:v>
      </x:c>
      <x:c r="H391" s="15" t="str">
        <x:v>case</x:v>
      </x:c>
      <x:c r="I391" s="15" t="str">
        <x:v>case:cherkley campaign ltd r on the application of v mole valley district council &amp; anor</x:v>
      </x:c>
      <x:c r="J391" s="15" t="str">
        <x:v>Cherkley Campaign Ltd, R (on the application of) v Mole Valley District Council &amp; Anor</x:v>
      </x:c>
      <x:c r="K391" s="15" t="str">
        <x:v>N/A</x:v>
      </x:c>
      <x:c r="L391" s="15" t="str">
        <x:v>f42492fd-8832-4f70-b315-d7597c15a5ef</x:v>
      </x:c>
      <x:c r="M391" s="15" t="str"/>
      <x:c r="N391" s="15" t="str">
        <x:v>factualFindings.contestedFacts[1].sourceCases[0]</x:v>
      </x:c>
      <x:c r="O391" s="15" t="str">
        <x:v>structured_json</x:v>
      </x:c>
      <x:c r="P391" s="15" t="str"/>
      <x:c r="Q391" s="15" t="str">
        <x:v>applied_differently</x:v>
      </x:c>
      <x:c r="R391" s="15" t="str">
        <x:v>This case illustrates the importance of transparency in planning obligations.</x:v>
      </x:c>
      <x:c r="S391" s="15" t="str"/>
    </x:row>
    <x:row r="392">
      <x:c r="A392" s="1" t="str">
        <x:v>O0391</x:v>
      </x:c>
      <x:c r="B392" s="1" t="str">
        <x:v>cmmxtzd4o000904jrjc2hdwrx</x:v>
      </x:c>
      <x:c r="C392" s="1" t="str">
        <x:v>cmmxhmaji000604l8iyhbwnn1</x:v>
      </x:c>
      <x:c r="D392" s="1" t="str">
        <x:v>greenfields--iow--limited-v-isle-of-wight-council---westridge-village-limited</x:v>
      </x:c>
      <x:c r="E392" s="1" t="str">
        <x:v>real</x:v>
      </x:c>
      <x:c r="F392" s="15" t="str">
        <x:v>Greenfields (IOW) Limited v Isle of Wight Council &amp; Westridge Village Limited</x:v>
      </x:c>
      <x:c r="G392" s="16" t="n">
        <x:v>46100.78893692129</x:v>
      </x:c>
      <x:c r="H392" s="15" t="str">
        <x:v>case</x:v>
      </x:c>
      <x:c r="I392" s="15" t="str">
        <x:v>case:2002 ukhl 23</x:v>
      </x:c>
      <x:c r="J392" s="15" t="str">
        <x:v>Regina v. London Borough of Hammersmith and Fulham (Burkett)</x:v>
      </x:c>
      <x:c r="K392" s="15" t="str">
        <x:v>[2002] UKHL 23</x:v>
      </x:c>
      <x:c r="L392" s="15" t="str">
        <x:v>379d4f20-62f5-403b-a082-fa36b82fe1c1</x:v>
      </x:c>
      <x:c r="M392" s="15" t="str"/>
      <x:c r="N392" s="15" t="str">
        <x:v>reasoningStructure[0].sourceCases[0]</x:v>
      </x:c>
      <x:c r="O392" s="15" t="str">
        <x:v>structured_json</x:v>
      </x:c>
      <x:c r="P392" s="15" t="str"/>
      <x:c r="Q392" s="15" t="str">
        <x:v>same_proposition</x:v>
      </x:c>
      <x:c r="R392" s="15" t="str">
        <x:v>This case outlines key principles regarding procedural fairness in planning contexts.</x:v>
      </x:c>
      <x:c r="S392" s="15" t="str"/>
    </x:row>
    <x:row r="393">
      <x:c r="A393" s="1" t="str">
        <x:v>O0392</x:v>
      </x:c>
      <x:c r="B393" s="1" t="str">
        <x:v>cmmxtzd4o000904jrjc2hdwrx</x:v>
      </x:c>
      <x:c r="C393" s="1" t="str">
        <x:v>cmmxhmaji000604l8iyhbwnn1</x:v>
      </x:c>
      <x:c r="D393" s="1" t="str">
        <x:v>greenfields--iow--limited-v-isle-of-wight-council---westridge-village-limited</x:v>
      </x:c>
      <x:c r="E393" s="1" t="str">
        <x:v>real</x:v>
      </x:c>
      <x:c r="F393" s="15" t="str">
        <x:v>Greenfields (IOW) Limited v Isle of Wight Council &amp; Westridge Village Limited</x:v>
      </x:c>
      <x:c r="G393" s="16" t="n">
        <x:v>46100.78893692129</x:v>
      </x:c>
      <x:c r="H393" s="15" t="str">
        <x:v>case</x:v>
      </x:c>
      <x:c r="I393" s="15" t="str">
        <x:v>case:cherkley campaign ltd r on the application of v mole valley district council &amp; anor</x:v>
      </x:c>
      <x:c r="J393" s="15" t="str">
        <x:v>Cherkley Campaign Ltd, R (on the application of) v Mole Valley District Council &amp; Anor</x:v>
      </x:c>
      <x:c r="K393" s="15" t="str">
        <x:v>N/A</x:v>
      </x:c>
      <x:c r="L393" s="15" t="str">
        <x:v>f42492fd-8832-4f70-b315-d7597c15a5ef</x:v>
      </x:c>
      <x:c r="M393" s="15" t="str"/>
      <x:c r="N393" s="15" t="str">
        <x:v>reasoningStructure[1].sourceCases[0]</x:v>
      </x:c>
      <x:c r="O393" s="15" t="str">
        <x:v>structured_json</x:v>
      </x:c>
      <x:c r="P393" s="15" t="str"/>
      <x:c r="Q393" s="15" t="str">
        <x:v>applied_differently</x:v>
      </x:c>
      <x:c r="R393" s="15" t="str">
        <x:v>This case emphasizes the need for transparency in planning obligations.</x:v>
      </x:c>
      <x:c r="S393" s="15" t="str"/>
    </x:row>
    <x:row r="394">
      <x:c r="A394" s="1" t="str">
        <x:v>O0393</x:v>
      </x:c>
      <x:c r="B394" s="1" t="str">
        <x:v>cmmxtzd4o000904jrjc2hdwrx</x:v>
      </x:c>
      <x:c r="C394" s="1" t="str">
        <x:v>cmmxhmaji000604l8iyhbwnn1</x:v>
      </x:c>
      <x:c r="D394" s="1" t="str">
        <x:v>greenfields--iow--limited-v-isle-of-wight-council---westridge-village-limited</x:v>
      </x:c>
      <x:c r="E394" s="1" t="str">
        <x:v>real</x:v>
      </x:c>
      <x:c r="F394" s="15" t="str">
        <x:v>Greenfields (IOW) Limited v Isle of Wight Council &amp; Westridge Village Limited</x:v>
      </x:c>
      <x:c r="G394" s="16" t="n">
        <x:v>46100.78893692129</x:v>
      </x:c>
      <x:c r="H394" s="15" t="str">
        <x:v>case</x:v>
      </x:c>
      <x:c r="I394" s="15" t="str">
        <x:v>case:2002 ukhl 23</x:v>
      </x:c>
      <x:c r="J394" s="15" t="str">
        <x:v>Regina v. London Borough of Hammersmith and Fulham (Burkett)</x:v>
      </x:c>
      <x:c r="K394" s="15" t="str">
        <x:v>[2002] UKHL 23</x:v>
      </x:c>
      <x:c r="L394" s="15" t="str">
        <x:v>379d4f20-62f5-403b-a082-fa36b82fe1c1</x:v>
      </x:c>
      <x:c r="M394" s="15" t="str"/>
      <x:c r="N394" s="15" t="str">
        <x:v>issuesForDetermination.issueMatrix[0].sourceCases[0]</x:v>
      </x:c>
      <x:c r="O394" s="15" t="str">
        <x:v>structured_json</x:v>
      </x:c>
      <x:c r="P394" s="15" t="str"/>
      <x:c r="Q394" s="15" t="str">
        <x:v>same_proposition</x:v>
      </x:c>
      <x:c r="R394" s="15" t="str">
        <x:v>Directly addresses procedural concerns in planning decisions.</x:v>
      </x:c>
      <x:c r="S394" s="15" t="str"/>
    </x:row>
    <x:row r="395">
      <x:c r="A395" s="1" t="str">
        <x:v>O0394</x:v>
      </x:c>
      <x:c r="B395" s="1" t="str">
        <x:v>cmmxtzd4o000904jrjc2hdwrx</x:v>
      </x:c>
      <x:c r="C395" s="1" t="str">
        <x:v>cmmxhmaji000604l8iyhbwnn1</x:v>
      </x:c>
      <x:c r="D395" s="1" t="str">
        <x:v>greenfields--iow--limited-v-isle-of-wight-council---westridge-village-limited</x:v>
      </x:c>
      <x:c r="E395" s="1" t="str">
        <x:v>real</x:v>
      </x:c>
      <x:c r="F395" s="15" t="str">
        <x:v>Greenfields (IOW) Limited v Isle of Wight Council &amp; Westridge Village Limited</x:v>
      </x:c>
      <x:c r="G395" s="16" t="n">
        <x:v>46100.78893692129</x:v>
      </x:c>
      <x:c r="H395" s="15" t="str">
        <x:v>case</x:v>
      </x:c>
      <x:c r="I395" s="15" t="str">
        <x:v>case:cherkley campaign ltd r on the application of v mole valley district council &amp; anor</x:v>
      </x:c>
      <x:c r="J395" s="15" t="str">
        <x:v>Cherkley Campaign Ltd, R (on the application of) v Mole Valley District Council &amp; Anor</x:v>
      </x:c>
      <x:c r="K395" s="15" t="str">
        <x:v>N/A</x:v>
      </x:c>
      <x:c r="L395" s="15" t="str">
        <x:v>f42492fd-8832-4f70-b315-d7597c15a5ef</x:v>
      </x:c>
      <x:c r="M395" s="15" t="str"/>
      <x:c r="N395" s="15" t="str">
        <x:v>issuesForDetermination.issueMatrix[1].sourceCases[0]</x:v>
      </x:c>
      <x:c r="O395" s="15" t="str">
        <x:v>structured_json</x:v>
      </x:c>
      <x:c r="P395" s="15" t="str"/>
      <x:c r="Q395" s="15" t="str">
        <x:v>applied_differently</x:v>
      </x:c>
      <x:c r="R395" s="15" t="str">
        <x:v>Demonstrates essentiality of proper public disclosure regarding planning obligations.</x:v>
      </x:c>
      <x:c r="S395" s="15" t="str"/>
    </x:row>
    <x:row r="396">
      <x:c r="A396" s="1" t="str">
        <x:v>O0395</x:v>
      </x:c>
      <x:c r="B396" s="1" t="str">
        <x:v>cmomnx9nj000304jkyxxg2b0k</x:v>
      </x:c>
      <x:c r="C396" s="1" t="str">
        <x:v>cmmxhmaji000604l8iyhbwnn1</x:v>
      </x:c>
      <x:c r="D396" s="1" t="str">
        <x:v>greenfields--iow--limited-v-isle-of-wight-council---westridge-village-limited</x:v>
      </x:c>
      <x:c r="E396" s="1" t="str">
        <x:v>real</x:v>
      </x:c>
      <x:c r="F396" s="15" t="str">
        <x:v>Greenfields (IOW) Limited v Isle of Wight Council &amp; Westridge Village Limited</x:v>
      </x:c>
      <x:c r="G396" s="16" t="n">
        <x:v>46143.36140475694</x:v>
      </x:c>
      <x:c r="H396" s="15" t="str">
        <x:v>case</x:v>
      </x:c>
      <x:c r="I396" s="15" t="str">
        <x:v>case:2002 1 wlr 1593</x:v>
      </x:c>
      <x:c r="J396" s="15" t="str">
        <x:v>R (Burkett) v Hammersmith LBC [2002] 1 WLR 1593</x:v>
      </x:c>
      <x:c r="K396" s="15" t="str">
        <x:v>R (Burkett) v Hammersmith LBC [2002] 1 WLR 1593</x:v>
      </x:c>
      <x:c r="L396" s="15" t="str"/>
      <x:c r="M396" s="15" t="str"/>
      <x:c r="N396" s="15" t="str">
        <x:v>legalFramework.precedentCitations[0]</x:v>
      </x:c>
      <x:c r="O396" s="15" t="str">
        <x:v>structured_json</x:v>
      </x:c>
      <x:c r="P396" s="15" t="str">
        <x:v>persuasive</x:v>
      </x:c>
      <x:c r="Q396" s="15" t="str"/>
      <x:c r="R396" s="15" t="str">
        <x:v>Public authorities must follow established procedures to avoid unfairness and maintain transparency.</x:v>
      </x:c>
      <x:c r="S396" s="15" t="str"/>
    </x:row>
    <x:row r="397">
      <x:c r="A397" s="1" t="str">
        <x:v>O0396</x:v>
      </x:c>
      <x:c r="B397" s="1" t="str">
        <x:v>cmomnx9nj000304jkyxxg2b0k</x:v>
      </x:c>
      <x:c r="C397" s="1" t="str">
        <x:v>cmmxhmaji000604l8iyhbwnn1</x:v>
      </x:c>
      <x:c r="D397" s="1" t="str">
        <x:v>greenfields--iow--limited-v-isle-of-wight-council---westridge-village-limited</x:v>
      </x:c>
      <x:c r="E397" s="1" t="str">
        <x:v>real</x:v>
      </x:c>
      <x:c r="F397" s="15" t="str">
        <x:v>Greenfields (IOW) Limited v Isle of Wight Council &amp; Westridge Village Limited</x:v>
      </x:c>
      <x:c r="G397" s="16" t="n">
        <x:v>46143.36140475694</x:v>
      </x:c>
      <x:c r="H397" s="15" t="str">
        <x:v>case</x:v>
      </x:c>
      <x:c r="I397" s="15" t="str">
        <x:v>case:2000 1 wlr 377</x:v>
      </x:c>
      <x:c r="J397" s="15" t="str">
        <x:v>Flannery v Halifax Estate Agencies Ltd [2000] 1 WLR 377</x:v>
      </x:c>
      <x:c r="K397" s="15" t="str">
        <x:v>Flannery v Halifax Estate Agencies Ltd [2000] 1 WLR 377</x:v>
      </x:c>
      <x:c r="L397" s="15" t="str"/>
      <x:c r="M397" s="15" t="str"/>
      <x:c r="N397" s="15" t="str">
        <x:v>legalFramework.precedentCitations[1]</x:v>
      </x:c>
      <x:c r="O397" s="15" t="str">
        <x:v>structured_json</x:v>
      </x:c>
      <x:c r="P397" s="15" t="str">
        <x:v>binding</x:v>
      </x:c>
      <x:c r="Q397" s="15" t="str"/>
      <x:c r="R397" s="15" t="str">
        <x:v>Parties must be given reasons for decisions affecting their rights.</x:v>
      </x:c>
      <x:c r="S397" s="15" t="str"/>
    </x:row>
    <x:row r="398">
      <x:c r="A398" s="1" t="str">
        <x:v>O0397</x:v>
      </x:c>
      <x:c r="B398" s="1" t="str">
        <x:v>cmomnx9nj000304jkyxxg2b0k</x:v>
      </x:c>
      <x:c r="C398" s="1" t="str">
        <x:v>cmmxhmaji000604l8iyhbwnn1</x:v>
      </x:c>
      <x:c r="D398" s="1" t="str">
        <x:v>greenfields--iow--limited-v-isle-of-wight-council---westridge-village-limited</x:v>
      </x:c>
      <x:c r="E398" s="1" t="str">
        <x:v>real</x:v>
      </x:c>
      <x:c r="F398" s="15" t="str">
        <x:v>Greenfields (IOW) Limited v Isle of Wight Council &amp; Westridge Village Limited</x:v>
      </x:c>
      <x:c r="G398" s="16" t="n">
        <x:v>46143.36140475694</x:v>
      </x:c>
      <x:c r="H398" s="15" t="str">
        <x:v>legislation</x:v>
      </x:c>
      <x:c r="I398" s="15" t="str">
        <x:v>legislation:town and country planning development management procedure order 2015 article 40 3 b</x:v>
      </x:c>
      <x:c r="J398" s="15" t="str">
        <x:v>Town and Country Planning (Development Management Procedure) Order 2015</x:v>
      </x:c>
      <x:c r="K398" s="15" t="str">
        <x:v>Town and Country Planning (Development Management Procedure) Order 2015 Article 40(3)(b)</x:v>
      </x:c>
      <x:c r="L398" s="15" t="str"/>
      <x:c r="M398" s="15" t="str">
        <x:v>Article 40(3)(b)</x:v>
      </x:c>
      <x:c r="N398" s="15" t="str">
        <x:v>legalFramework.statutoryProvisions[0]</x:v>
      </x:c>
      <x:c r="O398" s="15" t="str">
        <x:v>structured_json</x:v>
      </x:c>
      <x:c r="P398" s="15" t="str"/>
      <x:c r="Q398" s="15" t="str"/>
      <x:c r="R398" s="15" t="str">
        <x:v>Requires transparency in publishing planning obligations.</x:v>
      </x:c>
      <x:c r="S398" s="15" t="str"/>
    </x:row>
    <x:row r="399">
      <x:c r="A399" s="1" t="str">
        <x:v>O0398</x:v>
      </x:c>
      <x:c r="B399" s="1" t="str">
        <x:v>cmomnx9nj000304jkyxxg2b0k</x:v>
      </x:c>
      <x:c r="C399" s="1" t="str">
        <x:v>cmmxhmaji000604l8iyhbwnn1</x:v>
      </x:c>
      <x:c r="D399" s="1" t="str">
        <x:v>greenfields--iow--limited-v-isle-of-wight-council---westridge-village-limited</x:v>
      </x:c>
      <x:c r="E399" s="1" t="str">
        <x:v>real</x:v>
      </x:c>
      <x:c r="F399" s="15" t="str">
        <x:v>Greenfields (IOW) Limited v Isle of Wight Council &amp; Westridge Village Limited</x:v>
      </x:c>
      <x:c r="G399" s="16" t="n">
        <x:v>46143.36140475694</x:v>
      </x:c>
      <x:c r="H399" s="15" t="str">
        <x:v>legislation</x:v>
      </x:c>
      <x:c r="I399" s="15" t="str">
        <x:v>legislation:senior courts act 1981 s 35a</x:v>
      </x:c>
      <x:c r="J399" s="15" t="str">
        <x:v>Senior Courts Act 1981, s.35A</x:v>
      </x:c>
      <x:c r="K399" s="15" t="str">
        <x:v>Senior Courts Act 1981, s.35A</x:v>
      </x:c>
      <x:c r="L399" s="15" t="str"/>
      <x:c r="M399" s="15" t="str"/>
      <x:c r="N399" s="15" t="str">
        <x:v>decisionAndDisposition.interest.statutoryBasis</x:v>
      </x:c>
      <x:c r="O399" s="15" t="str">
        <x:v>structured_json</x:v>
      </x:c>
      <x:c r="P399" s="15" t="str"/>
      <x:c r="Q399" s="15" t="str"/>
      <x:c r="R399" s="15" t="str"/>
      <x:c r="S399" s="15" t="str"/>
    </x:row>
    <x:row r="400">
      <x:c r="A400" s="1" t="str">
        <x:v>O0399</x:v>
      </x:c>
      <x:c r="B400" s="1" t="str">
        <x:v>cmomnx9nj000304jkyxxg2b0k</x:v>
      </x:c>
      <x:c r="C400" s="1" t="str">
        <x:v>cmmxhmaji000604l8iyhbwnn1</x:v>
      </x:c>
      <x:c r="D400" s="1" t="str">
        <x:v>greenfields--iow--limited-v-isle-of-wight-council---westridge-village-limited</x:v>
      </x:c>
      <x:c r="E400" s="1" t="str">
        <x:v>real</x:v>
      </x:c>
      <x:c r="F400" s="15" t="str">
        <x:v>Greenfields (IOW) Limited v Isle of Wight Council &amp; Westridge Village Limited</x:v>
      </x:c>
      <x:c r="G400" s="16" t="n">
        <x:v>46143.36140475694</x:v>
      </x:c>
      <x:c r="H400" s="15" t="str">
        <x:v>case</x:v>
      </x:c>
      <x:c r="I400" s="15" t="str">
        <x:v>case:2014 ewca civ 1555</x:v>
      </x:c>
      <x:c r="J400" s="15" t="str">
        <x:v>Vicente &amp; Anor v Secretary of State for Communities and Local Government &amp; Anor</x:v>
      </x:c>
      <x:c r="K400" s="15" t="str">
        <x:v>[2014] EWCA Civ 1555</x:v>
      </x:c>
      <x:c r="L400" s="15" t="str">
        <x:v>3ff34419-ffbc-40f9-a087-a1cb1371d0e1</x:v>
      </x:c>
      <x:c r="M400" s="15" t="str"/>
      <x:c r="N400" s="15" t="str">
        <x:v>factualFindings.contestedFacts[0].sourceCases[0]</x:v>
      </x:c>
      <x:c r="O400" s="15" t="str">
        <x:v>structured_json</x:v>
      </x:c>
      <x:c r="P400" s="15" t="str"/>
      <x:c r="Q400" s="15" t="str">
        <x:v>applied_differently</x:v>
      </x:c>
      <x:c r="R400" s="15" t="str">
        <x:v>This case discusses the role of council members in ensuring procedural fairness during planning decisions.</x:v>
      </x:c>
      <x:c r="S400" s="15" t="str"/>
    </x:row>
    <x:row r="401">
      <x:c r="A401" s="1" t="str">
        <x:v>O0400</x:v>
      </x:c>
      <x:c r="B401" s="1" t="str">
        <x:v>cmomnx9nj000304jkyxxg2b0k</x:v>
      </x:c>
      <x:c r="C401" s="1" t="str">
        <x:v>cmmxhmaji000604l8iyhbwnn1</x:v>
      </x:c>
      <x:c r="D401" s="1" t="str">
        <x:v>greenfields--iow--limited-v-isle-of-wight-council---westridge-village-limited</x:v>
      </x:c>
      <x:c r="E401" s="1" t="str">
        <x:v>real</x:v>
      </x:c>
      <x:c r="F401" s="15" t="str">
        <x:v>Greenfields (IOW) Limited v Isle of Wight Council &amp; Westridge Village Limited</x:v>
      </x:c>
      <x:c r="G401" s="16" t="n">
        <x:v>46143.36140475694</x:v>
      </x:c>
      <x:c r="H401" s="15" t="str">
        <x:v>case</x:v>
      </x:c>
      <x:c r="I401" s="15" t="str">
        <x:v>case:2004 ewhc 779 admin</x:v>
      </x:c>
      <x:c r="J401" s="15" t="str">
        <x:v>Georgiou v London Borough of Enfield &amp; Ors</x:v>
      </x:c>
      <x:c r="K401" s="15" t="str">
        <x:v>[2004] EWHC 779 (Admin)</x:v>
      </x:c>
      <x:c r="L401" s="15" t="str">
        <x:v>f36914c7-32ec-4f23-9909-c4ece2be9d33</x:v>
      </x:c>
      <x:c r="M401" s="15" t="str"/>
      <x:c r="N401" s="15" t="str">
        <x:v>factualFindings.contestedFacts[1].sourceCases[0]</x:v>
      </x:c>
      <x:c r="O401" s="15" t="str">
        <x:v>structured_json</x:v>
      </x:c>
      <x:c r="P401" s="15" t="str"/>
      <x:c r="Q401" s="15" t="str">
        <x:v>same_proposition</x:v>
      </x:c>
      <x:c r="R401" s="15" t="str">
        <x:v>This case circled around public bodies’ obligations regarding transparency in planning processes.</x:v>
      </x:c>
      <x:c r="S401" s="15" t="str"/>
    </x:row>
    <x:row r="402">
      <x:c r="A402" s="1" t="str">
        <x:v>O0401</x:v>
      </x:c>
      <x:c r="B402" s="1" t="str">
        <x:v>cmomnx9nj000304jkyxxg2b0k</x:v>
      </x:c>
      <x:c r="C402" s="1" t="str">
        <x:v>cmmxhmaji000604l8iyhbwnn1</x:v>
      </x:c>
      <x:c r="D402" s="1" t="str">
        <x:v>greenfields--iow--limited-v-isle-of-wight-council---westridge-village-limited</x:v>
      </x:c>
      <x:c r="E402" s="1" t="str">
        <x:v>real</x:v>
      </x:c>
      <x:c r="F402" s="15" t="str">
        <x:v>Greenfields (IOW) Limited v Isle of Wight Council &amp; Westridge Village Limited</x:v>
      </x:c>
      <x:c r="G402" s="16" t="n">
        <x:v>46143.36140475694</x:v>
      </x:c>
      <x:c r="H402" s="15" t="str">
        <x:v>case</x:v>
      </x:c>
      <x:c r="I402" s="15" t="str">
        <x:v>case:2014 ewca civ 1555</x:v>
      </x:c>
      <x:c r="J402" s="15" t="str">
        <x:v>Vicente &amp; Anor v Secretary of State for Communities and Local Government &amp; Anor</x:v>
      </x:c>
      <x:c r="K402" s="15" t="str">
        <x:v>[2014] EWCA Civ 1555</x:v>
      </x:c>
      <x:c r="L402" s="15" t="str">
        <x:v>3ff34419-ffbc-40f9-a087-a1cb1371d0e1</x:v>
      </x:c>
      <x:c r="M402" s="15" t="str"/>
      <x:c r="N402" s="15" t="str">
        <x:v>reasoningStructure[0].sourceCases[0]</x:v>
      </x:c>
      <x:c r="O402" s="15" t="str">
        <x:v>structured_json</x:v>
      </x:c>
      <x:c r="P402" s="15" t="str"/>
      <x:c r="Q402" s="15" t="str">
        <x:v>applied_differently</x:v>
      </x:c>
      <x:c r="R402" s="15" t="str">
        <x:v>Highlights the necessity for unbiased conduct in planning decision processes.</x:v>
      </x:c>
      <x:c r="S402" s="15" t="str"/>
    </x:row>
    <x:row r="403">
      <x:c r="A403" s="1" t="str">
        <x:v>O0402</x:v>
      </x:c>
      <x:c r="B403" s="1" t="str">
        <x:v>cmomnx9nj000304jkyxxg2b0k</x:v>
      </x:c>
      <x:c r="C403" s="1" t="str">
        <x:v>cmmxhmaji000604l8iyhbwnn1</x:v>
      </x:c>
      <x:c r="D403" s="1" t="str">
        <x:v>greenfields--iow--limited-v-isle-of-wight-council---westridge-village-limited</x:v>
      </x:c>
      <x:c r="E403" s="1" t="str">
        <x:v>real</x:v>
      </x:c>
      <x:c r="F403" s="15" t="str">
        <x:v>Greenfields (IOW) Limited v Isle of Wight Council &amp; Westridge Village Limited</x:v>
      </x:c>
      <x:c r="G403" s="16" t="n">
        <x:v>46143.36140475694</x:v>
      </x:c>
      <x:c r="H403" s="15" t="str">
        <x:v>case</x:v>
      </x:c>
      <x:c r="I403" s="15" t="str">
        <x:v>case:2004 ewhc 779 admin</x:v>
      </x:c>
      <x:c r="J403" s="15" t="str">
        <x:v>Georgiou v London Borough of Enfield &amp; Ors</x:v>
      </x:c>
      <x:c r="K403" s="15" t="str">
        <x:v>[2004] EWHC 779 (Admin)</x:v>
      </x:c>
      <x:c r="L403" s="15" t="str">
        <x:v>f36914c7-32ec-4f23-9909-c4ece2be9d33</x:v>
      </x:c>
      <x:c r="M403" s="15" t="str"/>
      <x:c r="N403" s="15" t="str">
        <x:v>reasoningStructure[1].sourceCases[0]</x:v>
      </x:c>
      <x:c r="O403" s="15" t="str">
        <x:v>structured_json</x:v>
      </x:c>
      <x:c r="P403" s="15" t="str"/>
      <x:c r="Q403" s="15" t="str">
        <x:v>same_proposition</x:v>
      </x:c>
      <x:c r="R403" s="15" t="str">
        <x:v>Discusses transparency obligations relating to planning processes.</x:v>
      </x:c>
      <x:c r="S403" s="15" t="str"/>
    </x:row>
    <x:row r="404">
      <x:c r="A404" s="1" t="str">
        <x:v>O0403</x:v>
      </x:c>
      <x:c r="B404" s="1" t="str">
        <x:v>cmomnx9nj000304jkyxxg2b0k</x:v>
      </x:c>
      <x:c r="C404" s="1" t="str">
        <x:v>cmmxhmaji000604l8iyhbwnn1</x:v>
      </x:c>
      <x:c r="D404" s="1" t="str">
        <x:v>greenfields--iow--limited-v-isle-of-wight-council---westridge-village-limited</x:v>
      </x:c>
      <x:c r="E404" s="1" t="str">
        <x:v>real</x:v>
      </x:c>
      <x:c r="F404" s="15" t="str">
        <x:v>Greenfields (IOW) Limited v Isle of Wight Council &amp; Westridge Village Limited</x:v>
      </x:c>
      <x:c r="G404" s="16" t="n">
        <x:v>46143.36140475694</x:v>
      </x:c>
      <x:c r="H404" s="15" t="str">
        <x:v>case</x:v>
      </x:c>
      <x:c r="I404" s="15" t="str">
        <x:v>case:2014 ewca civ 1555</x:v>
      </x:c>
      <x:c r="J404" s="15" t="str">
        <x:v>Vicente &amp; Anor v Secretary of State for Communities and Local Government &amp; Anor</x:v>
      </x:c>
      <x:c r="K404" s="15" t="str">
        <x:v>[2014] EWCA Civ 1555</x:v>
      </x:c>
      <x:c r="L404" s="15" t="str">
        <x:v>3ff34419-ffbc-40f9-a087-a1cb1371d0e1</x:v>
      </x:c>
      <x:c r="M404" s="15" t="str"/>
      <x:c r="N404" s="15" t="str">
        <x:v>issuesForDetermination.issueMatrix[0].sourceCases[0]</x:v>
      </x:c>
      <x:c r="O404" s="15" t="str">
        <x:v>structured_json</x:v>
      </x:c>
      <x:c r="P404" s="15" t="str"/>
      <x:c r="Q404" s="15" t="str">
        <x:v>applied_differently</x:v>
      </x:c>
      <x:c r="R404" s="15" t="str">
        <x:v>Relevant for determining procedural impropriety associated with the actions of council members.</x:v>
      </x:c>
      <x:c r="S404" s="15" t="str"/>
    </x:row>
    <x:row r="405">
      <x:c r="A405" s="1" t="str">
        <x:v>O0404</x:v>
      </x:c>
      <x:c r="B405" s="1" t="str">
        <x:v>cmomnx9nj000304jkyxxg2b0k</x:v>
      </x:c>
      <x:c r="C405" s="1" t="str">
        <x:v>cmmxhmaji000604l8iyhbwnn1</x:v>
      </x:c>
      <x:c r="D405" s="1" t="str">
        <x:v>greenfields--iow--limited-v-isle-of-wight-council---westridge-village-limited</x:v>
      </x:c>
      <x:c r="E405" s="1" t="str">
        <x:v>real</x:v>
      </x:c>
      <x:c r="F405" s="15" t="str">
        <x:v>Greenfields (IOW) Limited v Isle of Wight Council &amp; Westridge Village Limited</x:v>
      </x:c>
      <x:c r="G405" s="16" t="n">
        <x:v>46143.36140475694</x:v>
      </x:c>
      <x:c r="H405" s="15" t="str">
        <x:v>case</x:v>
      </x:c>
      <x:c r="I405" s="15" t="str">
        <x:v>case:2004 ewhc 779 admin</x:v>
      </x:c>
      <x:c r="J405" s="15" t="str">
        <x:v>Georgiou v London Borough of Enfield &amp; Ors</x:v>
      </x:c>
      <x:c r="K405" s="15" t="str">
        <x:v>[2004] EWHC 779 (Admin)</x:v>
      </x:c>
      <x:c r="L405" s="15" t="str">
        <x:v>f36914c7-32ec-4f23-9909-c4ece2be9d33</x:v>
      </x:c>
      <x:c r="M405" s="15" t="str"/>
      <x:c r="N405" s="15" t="str">
        <x:v>issuesForDetermination.issueMatrix[1].sourceCases[0]</x:v>
      </x:c>
      <x:c r="O405" s="15" t="str">
        <x:v>structured_json</x:v>
      </x:c>
      <x:c r="P405" s="15" t="str"/>
      <x:c r="Q405" s="15" t="str">
        <x:v>applied_differently</x:v>
      </x:c>
      <x:c r="R405" s="15" t="str">
        <x:v>This precedent explores obligations for transparency in planning procedures.</x:v>
      </x:c>
      <x:c r="S405" s="15" t="str"/>
    </x:row>
    <x:row r="406">
      <x:c r="A406" s="1" t="str">
        <x:v>O0405</x:v>
      </x:c>
      <x:c r="B406" s="1" t="str">
        <x:v>cms1ps00j000j04jsbxrn9wrj</x:v>
      </x:c>
      <x:c r="C406" s="1" t="str">
        <x:v>cms1pp04x000404jswgoarvrt</x:v>
      </x:c>
      <x:c r="D406" s="1" t="str">
        <x:v>ca-2024-001541-the-king-on-the-application-of-respondent-skeleton</x:v>
      </x:c>
      <x:c r="E406" s="1" t="str">
        <x:v>real</x:v>
      </x:c>
      <x:c r="F406" s="15" t="str">
        <x:v>The King (on the application of Transport Action Network Limited) v Secretary of State for Transport</x:v>
      </x:c>
      <x:c r="G406" s="16" t="n">
        <x:v>46229.47776018518</x:v>
      </x:c>
      <x:c r="H406" s="15" t="str">
        <x:v>case</x:v>
      </x:c>
      <x:c r="I406" s="15" t="str">
        <x:v>case:2002 ewca civ 605</x:v>
      </x:c>
      <x:c r="J406" s="15" t="str">
        <x:v>English v Emery Reimbold &amp; Strick Ltd [2002] EWCA Civ 605</x:v>
      </x:c>
      <x:c r="K406" s="15" t="str">
        <x:v>English v Emery Reimbold &amp; Strick Ltd [2002] EWCA Civ 605</x:v>
      </x:c>
      <x:c r="L406" s="15" t="str"/>
      <x:c r="M406" s="15" t="str"/>
      <x:c r="N406" s="15" t="str">
        <x:v>legalFramework.precedentCitations[0]</x:v>
      </x:c>
      <x:c r="O406" s="15" t="str">
        <x:v>structured_json</x:v>
      </x:c>
      <x:c r="P406" s="15" t="str">
        <x:v>binding</x:v>
      </x:c>
      <x:c r="Q406" s="15" t="str"/>
      <x:c r="R406" s="15" t="str">
        <x:v>Adequate reasons must be provided for judicial decisions to ensure transparency and accountability.</x:v>
      </x:c>
      <x:c r="S406" s="15" t="str"/>
    </x:row>
    <x:row r="407">
      <x:c r="A407" s="1" t="str">
        <x:v>O0406</x:v>
      </x:c>
      <x:c r="B407" s="1" t="str">
        <x:v>cms1ps00j000j04jsbxrn9wrj</x:v>
      </x:c>
      <x:c r="C407" s="1" t="str">
        <x:v>cms1pp04x000404jswgoarvrt</x:v>
      </x:c>
      <x:c r="D407" s="1" t="str">
        <x:v>ca-2024-001541-the-king-on-the-application-of-respondent-skeleton</x:v>
      </x:c>
      <x:c r="E407" s="1" t="str">
        <x:v>real</x:v>
      </x:c>
      <x:c r="F407" s="15" t="str">
        <x:v>The King (on the application of Transport Action Network Limited) v Secretary of State for Transport</x:v>
      </x:c>
      <x:c r="G407" s="16" t="n">
        <x:v>46229.47776018518</x:v>
      </x:c>
      <x:c r="H407" s="15" t="str">
        <x:v>case</x:v>
      </x:c>
      <x:c r="I407" s="15" t="str">
        <x:v>case:2000 1 wlr 377</x:v>
      </x:c>
      <x:c r="J407" s="15" t="str">
        <x:v>Flannery v Halifax Estate Agencies Ltd [2000] 1 WLR 377</x:v>
      </x:c>
      <x:c r="K407" s="15" t="str">
        <x:v>Flannery v Halifax Estate Agencies Ltd [2000] 1 WLR 377</x:v>
      </x:c>
      <x:c r="L407" s="15" t="str"/>
      <x:c r="M407" s="15" t="str"/>
      <x:c r="N407" s="15" t="str">
        <x:v>legalFramework.precedentCitations[1]</x:v>
      </x:c>
      <x:c r="O407" s="15" t="str">
        <x:v>structured_json</x:v>
      </x:c>
      <x:c r="P407" s="15" t="str">
        <x:v>binding</x:v>
      </x:c>
      <x:c r="Q407" s="15" t="str"/>
      <x:c r="R407" s="15" t="str">
        <x:v>The duty to give reasons for public decisions is critical in determining lawfulness.</x:v>
      </x:c>
      <x:c r="S407" s="15" t="str"/>
    </x:row>
    <x:row r="408">
      <x:c r="A408" s="1" t="str">
        <x:v>O0407</x:v>
      </x:c>
      <x:c r="B408" s="1" t="str">
        <x:v>cms1ps00j000j04jsbxrn9wrj</x:v>
      </x:c>
      <x:c r="C408" s="1" t="str">
        <x:v>cms1pp04x000404jswgoarvrt</x:v>
      </x:c>
      <x:c r="D408" s="1" t="str">
        <x:v>ca-2024-001541-the-king-on-the-application-of-respondent-skeleton</x:v>
      </x:c>
      <x:c r="E408" s="1" t="str">
        <x:v>real</x:v>
      </x:c>
      <x:c r="F408" s="15" t="str">
        <x:v>The King (on the application of Transport Action Network Limited) v Secretary of State for Transport</x:v>
      </x:c>
      <x:c r="G408" s="16" t="n">
        <x:v>46229.47776018518</x:v>
      </x:c>
      <x:c r="H408" s="15" t="str">
        <x:v>legislation</x:v>
      </x:c>
      <x:c r="I408" s="15" t="str">
        <x:v>legislation:infrastructure act 2015 21</x:v>
      </x:c>
      <x:c r="J408" s="15" t="str">
        <x:v>Infrastructure Act 2015</x:v>
      </x:c>
      <x:c r="K408" s="15" t="str">
        <x:v>Infrastructure Act 2015 21</x:v>
      </x:c>
      <x:c r="L408" s="15" t="str"/>
      <x:c r="M408" s="15" t="str">
        <x:v>21</x:v>
      </x:c>
      <x:c r="N408" s="15" t="str">
        <x:v>legalFramework.statutoryProvisions[0]</x:v>
      </x:c>
      <x:c r="O408" s="15" t="str">
        <x:v>structured_json</x:v>
      </x:c>
      <x:c r="P408" s="15" t="str"/>
      <x:c r="Q408" s="15" t="str"/>
      <x:c r="R408" s="15" t="str">
        <x:v>Mandates specification of financial resources for cycling and walking initiatives.</x:v>
      </x:c>
      <x:c r="S408" s="15" t="str"/>
    </x:row>
    <x:row r="409">
      <x:c r="A409" s="1" t="str">
        <x:v>O0408</x:v>
      </x:c>
      <x:c r="B409" s="1" t="str">
        <x:v>cms1ps00j000j04jsbxrn9wrj</x:v>
      </x:c>
      <x:c r="C409" s="1" t="str">
        <x:v>cms1pp04x000404jswgoarvrt</x:v>
      </x:c>
      <x:c r="D409" s="1" t="str">
        <x:v>ca-2024-001541-the-king-on-the-application-of-respondent-skeleton</x:v>
      </x:c>
      <x:c r="E409" s="1" t="str">
        <x:v>real</x:v>
      </x:c>
      <x:c r="F409" s="15" t="str">
        <x:v>The King (on the application of Transport Action Network Limited) v Secretary of State for Transport</x:v>
      </x:c>
      <x:c r="G409" s="16" t="n">
        <x:v>46229.47776018518</x:v>
      </x:c>
      <x:c r="H409" s="15" t="str">
        <x:v>legislation</x:v>
      </x:c>
      <x:c r="I409" s="15" t="str">
        <x:v>legislation:senior courts act 1981 s 35a</x:v>
      </x:c>
      <x:c r="J409" s="15" t="str">
        <x:v>Senior Courts Act 1981, s.35A</x:v>
      </x:c>
      <x:c r="K409" s="15" t="str">
        <x:v>Senior Courts Act 1981, s.35A</x:v>
      </x:c>
      <x:c r="L409" s="15" t="str"/>
      <x:c r="M409" s="15" t="str"/>
      <x:c r="N409" s="15" t="str">
        <x:v>decisionAndDisposition.interest.statutoryBasis</x:v>
      </x:c>
      <x:c r="O409" s="15" t="str">
        <x:v>structured_json</x:v>
      </x:c>
      <x:c r="P409" s="15" t="str"/>
      <x:c r="Q409" s="15" t="str"/>
      <x:c r="R409" s="15" t="str"/>
      <x:c r="S409" s="15" t="str"/>
    </x:row>
    <x:row r="410">
      <x:c r="A410" s="1" t="str">
        <x:v>O0409</x:v>
      </x:c>
      <x:c r="B410" s="1" t="str">
        <x:v>cms1ps00j000j04jsbxrn9wrj</x:v>
      </x:c>
      <x:c r="C410" s="1" t="str">
        <x:v>cms1pp04x000404jswgoarvrt</x:v>
      </x:c>
      <x:c r="D410" s="1" t="str">
        <x:v>ca-2024-001541-the-king-on-the-application-of-respondent-skeleton</x:v>
      </x:c>
      <x:c r="E410" s="1" t="str">
        <x:v>real</x:v>
      </x:c>
      <x:c r="F410" s="15" t="str">
        <x:v>The King (on the application of Transport Action Network Limited) v Secretary of State for Transport</x:v>
      </x:c>
      <x:c r="G410" s="16" t="n">
        <x:v>46229.47776018518</x:v>
      </x:c>
      <x:c r="H410" s="15" t="str">
        <x:v>legislation</x:v>
      </x:c>
      <x:c r="I410" s="15" t="str">
        <x:v>legislation:infrastructure act 2015</x:v>
      </x:c>
      <x:c r="J410" s="15" t="str">
        <x:v>Infrastructure Act 2015</x:v>
      </x:c>
      <x:c r="K410" s="15" t="str">
        <x:v>Infrastructure Act 2015</x:v>
      </x:c>
      <x:c r="L410" s="15" t="str"/>
      <x:c r="M410" s="15" t="str"/>
      <x:c r="N410" s="15" t="str">
        <x:v>legalFramework.legalTestSummaries[0].sourceAuthority</x:v>
      </x:c>
      <x:c r="O410" s="15" t="str">
        <x:v>structured_json</x:v>
      </x:c>
      <x:c r="P410" s="15" t="str"/>
      <x:c r="Q410" s="15" t="str"/>
      <x:c r="R410" s="15" t="str"/>
      <x:c r="S410" s="15" t="str"/>
    </x:row>
    <x:row r="411">
      <x:c r="A411" s="1" t="str">
        <x:v>O0410</x:v>
      </x:c>
      <x:c r="B411" s="1" t="str">
        <x:v>cms1ps00j000j04jsbxrn9wrj</x:v>
      </x:c>
      <x:c r="C411" s="1" t="str">
        <x:v>cms1pp04x000404jswgoarvrt</x:v>
      </x:c>
      <x:c r="D411" s="1" t="str">
        <x:v>ca-2024-001541-the-king-on-the-application-of-respondent-skeleton</x:v>
      </x:c>
      <x:c r="E411" s="1" t="str">
        <x:v>real</x:v>
      </x:c>
      <x:c r="F411" s="15" t="str">
        <x:v>The King (on the application of Transport Action Network Limited) v Secretary of State for Transport</x:v>
      </x:c>
      <x:c r="G411" s="16" t="n">
        <x:v>46229.47776018518</x:v>
      </x:c>
      <x:c r="H411" s="15" t="str">
        <x:v>case</x:v>
      </x:c>
      <x:c r="I411" s="15" t="str">
        <x:v>case:2002 ewca civ 605</x:v>
      </x:c>
      <x:c r="J411" s="15" t="str">
        <x:v>English v Emery Reimbold &amp; Strick Ltd [2002] EWCA Civ 605</x:v>
      </x:c>
      <x:c r="K411" s="15" t="str">
        <x:v>English v Emery Reimbold &amp; Strick Ltd [2002] EWCA Civ 605</x:v>
      </x:c>
      <x:c r="L411" s="15" t="str"/>
      <x:c r="M411" s="15" t="str"/>
      <x:c r="N411" s="15" t="str">
        <x:v>legalFramework.legalTestSummaries[1].sourceAuthority</x:v>
      </x:c>
      <x:c r="O411" s="15" t="str">
        <x:v>structured_json</x:v>
      </x:c>
      <x:c r="P411" s="15" t="str"/>
      <x:c r="Q411" s="15" t="str"/>
      <x:c r="R411" s="15" t="str"/>
      <x:c r="S411" s="15" t="str"/>
    </x:row>
    <x:row r="412">
      <x:c r="A412" s="1" t="str">
        <x:v>O0411</x:v>
      </x:c>
      <x:c r="B412" s="1" t="str">
        <x:v>cms1ps00j000j04jsbxrn9wrj</x:v>
      </x:c>
      <x:c r="C412" s="1" t="str">
        <x:v>cms1pp04x000404jswgoarvrt</x:v>
      </x:c>
      <x:c r="D412" s="1" t="str">
        <x:v>ca-2024-001541-the-king-on-the-application-of-respondent-skeleton</x:v>
      </x:c>
      <x:c r="E412" s="1" t="str">
        <x:v>real</x:v>
      </x:c>
      <x:c r="F412" s="15" t="str">
        <x:v>The King (on the application of Transport Action Network Limited) v Secretary of State for Transport</x:v>
      </x:c>
      <x:c r="G412" s="16" t="n">
        <x:v>46229.47776018518</x:v>
      </x:c>
      <x:c r="H412" s="15" t="str">
        <x:v>case</x:v>
      </x:c>
      <x:c r="I412" s="15" t="str">
        <x:v>case:london borough of enfield r on the application of v secretary of state for transport &amp; ors</x:v>
      </x:c>
      <x:c r="J412" s="15" t="str">
        <x:v>London Borough of Enfield, R (on the application of) v Secretary of State for Transport &amp; Ors</x:v>
      </x:c>
      <x:c r="K412" s="15" t="str">
        <x:v>N/A</x:v>
      </x:c>
      <x:c r="L412" s="15" t="str">
        <x:v>f5a5b44e-fcf0-40c0-9bf9-69f026b1b438</x:v>
      </x:c>
      <x:c r="M412" s="15" t="str"/>
      <x:c r="N412" s="15" t="str">
        <x:v>legalFramework.precedentCitations[1].sourceCases[0]</x:v>
      </x:c>
      <x:c r="O412" s="15" t="str">
        <x:v>structured_json</x:v>
      </x:c>
      <x:c r="P412" s="15" t="str"/>
      <x:c r="Q412" s="15" t="str">
        <x:v>distinguished</x:v>
      </x:c>
      <x:c r="R412" s="15" t="str">
        <x:v>Discusses the necessity of sufficient reasoning in environmental litigation.</x:v>
      </x:c>
      <x:c r="S412" s="15" t="str"/>
    </x:row>
    <x:row r="413">
      <x:c r="A413" s="1" t="str">
        <x:v>O0412</x:v>
      </x:c>
      <x:c r="B413" s="1" t="str">
        <x:v>cms1ps00j000j04jsbxrn9wrj</x:v>
      </x:c>
      <x:c r="C413" s="1" t="str">
        <x:v>cms1pp04x000404jswgoarvrt</x:v>
      </x:c>
      <x:c r="D413" s="1" t="str">
        <x:v>ca-2024-001541-the-king-on-the-application-of-respondent-skeleton</x:v>
      </x:c>
      <x:c r="E413" s="1" t="str">
        <x:v>real</x:v>
      </x:c>
      <x:c r="F413" s="15" t="str">
        <x:v>The King (on the application of Transport Action Network Limited) v Secretary of State for Transport</x:v>
      </x:c>
      <x:c r="G413" s="16" t="n">
        <x:v>46229.47776018518</x:v>
      </x:c>
      <x:c r="H413" s="15" t="str">
        <x:v>case</x:v>
      </x:c>
      <x:c r="I413" s="15" t="str">
        <x:v>case:the howard league for penal reform and prisoners advice service v the lord chancellor</x:v>
      </x:c>
      <x:c r="J413" s="15" t="str">
        <x:v>The Howard League for Penal Reform and Prisoners' Advice Service v The Lord Chancellor</x:v>
      </x:c>
      <x:c r="K413" s="15" t="str">
        <x:v>N/A</x:v>
      </x:c>
      <x:c r="L413" s="15" t="str">
        <x:v>d60a5323-796e-4110-a6de-012ec16860c1</x:v>
      </x:c>
      <x:c r="M413" s="15" t="str"/>
      <x:c r="N413" s="15" t="str">
        <x:v>legalFramework.statutoryProvisions[0].sourceCases[0]</x:v>
      </x:c>
      <x:c r="O413" s="15" t="str">
        <x:v>structured_json</x:v>
      </x:c>
      <x:c r="P413" s="15" t="str"/>
      <x:c r="Q413" s="15" t="str">
        <x:v>distinguished</x:v>
      </x:c>
      <x:c r="R413" s="15" t="str">
        <x:v>Relates to statutory obligations in administrative law and financial decisions.</x:v>
      </x:c>
      <x:c r="S413" s="15" t="str"/>
    </x:row>
    <x:row r="414">
      <x:c r="A414" s="1" t="str">
        <x:v>O0413</x:v>
      </x:c>
      <x:c r="B414" s="1" t="str">
        <x:v>cms1ps00j000j04jsbxrn9wrj</x:v>
      </x:c>
      <x:c r="C414" s="1" t="str">
        <x:v>cms1pp04x000404jswgoarvrt</x:v>
      </x:c>
      <x:c r="D414" s="1" t="str">
        <x:v>ca-2024-001541-the-king-on-the-application-of-respondent-skeleton</x:v>
      </x:c>
      <x:c r="E414" s="1" t="str">
        <x:v>real</x:v>
      </x:c>
      <x:c r="F414" s="15" t="str">
        <x:v>The King (on the application of Transport Action Network Limited) v Secretary of State for Transport</x:v>
      </x:c>
      <x:c r="G414" s="16" t="n">
        <x:v>46229.47776018518</x:v>
      </x:c>
      <x:c r="H414" s="15" t="str">
        <x:v>case</x:v>
      </x:c>
      <x:c r="I414" s="15" t="str">
        <x:v>case:national aids trust v national health service commissioning board nhs england &amp; ors</x:v>
      </x:c>
      <x:c r="J414" s="15" t="str">
        <x:v>National AIDS Trust v National Health Service Commissioning Board (NHS England) &amp; Ors</x:v>
      </x:c>
      <x:c r="K414" s="15" t="str">
        <x:v>N/A</x:v>
      </x:c>
      <x:c r="L414" s="15" t="str">
        <x:v>ed07cee8-284a-4c88-9681-37d30f80d1a1</x:v>
      </x:c>
      <x:c r="M414" s="15" t="str"/>
      <x:c r="N414" s="15" t="str">
        <x:v>factualFindings.chronology[0].sourceCases[0]</x:v>
      </x:c>
      <x:c r="O414" s="15" t="str">
        <x:v>structured_json</x:v>
      </x:c>
      <x:c r="P414" s="15" t="str"/>
      <x:c r="Q414" s="15" t="str">
        <x:v>distinguished</x:v>
      </x:c>
      <x:c r="R414" s="15" t="str">
        <x:v>Explores statutory requirements for funding commitments within public law.</x:v>
      </x:c>
      <x:c r="S414" s="15" t="str"/>
    </x:row>
    <x:row r="415">
      <x:c r="A415" s="1" t="str">
        <x:v>O0414</x:v>
      </x:c>
      <x:c r="B415" s="1" t="str">
        <x:v>cms1ps00j000j04jsbxrn9wrj</x:v>
      </x:c>
      <x:c r="C415" s="1" t="str">
        <x:v>cms1pp04x000404jswgoarvrt</x:v>
      </x:c>
      <x:c r="D415" s="1" t="str">
        <x:v>ca-2024-001541-the-king-on-the-application-of-respondent-skeleton</x:v>
      </x:c>
      <x:c r="E415" s="1" t="str">
        <x:v>real</x:v>
      </x:c>
      <x:c r="F415" s="15" t="str">
        <x:v>The King (on the application of Transport Action Network Limited) v Secretary of State for Transport</x:v>
      </x:c>
      <x:c r="G415" s="16" t="n">
        <x:v>46229.47776018518</x:v>
      </x:c>
      <x:c r="H415" s="15" t="str">
        <x:v>case</x:v>
      </x:c>
      <x:c r="I415" s="15" t="str">
        <x:v>case:2016 ewca civ 441</x:v>
      </x:c>
      <x:c r="J415" s="15" t="str">
        <x:v>Secretary of State for Communities and Local Government v West Berkshire District Council &amp; Anor</x:v>
      </x:c>
      <x:c r="K415" s="15" t="str">
        <x:v>[2016] EWCA Civ 441</x:v>
      </x:c>
      <x:c r="L415" s="15" t="str">
        <x:v>beff2d5f-922f-42e5-9aaa-8b70d7179f71</x:v>
      </x:c>
      <x:c r="M415" s="15" t="str"/>
      <x:c r="N415" s="15" t="str">
        <x:v>factualFindings.chronology[1].sourceCases[0]</x:v>
      </x:c>
      <x:c r="O415" s="15" t="str">
        <x:v>structured_json</x:v>
      </x:c>
      <x:c r="P415" s="15" t="str"/>
      <x:c r="Q415" s="15" t="str">
        <x:v>applied_differently</x:v>
      </x:c>
      <x:c r="R415" s="15" t="str">
        <x:v>Relevant for exploring how ministerial announcements must align with statutory requirements in public funding.</x:v>
      </x:c>
      <x:c r="S415" s="15" t="str"/>
    </x:row>
    <x:row r="416">
      <x:c r="A416" s="1" t="str">
        <x:v>O0415</x:v>
      </x:c>
      <x:c r="B416" s="1" t="str">
        <x:v>cms1ps00j000j04jsbxrn9wrj</x:v>
      </x:c>
      <x:c r="C416" s="1" t="str">
        <x:v>cms1pp04x000404jswgoarvrt</x:v>
      </x:c>
      <x:c r="D416" s="1" t="str">
        <x:v>ca-2024-001541-the-king-on-the-application-of-respondent-skeleton</x:v>
      </x:c>
      <x:c r="E416" s="1" t="str">
        <x:v>real</x:v>
      </x:c>
      <x:c r="F416" s="15" t="str">
        <x:v>The King (on the application of Transport Action Network Limited) v Secretary of State for Transport</x:v>
      </x:c>
      <x:c r="G416" s="16" t="n">
        <x:v>46229.47776018518</x:v>
      </x:c>
      <x:c r="H416" s="15" t="str">
        <x:v>case</x:v>
      </x:c>
      <x:c r="I416" s="15" t="str">
        <x:v>case:london borough of enfield r on the application of v secretary of state for transport &amp; ors</x:v>
      </x:c>
      <x:c r="J416" s="15" t="str">
        <x:v>London Borough of Enfield, R (on the application of) v Secretary of State for Transport &amp; Ors</x:v>
      </x:c>
      <x:c r="K416" s="15" t="str">
        <x:v>N/A</x:v>
      </x:c>
      <x:c r="L416" s="15" t="str">
        <x:v>f5a5b44e-fcf0-40c0-9bf9-69f026b1b438</x:v>
      </x:c>
      <x:c r="M416" s="15" t="str"/>
      <x:c r="N416" s="15" t="str">
        <x:v>factualFindings.contestedFacts[0].sourceCases[0]</x:v>
      </x:c>
      <x:c r="O416" s="15" t="str">
        <x:v>structured_json</x:v>
      </x:c>
      <x:c r="P416" s="15" t="str"/>
      <x:c r="Q416" s="15" t="str">
        <x:v>applied_differently</x:v>
      </x:c>
      <x:c r="R416" s="15" t="str">
        <x:v>Addresses the legality of funding decisions made by the Secretary of State.</x:v>
      </x:c>
      <x:c r="S416" s="15" t="str"/>
    </x:row>
    <x:row r="417">
      <x:c r="A417" s="1" t="str">
        <x:v>O0416</x:v>
      </x:c>
      <x:c r="B417" s="1" t="str">
        <x:v>cms1ps00j000j04jsbxrn9wrj</x:v>
      </x:c>
      <x:c r="C417" s="1" t="str">
        <x:v>cms1pp04x000404jswgoarvrt</x:v>
      </x:c>
      <x:c r="D417" s="1" t="str">
        <x:v>ca-2024-001541-the-king-on-the-application-of-respondent-skeleton</x:v>
      </x:c>
      <x:c r="E417" s="1" t="str">
        <x:v>real</x:v>
      </x:c>
      <x:c r="F417" s="15" t="str">
        <x:v>The King (on the application of Transport Action Network Limited) v Secretary of State for Transport</x:v>
      </x:c>
      <x:c r="G417" s="16" t="n">
        <x:v>46229.47776018518</x:v>
      </x:c>
      <x:c r="H417" s="15" t="str">
        <x:v>case</x:v>
      </x:c>
      <x:c r="I417" s="15" t="str">
        <x:v>case:2022 ewca civ 21</x:v>
      </x:c>
      <x:c r="J417" s="15" t="str">
        <x:v>The Good Law Project, R (On the Application Of) v Minister for the Cabinet Office</x:v>
      </x:c>
      <x:c r="K417" s="15" t="str">
        <x:v>[2022] EWCA Civ 21</x:v>
      </x:c>
      <x:c r="L417" s="15" t="str">
        <x:v>f157dc58-8d24-4561-9b20-3df67da80a73</x:v>
      </x:c>
      <x:c r="M417" s="15" t="str"/>
      <x:c r="N417" s="15" t="str">
        <x:v>factualFindings.contestedFacts[1].sourceCases[0]</x:v>
      </x:c>
      <x:c r="O417" s="15" t="str">
        <x:v>structured_json</x:v>
      </x:c>
      <x:c r="P417" s="15" t="str"/>
      <x:c r="Q417" s="15" t="str">
        <x:v>distinguished</x:v>
      </x:c>
      <x:c r="R417" s="15" t="str">
        <x:v>Discusses obligations relating to statutory announcement changes and procedural compliance.</x:v>
      </x:c>
      <x:c r="S417" s="15" t="str"/>
    </x:row>
    <x:row r="418">
      <x:c r="A418" s="1" t="str">
        <x:v>O0417</x:v>
      </x:c>
      <x:c r="B418" s="1" t="str">
        <x:v>cms1ps00j000j04jsbxrn9wrj</x:v>
      </x:c>
      <x:c r="C418" s="1" t="str">
        <x:v>cms1pp04x000404jswgoarvrt</x:v>
      </x:c>
      <x:c r="D418" s="1" t="str">
        <x:v>ca-2024-001541-the-king-on-the-application-of-respondent-skeleton</x:v>
      </x:c>
      <x:c r="E418" s="1" t="str">
        <x:v>real</x:v>
      </x:c>
      <x:c r="F418" s="15" t="str">
        <x:v>The King (on the application of Transport Action Network Limited) v Secretary of State for Transport</x:v>
      </x:c>
      <x:c r="G418" s="16" t="n">
        <x:v>46229.47776018518</x:v>
      </x:c>
      <x:c r="H418" s="15" t="str">
        <x:v>case</x:v>
      </x:c>
      <x:c r="I418" s="15" t="str">
        <x:v>case:the howard league for penal reform and prisoners advice service v the lord chancellor</x:v>
      </x:c>
      <x:c r="J418" s="15" t="str">
        <x:v>The Howard League for Penal Reform and Prisoners' Advice Service v The Lord Chancellor</x:v>
      </x:c>
      <x:c r="K418" s="15" t="str">
        <x:v>N/A</x:v>
      </x:c>
      <x:c r="L418" s="15" t="str">
        <x:v>d60a5323-796e-4110-a6de-012ec16860c1</x:v>
      </x:c>
      <x:c r="M418" s="15" t="str"/>
      <x:c r="N418" s="15" t="str">
        <x:v>reasoningStructure[0].sourceCases[0]</x:v>
      </x:c>
      <x:c r="O418" s="15" t="str">
        <x:v>structured_json</x:v>
      </x:c>
      <x:c r="P418" s="15" t="str"/>
      <x:c r="Q418" s="15" t="str">
        <x:v>distinguished</x:v>
      </x:c>
      <x:c r="R418" s="15" t="str">
        <x:v>Similar interpretations of statutory duties in administrative law.</x:v>
      </x:c>
      <x:c r="S418" s="15" t="str"/>
    </x:row>
    <x:row r="419">
      <x:c r="A419" s="1" t="str">
        <x:v>O0418</x:v>
      </x:c>
      <x:c r="B419" s="1" t="str">
        <x:v>cms1ps00j000j04jsbxrn9wrj</x:v>
      </x:c>
      <x:c r="C419" s="1" t="str">
        <x:v>cms1pp04x000404jswgoarvrt</x:v>
      </x:c>
      <x:c r="D419" s="1" t="str">
        <x:v>ca-2024-001541-the-king-on-the-application-of-respondent-skeleton</x:v>
      </x:c>
      <x:c r="E419" s="1" t="str">
        <x:v>real</x:v>
      </x:c>
      <x:c r="F419" s="15" t="str">
        <x:v>The King (on the application of Transport Action Network Limited) v Secretary of State for Transport</x:v>
      </x:c>
      <x:c r="G419" s="16" t="n">
        <x:v>46229.47776018518</x:v>
      </x:c>
      <x:c r="H419" s="15" t="str">
        <x:v>case</x:v>
      </x:c>
      <x:c r="I419" s="15" t="str">
        <x:v>case:london borough of enfield r on the application of v secretary of state for transport &amp; ors</x:v>
      </x:c>
      <x:c r="J419" s="15" t="str">
        <x:v>London Borough of Enfield, R (on the application of) v Secretary of State for Transport &amp; Ors</x:v>
      </x:c>
      <x:c r="K419" s="15" t="str">
        <x:v>N/A</x:v>
      </x:c>
      <x:c r="L419" s="15" t="str">
        <x:v>f5a5b44e-fcf0-40c0-9bf9-69f026b1b438</x:v>
      </x:c>
      <x:c r="M419" s="15" t="str"/>
      <x:c r="N419" s="15" t="str">
        <x:v>reasoningStructure[1].sourceCases[0]</x:v>
      </x:c>
      <x:c r="O419" s="15" t="str">
        <x:v>structured_json</x:v>
      </x:c>
      <x:c r="P419" s="15" t="str"/>
      <x:c r="Q419" s="15" t="str">
        <x:v>applied_differently</x:v>
      </x:c>
      <x:c r="R419" s="15" t="str">
        <x:v>Examines procedural compliance in similar funding decisions.</x:v>
      </x:c>
      <x:c r="S419" s="15" t="str"/>
    </x:row>
    <x:row r="420">
      <x:c r="A420" s="1" t="str">
        <x:v>O0419</x:v>
      </x:c>
      <x:c r="B420" s="1" t="str">
        <x:v>cms1ps00j000j04jsbxrn9wrj</x:v>
      </x:c>
      <x:c r="C420" s="1" t="str">
        <x:v>cms1pp04x000404jswgoarvrt</x:v>
      </x:c>
      <x:c r="D420" s="1" t="str">
        <x:v>ca-2024-001541-the-king-on-the-application-of-respondent-skeleton</x:v>
      </x:c>
      <x:c r="E420" s="1" t="str">
        <x:v>real</x:v>
      </x:c>
      <x:c r="F420" s="15" t="str">
        <x:v>The King (on the application of Transport Action Network Limited) v Secretary of State for Transport</x:v>
      </x:c>
      <x:c r="G420" s="16" t="n">
        <x:v>46229.47776018518</x:v>
      </x:c>
      <x:c r="H420" s="15" t="str">
        <x:v>case</x:v>
      </x:c>
      <x:c r="I420" s="15" t="str">
        <x:v>case:the howard league for penal reform and prisoners advice service v the lord chancellor</x:v>
      </x:c>
      <x:c r="J420" s="15" t="str">
        <x:v>The Howard League for Penal Reform and Prisoners' Advice Service v The Lord Chancellor</x:v>
      </x:c>
      <x:c r="K420" s="15" t="str">
        <x:v>N/A</x:v>
      </x:c>
      <x:c r="L420" s="15" t="str">
        <x:v>d60a5323-796e-4110-a6de-012ec16860c1</x:v>
      </x:c>
      <x:c r="M420" s="15" t="str"/>
      <x:c r="N420" s="15" t="str">
        <x:v>issuesForDetermination.issueMatrix[0].sourceCases[0]</x:v>
      </x:c>
      <x:c r="O420" s="15" t="str">
        <x:v>structured_json</x:v>
      </x:c>
      <x:c r="P420" s="15" t="str"/>
      <x:c r="Q420" s="15" t="str">
        <x:v>applied_differently</x:v>
      </x:c>
      <x:c r="R420" s="15" t="str">
        <x:v>Discusses parameters under which statutory duties must be adhered to.</x:v>
      </x:c>
      <x:c r="S420" s="15" t="str"/>
    </x:row>
    <x:row r="421">
      <x:c r="A421" s="1" t="str">
        <x:v>O0420</x:v>
      </x:c>
      <x:c r="B421" s="1" t="str">
        <x:v>cms1ps00j000j04jsbxrn9wrj</x:v>
      </x:c>
      <x:c r="C421" s="1" t="str">
        <x:v>cms1pp04x000404jswgoarvrt</x:v>
      </x:c>
      <x:c r="D421" s="1" t="str">
        <x:v>ca-2024-001541-the-king-on-the-application-of-respondent-skeleton</x:v>
      </x:c>
      <x:c r="E421" s="1" t="str">
        <x:v>real</x:v>
      </x:c>
      <x:c r="F421" s="15" t="str">
        <x:v>The King (on the application of Transport Action Network Limited) v Secretary of State for Transport</x:v>
      </x:c>
      <x:c r="G421" s="16" t="n">
        <x:v>46229.47776018518</x:v>
      </x:c>
      <x:c r="H421" s="15" t="str">
        <x:v>case</x:v>
      </x:c>
      <x:c r="I421" s="15" t="str">
        <x:v>case:london borough of enfield r on the application of v secretary of state for transport &amp; ors</x:v>
      </x:c>
      <x:c r="J421" s="15" t="str">
        <x:v>London Borough of Enfield, R (on the application of) v Secretary of State for Transport &amp; Ors</x:v>
      </x:c>
      <x:c r="K421" s="15" t="str">
        <x:v>N/A</x:v>
      </x:c>
      <x:c r="L421" s="15" t="str">
        <x:v>f5a5b44e-fcf0-40c0-9bf9-69f026b1b438</x:v>
      </x:c>
      <x:c r="M421" s="15" t="str"/>
      <x:c r="N421" s="15" t="str">
        <x:v>issuesForDetermination.issueMatrix[1].sourceCases[0]</x:v>
      </x:c>
      <x:c r="O421" s="15" t="str">
        <x:v>structured_json</x:v>
      </x:c>
      <x:c r="P421" s="15" t="str"/>
      <x:c r="Q421" s="15" t="str">
        <x:v>distinguished</x:v>
      </x:c>
      <x:c r="R421" s="15" t="str">
        <x:v>Addresses compliance with statutory procedural requirements in financial decisions.</x:v>
      </x:c>
      <x:c r="S421" s="15" t="str"/>
    </x:row>
    <x:row r="422">
      <x:c r="A422" s="1" t="str">
        <x:v>O0421</x:v>
      </x:c>
      <x:c r="B422" s="1" t="str">
        <x:v>cms1u865i000904jxu5huyjg5</x:v>
      </x:c>
      <x:c r="C422" s="1" t="str">
        <x:v>cms1pp04x000404jswgoarvrt</x:v>
      </x:c>
      <x:c r="D422" s="1" t="str">
        <x:v>ca-2024-001541-the-king-on-the-application-of-respondent-skeleton</x:v>
      </x:c>
      <x:c r="E422" s="1" t="str">
        <x:v>real</x:v>
      </x:c>
      <x:c r="F422" s="15" t="str">
        <x:v>The King (on the application of Transport Action Network Limited) v Secretary of State for Transport</x:v>
      </x:c>
      <x:c r="G422" s="16" t="n">
        <x:v>46229.564252268516</x:v>
      </x:c>
      <x:c r="H422" s="15" t="str">
        <x:v>case</x:v>
      </x:c>
      <x:c r="I422" s="15" t="str">
        <x:v>case:2002 ewca civ 605</x:v>
      </x:c>
      <x:c r="J422" s="15" t="str">
        <x:v>[2002] EWCA Civ 605</x:v>
      </x:c>
      <x:c r="K422" s="15" t="str">
        <x:v>[2002] EWCA Civ 605</x:v>
      </x:c>
      <x:c r="L422" s="15" t="str"/>
      <x:c r="M422" s="15" t="str"/>
      <x:c r="N422" s="15" t="str">
        <x:v>legalFramework.precedentCitations[0]</x:v>
      </x:c>
      <x:c r="O422" s="15" t="str">
        <x:v>structured_json</x:v>
      </x:c>
      <x:c r="P422" s="15" t="str">
        <x:v>binding</x:v>
      </x:c>
      <x:c r="Q422" s="15" t="str"/>
      <x:c r="R422" s="15" t="str">
        <x:v>Adequacy of reasons in judgments.</x:v>
      </x:c>
      <x:c r="S422" s="15" t="str"/>
    </x:row>
    <x:row r="423">
      <x:c r="A423" s="1" t="str">
        <x:v>O0422</x:v>
      </x:c>
      <x:c r="B423" s="1" t="str">
        <x:v>cms1u865i000904jxu5huyjg5</x:v>
      </x:c>
      <x:c r="C423" s="1" t="str">
        <x:v>cms1pp04x000404jswgoarvrt</x:v>
      </x:c>
      <x:c r="D423" s="1" t="str">
        <x:v>ca-2024-001541-the-king-on-the-application-of-respondent-skeleton</x:v>
      </x:c>
      <x:c r="E423" s="1" t="str">
        <x:v>real</x:v>
      </x:c>
      <x:c r="F423" s="15" t="str">
        <x:v>The King (on the application of Transport Action Network Limited) v Secretary of State for Transport</x:v>
      </x:c>
      <x:c r="G423" s="16" t="n">
        <x:v>46229.564252268516</x:v>
      </x:c>
      <x:c r="H423" s="15" t="str">
        <x:v>other</x:v>
      </x:c>
      <x:c r="I423" s="15" t="str">
        <x:v>other:2000 1 wlr 377</x:v>
      </x:c>
      <x:c r="J423" s="15" t="str">
        <x:v>[2000] 1 WLR 377</x:v>
      </x:c>
      <x:c r="K423" s="15" t="str">
        <x:v>[2000] 1 WLR 377</x:v>
      </x:c>
      <x:c r="L423" s="15" t="str"/>
      <x:c r="M423" s="15" t="str"/>
      <x:c r="N423" s="15" t="str">
        <x:v>legalFramework.precedentCitations[1]</x:v>
      </x:c>
      <x:c r="O423" s="15" t="str">
        <x:v>structured_json</x:v>
      </x:c>
      <x:c r="P423" s="15" t="str">
        <x:v>binding</x:v>
      </x:c>
      <x:c r="Q423" s="15" t="str"/>
      <x:c r="R423" s="15" t="str">
        <x:v>Duty to give reasons.</x:v>
      </x:c>
      <x:c r="S423" s="15" t="str"/>
    </x:row>
    <x:row r="424">
      <x:c r="A424" s="1" t="str">
        <x:v>O0423</x:v>
      </x:c>
      <x:c r="B424" s="1" t="str">
        <x:v>cms1u865i000904jxu5huyjg5</x:v>
      </x:c>
      <x:c r="C424" s="1" t="str">
        <x:v>cms1pp04x000404jswgoarvrt</x:v>
      </x:c>
      <x:c r="D424" s="1" t="str">
        <x:v>ca-2024-001541-the-king-on-the-application-of-respondent-skeleton</x:v>
      </x:c>
      <x:c r="E424" s="1" t="str">
        <x:v>real</x:v>
      </x:c>
      <x:c r="F424" s="15" t="str">
        <x:v>The King (on the application of Transport Action Network Limited) v Secretary of State for Transport</x:v>
      </x:c>
      <x:c r="G424" s="16" t="n">
        <x:v>46229.564252268516</x:v>
      </x:c>
      <x:c r="H424" s="15" t="str">
        <x:v>legislation</x:v>
      </x:c>
      <x:c r="I424" s="15" t="str">
        <x:v>legislation:infrastructure act 2015 21</x:v>
      </x:c>
      <x:c r="J424" s="15" t="str">
        <x:v>Infrastructure Act 2015</x:v>
      </x:c>
      <x:c r="K424" s="15" t="str">
        <x:v>Infrastructure Act 2015 21</x:v>
      </x:c>
      <x:c r="L424" s="15" t="str"/>
      <x:c r="M424" s="15" t="str">
        <x:v>21</x:v>
      </x:c>
      <x:c r="N424" s="15" t="str">
        <x:v>legalFramework.statutoryProvisions[0]</x:v>
      </x:c>
      <x:c r="O424" s="15" t="str">
        <x:v>structured_json</x:v>
      </x:c>
      <x:c r="P424" s="15" t="str"/>
      <x:c r="Q424" s="15" t="str"/>
      <x:c r="R424" s="15" t="str">
        <x:v>Mandates the establishment of a Cycling and Walking Investment Strategy to govern funding, ensuring stability in public funding for active travel initiatives.</x:v>
      </x:c>
      <x:c r="S424" s="15" t="str">
        <x:v>https://www.legislation.gov.uk/ukpga/2015/7/section/21</x:v>
      </x:c>
    </x:row>
    <x:row r="425">
      <x:c r="A425" s="1" t="str">
        <x:v>O0424</x:v>
      </x:c>
      <x:c r="B425" s="1" t="str">
        <x:v>cms1u865i000904jxu5huyjg5</x:v>
      </x:c>
      <x:c r="C425" s="1" t="str">
        <x:v>cms1pp04x000404jswgoarvrt</x:v>
      </x:c>
      <x:c r="D425" s="1" t="str">
        <x:v>ca-2024-001541-the-king-on-the-application-of-respondent-skeleton</x:v>
      </x:c>
      <x:c r="E425" s="1" t="str">
        <x:v>real</x:v>
      </x:c>
      <x:c r="F425" s="15" t="str">
        <x:v>The King (on the application of Transport Action Network Limited) v Secretary of State for Transport</x:v>
      </x:c>
      <x:c r="G425" s="16" t="n">
        <x:v>46229.564252268516</x:v>
      </x:c>
      <x:c r="H425" s="15" t="str">
        <x:v>legislation</x:v>
      </x:c>
      <x:c r="I425" s="15" t="str">
        <x:v>legislation:senior courts act 1981 35a</x:v>
      </x:c>
      <x:c r="J425" s="15" t="str">
        <x:v>Senior Courts Act 1981</x:v>
      </x:c>
      <x:c r="K425" s="15" t="str">
        <x:v>Senior Courts Act 1981 35A</x:v>
      </x:c>
      <x:c r="L425" s="15" t="str"/>
      <x:c r="M425" s="15" t="str">
        <x:v>35A</x:v>
      </x:c>
      <x:c r="N425" s="15" t="str">
        <x:v>legalFramework.statutoryProvisions[1]</x:v>
      </x:c>
      <x:c r="O425" s="15" t="str">
        <x:v>structured_json</x:v>
      </x:c>
      <x:c r="P425" s="15" t="str"/>
      <x:c r="Q425" s="15" t="str"/>
      <x:c r="R425" s="15" t="str">
        <x:v>This section pertains to the provision of interest on debts and damages in civil cases, relevant for potential remedies.</x:v>
      </x:c>
      <x:c r="S425" s="15" t="str">
        <x:v>https://www.legislation.gov.uk/ukpga/1981/54/section/35A</x:v>
      </x:c>
    </x:row>
    <x:row r="426">
      <x:c r="A426" s="1" t="str">
        <x:v>O0425</x:v>
      </x:c>
      <x:c r="B426" s="1" t="str">
        <x:v>cms1u865i000904jxu5huyjg5</x:v>
      </x:c>
      <x:c r="C426" s="1" t="str">
        <x:v>cms1pp04x000404jswgoarvrt</x:v>
      </x:c>
      <x:c r="D426" s="1" t="str">
        <x:v>ca-2024-001541-the-king-on-the-application-of-respondent-skeleton</x:v>
      </x:c>
      <x:c r="E426" s="1" t="str">
        <x:v>real</x:v>
      </x:c>
      <x:c r="F426" s="15" t="str">
        <x:v>The King (on the application of Transport Action Network Limited) v Secretary of State for Transport</x:v>
      </x:c>
      <x:c r="G426" s="16" t="n">
        <x:v>46229.564252268516</x:v>
      </x:c>
      <x:c r="H426" s="15" t="str">
        <x:v>legislation</x:v>
      </x:c>
      <x:c r="I426" s="15" t="str">
        <x:v>legislation:senior courts act 1981 s 35a</x:v>
      </x:c>
      <x:c r="J426" s="15" t="str">
        <x:v>Senior Courts Act 1981, s. 35A</x:v>
      </x:c>
      <x:c r="K426" s="15" t="str">
        <x:v>Senior Courts Act 1981, s. 35A</x:v>
      </x:c>
      <x:c r="L426" s="15" t="str"/>
      <x:c r="M426" s="15" t="str"/>
      <x:c r="N426" s="15" t="str">
        <x:v>decisionAndDisposition.interest.statutoryBasis</x:v>
      </x:c>
      <x:c r="O426" s="15" t="str">
        <x:v>structured_json</x:v>
      </x:c>
      <x:c r="P426" s="15" t="str"/>
      <x:c r="Q426" s="15" t="str"/>
      <x:c r="R426" s="15" t="str"/>
      <x:c r="S426" s="15" t="str"/>
    </x:row>
    <x:row r="427">
      <x:c r="A427" s="1" t="str">
        <x:v>O0426</x:v>
      </x:c>
      <x:c r="B427" s="1" t="str">
        <x:v>cms1u865i000904jxu5huyjg5</x:v>
      </x:c>
      <x:c r="C427" s="1" t="str">
        <x:v>cms1pp04x000404jswgoarvrt</x:v>
      </x:c>
      <x:c r="D427" s="1" t="str">
        <x:v>ca-2024-001541-the-king-on-the-application-of-respondent-skeleton</x:v>
      </x:c>
      <x:c r="E427" s="1" t="str">
        <x:v>real</x:v>
      </x:c>
      <x:c r="F427" s="15" t="str">
        <x:v>The King (on the application of Transport Action Network Limited) v Secretary of State for Transport</x:v>
      </x:c>
      <x:c r="G427" s="16" t="n">
        <x:v>46229.564252268516</x:v>
      </x:c>
      <x:c r="H427" s="15" t="str">
        <x:v>case</x:v>
      </x:c>
      <x:c r="I427" s="15" t="str">
        <x:v>case:the howard league for penal reform and prisoners advice service v the lord chancellor</x:v>
      </x:c>
      <x:c r="J427" s="15" t="str">
        <x:v>The Howard League for Penal Reform and Prisoners' Advice Service v The Lord Chancellor</x:v>
      </x:c>
      <x:c r="K427" s="15" t="str">
        <x:v>N/A</x:v>
      </x:c>
      <x:c r="L427" s="15" t="str">
        <x:v>d60a5323-796e-4110-a6de-012ec16860c1</x:v>
      </x:c>
      <x:c r="M427" s="15" t="str"/>
      <x:c r="N427" s="15" t="str">
        <x:v>factualFindings.contestedFacts[0].sourceCases[0]</x:v>
      </x:c>
      <x:c r="O427" s="15" t="str">
        <x:v>structured_json</x:v>
      </x:c>
      <x:c r="P427" s="15" t="str"/>
      <x:c r="Q427" s="15" t="str">
        <x:v>same_proposition</x:v>
      </x:c>
      <x:c r="R427" s="15" t="str">
        <x:v>Addresses the necessity for statutory adherence in administrative decisions.</x:v>
      </x:c>
      <x:c r="S427" s="15" t="str"/>
    </x:row>
    <x:row r="428">
      <x:c r="A428" s="1" t="str">
        <x:v>O0427</x:v>
      </x:c>
      <x:c r="B428" s="1" t="str">
        <x:v>cms1u865i000904jxu5huyjg5</x:v>
      </x:c>
      <x:c r="C428" s="1" t="str">
        <x:v>cms1pp04x000404jswgoarvrt</x:v>
      </x:c>
      <x:c r="D428" s="1" t="str">
        <x:v>ca-2024-001541-the-king-on-the-application-of-respondent-skeleton</x:v>
      </x:c>
      <x:c r="E428" s="1" t="str">
        <x:v>real</x:v>
      </x:c>
      <x:c r="F428" s="15" t="str">
        <x:v>The King (on the application of Transport Action Network Limited) v Secretary of State for Transport</x:v>
      </x:c>
      <x:c r="G428" s="16" t="n">
        <x:v>46229.564252268516</x:v>
      </x:c>
      <x:c r="H428" s="15" t="str">
        <x:v>case</x:v>
      </x:c>
      <x:c r="I428" s="15" t="str">
        <x:v>case:2022 ewca civ 21</x:v>
      </x:c>
      <x:c r="J428" s="15" t="str">
        <x:v>The Good Law Project, R (On the Application Of) v Minister for the Cabinet Office</x:v>
      </x:c>
      <x:c r="K428" s="15" t="str">
        <x:v>[2022] EWCA Civ 21</x:v>
      </x:c>
      <x:c r="L428" s="15" t="str">
        <x:v>f157dc58-8d24-4561-9b20-3df67da80a73</x:v>
      </x:c>
      <x:c r="M428" s="15" t="str"/>
      <x:c r="N428" s="15" t="str">
        <x:v>factualFindings.contestedFacts[1].sourceCases[0]</x:v>
      </x:c>
      <x:c r="O428" s="15" t="str">
        <x:v>structured_json</x:v>
      </x:c>
      <x:c r="P428" s="15" t="str"/>
      <x:c r="Q428" s="15" t="str">
        <x:v>distinguished</x:v>
      </x:c>
      <x:c r="R428" s="15" t="str">
        <x:v>Highlights the significance of statutory interpretation of discretionary functions.</x:v>
      </x:c>
      <x:c r="S428" s="15" t="str"/>
    </x:row>
    <x:row r="429">
      <x:c r="A429" s="1" t="str">
        <x:v>O0428</x:v>
      </x:c>
      <x:c r="B429" s="1" t="str">
        <x:v>cms1u865i000904jxu5huyjg5</x:v>
      </x:c>
      <x:c r="C429" s="1" t="str">
        <x:v>cms1pp04x000404jswgoarvrt</x:v>
      </x:c>
      <x:c r="D429" s="1" t="str">
        <x:v>ca-2024-001541-the-king-on-the-application-of-respondent-skeleton</x:v>
      </x:c>
      <x:c r="E429" s="1" t="str">
        <x:v>real</x:v>
      </x:c>
      <x:c r="F429" s="15" t="str">
        <x:v>The King (on the application of Transport Action Network Limited) v Secretary of State for Transport</x:v>
      </x:c>
      <x:c r="G429" s="16" t="n">
        <x:v>46229.564252268516</x:v>
      </x:c>
      <x:c r="H429" s="15" t="str">
        <x:v>case</x:v>
      </x:c>
      <x:c r="I429" s="15" t="str">
        <x:v>case:2023 ewca civ 265</x:v>
      </x:c>
      <x:c r="J429" s="15" t="str">
        <x:v>C7 v Secretary of State for the Home Department</x:v>
      </x:c>
      <x:c r="K429" s="15" t="str">
        <x:v>[2023] EWCA Civ 265</x:v>
      </x:c>
      <x:c r="L429" s="15" t="str">
        <x:v>7cce4927-35a4-4b74-90f4-ac2262bb34d7</x:v>
      </x:c>
      <x:c r="M429" s="15" t="str"/>
      <x:c r="N429" s="15" t="str">
        <x:v>reasoningStructure[0].sourceCases[0]</x:v>
      </x:c>
      <x:c r="O429" s="15" t="str">
        <x:v>structured_json</x:v>
      </x:c>
      <x:c r="P429" s="15" t="str"/>
      <x:c r="Q429" s="15" t="str">
        <x:v>applied_differently</x:v>
      </x:c>
      <x:c r="R429" s="15" t="str">
        <x:v>Further clarifies the parameters of discretionary powers of public authorities.</x:v>
      </x:c>
      <x:c r="S429" s="15" t="str"/>
    </x:row>
    <x:row r="430">
      <x:c r="A430" s="1" t="str">
        <x:v>O0429</x:v>
      </x:c>
      <x:c r="B430" s="1" t="str">
        <x:v>cms1u865i000904jxu5huyjg5</x:v>
      </x:c>
      <x:c r="C430" s="1" t="str">
        <x:v>cms1pp04x000404jswgoarvrt</x:v>
      </x:c>
      <x:c r="D430" s="1" t="str">
        <x:v>ca-2024-001541-the-king-on-the-application-of-respondent-skeleton</x:v>
      </x:c>
      <x:c r="E430" s="1" t="str">
        <x:v>real</x:v>
      </x:c>
      <x:c r="F430" s="15" t="str">
        <x:v>The King (on the application of Transport Action Network Limited) v Secretary of State for Transport</x:v>
      </x:c>
      <x:c r="G430" s="16" t="n">
        <x:v>46229.564252268516</x:v>
      </x:c>
      <x:c r="H430" s="15" t="str">
        <x:v>case</x:v>
      </x:c>
      <x:c r="I430" s="15" t="str">
        <x:v>case:2016 ewca civ 480</x:v>
      </x:c>
      <x:c r="J430" s="15" t="str">
        <x:v>London Borough of Enfield, R (on the application of) v Secretary of State for Transport &amp; Ors</x:v>
      </x:c>
      <x:c r="K430" s="15" t="str">
        <x:v>[2016] EWCA Civ 480</x:v>
      </x:c>
      <x:c r="L430" s="15" t="str">
        <x:v>f5a5b44e-fcf0-40c0-9bf9-69f026b1b438</x:v>
      </x:c>
      <x:c r="M430" s="15" t="str"/>
      <x:c r="N430" s="15" t="str">
        <x:v>issuesForDetermination.issueMatrix[0].sourceCases[0]</x:v>
      </x:c>
      <x:c r="O430" s="15" t="str">
        <x:v>structured_json</x:v>
      </x:c>
      <x:c r="P430" s="15" t="str"/>
      <x:c r="Q430" s="15" t="str">
        <x:v>applied_differently</x:v>
      </x:c>
      <x:c r="R430" s="15" t="str">
        <x:v>Relevant for understanding the Secretary of State’s discretion in funding determinations.</x:v>
      </x:c>
      <x:c r="S430" s="15" t="str"/>
    </x:row>
    <x:row r="431">
      <x:c r="A431" s="1" t="str">
        <x:v>O0430</x:v>
      </x:c>
      <x:c r="B431" s="1" t="str">
        <x:v>cmsbj40n7000h04jwpx41ia5n</x:v>
      </x:c>
      <x:c r="C431" s="1" t="str">
        <x:v>cms1pp04x000404jswgoarvrt</x:v>
      </x:c>
      <x:c r="D431" s="1" t="str">
        <x:v>ca-2024-001541-the-king-on-the-application-of-respondent-skeleton</x:v>
      </x:c>
      <x:c r="E431" s="1" t="str">
        <x:v>real</x:v>
      </x:c>
      <x:c r="F431" s="15" t="str">
        <x:v>The King (on the application of Transport Action Network Limited) v Secretary of State for Transport</x:v>
      </x:c>
      <x:c r="G431" s="16" t="n">
        <x:v>46236.3465696412</x:v>
      </x:c>
      <x:c r="H431" s="15" t="str">
        <x:v>case</x:v>
      </x:c>
      <x:c r="I431" s="15" t="str">
        <x:v>case:2002 ewca civ 605</x:v>
      </x:c>
      <x:c r="J431" s="15" t="str">
        <x:v>English v Emery Reimbold &amp; Strick Ltd [2002] EWCA Civ 605</x:v>
      </x:c>
      <x:c r="K431" s="15" t="str">
        <x:v>English v Emery Reimbold &amp; Strick Ltd [2002] EWCA Civ 605</x:v>
      </x:c>
      <x:c r="L431" s="15" t="str"/>
      <x:c r="M431" s="15" t="str"/>
      <x:c r="N431" s="15" t="str">
        <x:v>legalFramework.precedentCitations[0]</x:v>
      </x:c>
      <x:c r="O431" s="15" t="str">
        <x:v>structured_json</x:v>
      </x:c>
      <x:c r="P431" s="15" t="str">
        <x:v>persuasive</x:v>
      </x:c>
      <x:c r="Q431" s="15" t="str"/>
      <x:c r="R431" s="15" t="str">
        <x:v>An adequate level of reasoning is essential in decisions affecting public funding.</x:v>
      </x:c>
      <x:c r="S431" s="15" t="str"/>
    </x:row>
    <x:row r="432">
      <x:c r="A432" s="1" t="str">
        <x:v>O0431</x:v>
      </x:c>
      <x:c r="B432" s="1" t="str">
        <x:v>cmsbj40n7000h04jwpx41ia5n</x:v>
      </x:c>
      <x:c r="C432" s="1" t="str">
        <x:v>cms1pp04x000404jswgoarvrt</x:v>
      </x:c>
      <x:c r="D432" s="1" t="str">
        <x:v>ca-2024-001541-the-king-on-the-application-of-respondent-skeleton</x:v>
      </x:c>
      <x:c r="E432" s="1" t="str">
        <x:v>real</x:v>
      </x:c>
      <x:c r="F432" s="15" t="str">
        <x:v>The King (on the application of Transport Action Network Limited) v Secretary of State for Transport</x:v>
      </x:c>
      <x:c r="G432" s="16" t="n">
        <x:v>46236.3465696412</x:v>
      </x:c>
      <x:c r="H432" s="15" t="str">
        <x:v>case</x:v>
      </x:c>
      <x:c r="I432" s="15" t="str">
        <x:v>case:2000 1 wlr 377</x:v>
      </x:c>
      <x:c r="J432" s="15" t="str">
        <x:v>Flannery v Halifax Estate Agencies Ltd [2000] 1 WLR 377</x:v>
      </x:c>
      <x:c r="K432" s="15" t="str">
        <x:v>Flannery v Halifax Estate Agencies Ltd [2000] 1 WLR 377</x:v>
      </x:c>
      <x:c r="L432" s="15" t="str"/>
      <x:c r="M432" s="15" t="str"/>
      <x:c r="N432" s="15" t="str">
        <x:v>legalFramework.precedentCitations[1]</x:v>
      </x:c>
      <x:c r="O432" s="15" t="str">
        <x:v>structured_json</x:v>
      </x:c>
      <x:c r="P432" s="15" t="str">
        <x:v>binding</x:v>
      </x:c>
      <x:c r="Q432" s="15" t="str"/>
      <x:c r="R432" s="15" t="str">
        <x:v>Parties must be provided reasons for decisions affecting them to ensure transparency and accountability.</x:v>
      </x:c>
      <x:c r="S432" s="15" t="str"/>
    </x:row>
    <x:row r="433">
      <x:c r="A433" s="1" t="str">
        <x:v>O0432</x:v>
      </x:c>
      <x:c r="B433" s="1" t="str">
        <x:v>cmsbj40n7000h04jwpx41ia5n</x:v>
      </x:c>
      <x:c r="C433" s="1" t="str">
        <x:v>cms1pp04x000404jswgoarvrt</x:v>
      </x:c>
      <x:c r="D433" s="1" t="str">
        <x:v>ca-2024-001541-the-king-on-the-application-of-respondent-skeleton</x:v>
      </x:c>
      <x:c r="E433" s="1" t="str">
        <x:v>real</x:v>
      </x:c>
      <x:c r="F433" s="15" t="str">
        <x:v>The King (on the application of Transport Action Network Limited) v Secretary of State for Transport</x:v>
      </x:c>
      <x:c r="G433" s="16" t="n">
        <x:v>46236.3465696412</x:v>
      </x:c>
      <x:c r="H433" s="15" t="str">
        <x:v>legislation</x:v>
      </x:c>
      <x:c r="I433" s="15" t="str">
        <x:v>legislation:infrastructure act 2015 21</x:v>
      </x:c>
      <x:c r="J433" s="15" t="str">
        <x:v>Infrastructure Act 2015</x:v>
      </x:c>
      <x:c r="K433" s="15" t="str">
        <x:v>Infrastructure Act 2015 21</x:v>
      </x:c>
      <x:c r="L433" s="15" t="str"/>
      <x:c r="M433" s="15" t="str">
        <x:v>21</x:v>
      </x:c>
      <x:c r="N433" s="15" t="str">
        <x:v>legalFramework.statutoryProvisions[0]</x:v>
      </x:c>
      <x:c r="O433" s="15" t="str">
        <x:v>structured_json</x:v>
      </x:c>
      <x:c r="P433" s="15" t="str"/>
      <x:c r="Q433" s="15" t="str"/>
      <x:c r="R433" s="15" t="str">
        <x:v>Governs funding allocations for cycling and walking initiatives under CWIS.</x:v>
      </x:c>
      <x:c r="S433" s="15" t="str"/>
    </x:row>
    <x:row r="434">
      <x:c r="A434" s="1" t="str">
        <x:v>O0433</x:v>
      </x:c>
      <x:c r="B434" s="1" t="str">
        <x:v>cmsbj40n7000h04jwpx41ia5n</x:v>
      </x:c>
      <x:c r="C434" s="1" t="str">
        <x:v>cms1pp04x000404jswgoarvrt</x:v>
      </x:c>
      <x:c r="D434" s="1" t="str">
        <x:v>ca-2024-001541-the-king-on-the-application-of-respondent-skeleton</x:v>
      </x:c>
      <x:c r="E434" s="1" t="str">
        <x:v>real</x:v>
      </x:c>
      <x:c r="F434" s="15" t="str">
        <x:v>The King (on the application of Transport Action Network Limited) v Secretary of State for Transport</x:v>
      </x:c>
      <x:c r="G434" s="16" t="n">
        <x:v>46236.3465696412</x:v>
      </x:c>
      <x:c r="H434" s="15" t="str">
        <x:v>legislation</x:v>
      </x:c>
      <x:c r="I434" s="15" t="str">
        <x:v>legislation:senior courts act 1981 s 35a</x:v>
      </x:c>
      <x:c r="J434" s="15" t="str">
        <x:v>Senior Courts Act 1981, s.35A</x:v>
      </x:c>
      <x:c r="K434" s="15" t="str">
        <x:v>Senior Courts Act 1981, s.35A</x:v>
      </x:c>
      <x:c r="L434" s="15" t="str"/>
      <x:c r="M434" s="15" t="str"/>
      <x:c r="N434" s="15" t="str">
        <x:v>decisionAndDisposition.interest.statutoryBasis</x:v>
      </x:c>
      <x:c r="O434" s="15" t="str">
        <x:v>structured_json</x:v>
      </x:c>
      <x:c r="P434" s="15" t="str"/>
      <x:c r="Q434" s="15" t="str"/>
      <x:c r="R434" s="15" t="str"/>
      <x:c r="S434" s="15" t="str"/>
    </x:row>
    <x:row r="435">
      <x:c r="A435" s="1" t="str">
        <x:v>O0434</x:v>
      </x:c>
      <x:c r="B435" s="1" t="str">
        <x:v>cmsbj40n7000h04jwpx41ia5n</x:v>
      </x:c>
      <x:c r="C435" s="1" t="str">
        <x:v>cms1pp04x000404jswgoarvrt</x:v>
      </x:c>
      <x:c r="D435" s="1" t="str">
        <x:v>ca-2024-001541-the-king-on-the-application-of-respondent-skeleton</x:v>
      </x:c>
      <x:c r="E435" s="1" t="str">
        <x:v>real</x:v>
      </x:c>
      <x:c r="F435" s="15" t="str">
        <x:v>The King (on the application of Transport Action Network Limited) v Secretary of State for Transport</x:v>
      </x:c>
      <x:c r="G435" s="16" t="n">
        <x:v>46236.3465696412</x:v>
      </x:c>
      <x:c r="H435" s="15" t="str">
        <x:v>case</x:v>
      </x:c>
      <x:c r="I435" s="15" t="str">
        <x:v>case:rotala plc r on the application of v greater manchester combined authority &amp; anor</x:v>
      </x:c>
      <x:c r="J435" s="15" t="str">
        <x:v>Rotala Plc, R (On the Application Of) v Greater Manchester Combined Authority &amp; Anor</x:v>
      </x:c>
      <x:c r="K435" s="15" t="str">
        <x:v>N/A</x:v>
      </x:c>
      <x:c r="L435" s="15" t="str">
        <x:v>bab866ef-ca70-446c-a76d-a69bb3f7f15d</x:v>
      </x:c>
      <x:c r="M435" s="15" t="str"/>
      <x:c r="N435" s="15" t="str">
        <x:v>legalFramework.precedentCitations[0].sourceCases[0]</x:v>
      </x:c>
      <x:c r="O435" s="15" t="str">
        <x:v>structured_json</x:v>
      </x:c>
      <x:c r="P435" s="15" t="str"/>
      <x:c r="Q435" s="15" t="str">
        <x:v>applied_differently</x:v>
      </x:c>
      <x:c r="R435" s="15" t="str">
        <x:v>Example where judicial reasoning was scrutinized for its adherence to statutory frameworks.</x:v>
      </x:c>
      <x:c r="S435" s="15" t="str"/>
    </x:row>
    <x:row r="436">
      <x:c r="A436" s="1" t="str">
        <x:v>O0435</x:v>
      </x:c>
      <x:c r="B436" s="1" t="str">
        <x:v>cmsbj40n7000h04jwpx41ia5n</x:v>
      </x:c>
      <x:c r="C436" s="1" t="str">
        <x:v>cms1pp04x000404jswgoarvrt</x:v>
      </x:c>
      <x:c r="D436" s="1" t="str">
        <x:v>ca-2024-001541-the-king-on-the-application-of-respondent-skeleton</x:v>
      </x:c>
      <x:c r="E436" s="1" t="str">
        <x:v>real</x:v>
      </x:c>
      <x:c r="F436" s="15" t="str">
        <x:v>The King (on the application of Transport Action Network Limited) v Secretary of State for Transport</x:v>
      </x:c>
      <x:c r="G436" s="16" t="n">
        <x:v>46236.3465696412</x:v>
      </x:c>
      <x:c r="H436" s="15" t="str">
        <x:v>case</x:v>
      </x:c>
      <x:c r="I436" s="15" t="str">
        <x:v>case:the law society &amp; ors v the lord chancellor judicial review of legal aid reforms</x:v>
      </x:c>
      <x:c r="J436" s="15" t="str">
        <x:v>The Law Society &amp; Ors v The Lord Chancellor: Judicial Review of Legal Aid Reforms</x:v>
      </x:c>
      <x:c r="K436" s="15" t="str">
        <x:v>N/A</x:v>
      </x:c>
      <x:c r="L436" s="15" t="str">
        <x:v>bfdd234f-62f5-43ff-afee-559e34362309</x:v>
      </x:c>
      <x:c r="M436" s="15" t="str"/>
      <x:c r="N436" s="15" t="str">
        <x:v>legalFramework.precedentCitations[1].sourceCases[0]</x:v>
      </x:c>
      <x:c r="O436" s="15" t="str">
        <x:v>structured_json</x:v>
      </x:c>
      <x:c r="P436" s="15" t="str"/>
      <x:c r="Q436" s="15" t="str">
        <x:v>same_proposition</x:v>
      </x:c>
      <x:c r="R436" s="15" t="str">
        <x:v>Illustrates the need for reasoned decisions to comply with statutory provisions.</x:v>
      </x:c>
      <x:c r="S436" s="15" t="str"/>
    </x:row>
    <x:row r="437">
      <x:c r="A437" s="1" t="str">
        <x:v>O0436</x:v>
      </x:c>
      <x:c r="B437" s="1" t="str">
        <x:v>cmsbj40n7000h04jwpx41ia5n</x:v>
      </x:c>
      <x:c r="C437" s="1" t="str">
        <x:v>cms1pp04x000404jswgoarvrt</x:v>
      </x:c>
      <x:c r="D437" s="1" t="str">
        <x:v>ca-2024-001541-the-king-on-the-application-of-respondent-skeleton</x:v>
      </x:c>
      <x:c r="E437" s="1" t="str">
        <x:v>real</x:v>
      </x:c>
      <x:c r="F437" s="15" t="str">
        <x:v>The King (on the application of Transport Action Network Limited) v Secretary of State for Transport</x:v>
      </x:c>
      <x:c r="G437" s="16" t="n">
        <x:v>46236.3465696412</x:v>
      </x:c>
      <x:c r="H437" s="15" t="str">
        <x:v>case</x:v>
      </x:c>
      <x:c r="I437" s="15" t="str">
        <x:v>case:rotala plc r on the application of v greater manchester combined authority &amp; anor</x:v>
      </x:c>
      <x:c r="J437" s="15" t="str">
        <x:v>Rotala Plc, R (On the Application Of) v Greater Manchester Combined Authority &amp; Anor</x:v>
      </x:c>
      <x:c r="K437" s="15" t="str">
        <x:v>N/A</x:v>
      </x:c>
      <x:c r="L437" s="15" t="str">
        <x:v>bab866ef-ca70-446c-a76d-a69bb3f7f15d</x:v>
      </x:c>
      <x:c r="M437" s="15" t="str"/>
      <x:c r="N437" s="15" t="str">
        <x:v>legalFramework.statutoryProvisions[0].sourceCases[0]</x:v>
      </x:c>
      <x:c r="O437" s="15" t="str">
        <x:v>structured_json</x:v>
      </x:c>
      <x:c r="P437" s="15" t="str"/>
      <x:c r="Q437" s="15" t="str">
        <x:v>same_proposition</x:v>
      </x:c>
      <x:c r="R437" s="15" t="str">
        <x:v>This case explored statutory interpretations relevant to the infrastructure act’s funding obligations.</x:v>
      </x:c>
      <x:c r="S437" s="15" t="str"/>
    </x:row>
    <x:row r="438">
      <x:c r="A438" s="1" t="str">
        <x:v>O0437</x:v>
      </x:c>
      <x:c r="B438" s="1" t="str">
        <x:v>cmsbj40n7000h04jwpx41ia5n</x:v>
      </x:c>
      <x:c r="C438" s="1" t="str">
        <x:v>cms1pp04x000404jswgoarvrt</x:v>
      </x:c>
      <x:c r="D438" s="1" t="str">
        <x:v>ca-2024-001541-the-king-on-the-application-of-respondent-skeleton</x:v>
      </x:c>
      <x:c r="E438" s="1" t="str">
        <x:v>real</x:v>
      </x:c>
      <x:c r="F438" s="15" t="str">
        <x:v>The King (on the application of Transport Action Network Limited) v Secretary of State for Transport</x:v>
      </x:c>
      <x:c r="G438" s="16" t="n">
        <x:v>46236.3465696412</x:v>
      </x:c>
      <x:c r="H438" s="15" t="str">
        <x:v>case</x:v>
      </x:c>
      <x:c r="I438" s="15" t="str">
        <x:v>case:rotala plc r on the application of v greater manchester combined authority &amp; anor</x:v>
      </x:c>
      <x:c r="J438" s="15" t="str">
        <x:v>Rotala Plc, R (On the Application Of) v Greater Manchester Combined Authority &amp; Anor</x:v>
      </x:c>
      <x:c r="K438" s="15" t="str">
        <x:v>N/A</x:v>
      </x:c>
      <x:c r="L438" s="15" t="str">
        <x:v>bab866ef-ca70-446c-a76d-a69bb3f7f15d</x:v>
      </x:c>
      <x:c r="M438" s="15" t="str"/>
      <x:c r="N438" s="15" t="str">
        <x:v>factualFindings.chronology[0].sourceCases[0]</x:v>
      </x:c>
      <x:c r="O438" s="15" t="str">
        <x:v>structured_json</x:v>
      </x:c>
      <x:c r="P438" s="15" t="str"/>
      <x:c r="Q438" s="15" t="str">
        <x:v>distinguished</x:v>
      </x:c>
      <x:c r="R438" s="15" t="str">
        <x:v>Highlights legal challenges against governmental adjustments of funding.</x:v>
      </x:c>
      <x:c r="S438" s="15" t="str"/>
    </x:row>
    <x:row r="439">
      <x:c r="A439" s="1" t="str">
        <x:v>O0438</x:v>
      </x:c>
      <x:c r="B439" s="1" t="str">
        <x:v>cmsbj40n7000h04jwpx41ia5n</x:v>
      </x:c>
      <x:c r="C439" s="1" t="str">
        <x:v>cms1pp04x000404jswgoarvrt</x:v>
      </x:c>
      <x:c r="D439" s="1" t="str">
        <x:v>ca-2024-001541-the-king-on-the-application-of-respondent-skeleton</x:v>
      </x:c>
      <x:c r="E439" s="1" t="str">
        <x:v>real</x:v>
      </x:c>
      <x:c r="F439" s="15" t="str">
        <x:v>The King (on the application of Transport Action Network Limited) v Secretary of State for Transport</x:v>
      </x:c>
      <x:c r="G439" s="16" t="n">
        <x:v>46236.3465696412</x:v>
      </x:c>
      <x:c r="H439" s="15" t="str">
        <x:v>case</x:v>
      </x:c>
      <x:c r="I439" s="15" t="str">
        <x:v>case:rotala plc r on the application of v greater manchester combined authority &amp; anor</x:v>
      </x:c>
      <x:c r="J439" s="15" t="str">
        <x:v>Rotala Plc, R (On the Application Of) v Greater Manchester Combined Authority &amp; Anor</x:v>
      </x:c>
      <x:c r="K439" s="15" t="str">
        <x:v>N/A</x:v>
      </x:c>
      <x:c r="L439" s="15" t="str">
        <x:v>bab866ef-ca70-446c-a76d-a69bb3f7f15d</x:v>
      </x:c>
      <x:c r="M439" s="15" t="str"/>
      <x:c r="N439" s="15" t="str">
        <x:v>factualFindings.contestedFacts[0].sourceCases[0]</x:v>
      </x:c>
      <x:c r="O439" s="15" t="str">
        <x:v>structured_json</x:v>
      </x:c>
      <x:c r="P439" s="15" t="str"/>
      <x:c r="Q439" s="15" t="str">
        <x:v>applied_differently</x:v>
      </x:c>
      <x:c r="R439" s="15" t="str">
        <x:v>Discusses the boundaries of statutory interpretation relevant to public funding.</x:v>
      </x:c>
      <x:c r="S439" s="15" t="str"/>
    </x:row>
    <x:row r="440">
      <x:c r="A440" s="1" t="str">
        <x:v>O0439</x:v>
      </x:c>
      <x:c r="B440" s="1" t="str">
        <x:v>cmsbj40n7000h04jwpx41ia5n</x:v>
      </x:c>
      <x:c r="C440" s="1" t="str">
        <x:v>cms1pp04x000404jswgoarvrt</x:v>
      </x:c>
      <x:c r="D440" s="1" t="str">
        <x:v>ca-2024-001541-the-king-on-the-application-of-respondent-skeleton</x:v>
      </x:c>
      <x:c r="E440" s="1" t="str">
        <x:v>real</x:v>
      </x:c>
      <x:c r="F440" s="15" t="str">
        <x:v>The King (on the application of Transport Action Network Limited) v Secretary of State for Transport</x:v>
      </x:c>
      <x:c r="G440" s="16" t="n">
        <x:v>46236.3465696412</x:v>
      </x:c>
      <x:c r="H440" s="15" t="str">
        <x:v>case</x:v>
      </x:c>
      <x:c r="I440" s="15" t="str">
        <x:v>case:the law society &amp; ors v the lord chancellor judicial review of legal aid reforms</x:v>
      </x:c>
      <x:c r="J440" s="15" t="str">
        <x:v>The Law Society &amp; Ors v The Lord Chancellor: Judicial Review of Legal Aid Reforms</x:v>
      </x:c>
      <x:c r="K440" s="15" t="str">
        <x:v>N/A</x:v>
      </x:c>
      <x:c r="L440" s="15" t="str">
        <x:v>bfdd234f-62f5-43ff-afee-559e34362309</x:v>
      </x:c>
      <x:c r="M440" s="15" t="str"/>
      <x:c r="N440" s="15" t="str">
        <x:v>factualFindings.contestedFacts[1].sourceCases[0]</x:v>
      </x:c>
      <x:c r="O440" s="15" t="str">
        <x:v>structured_json</x:v>
      </x:c>
      <x:c r="P440" s="15" t="str"/>
      <x:c r="Q440" s="15" t="str">
        <x:v>same_proposition</x:v>
      </x:c>
      <x:c r="R440" s="15" t="str">
        <x:v>Addresses alterations to public funding strategies in light of financial constraints.</x:v>
      </x:c>
      <x:c r="S440" s="15" t="str"/>
    </x:row>
    <x:row r="441">
      <x:c r="A441" s="1" t="str">
        <x:v>O0440</x:v>
      </x:c>
      <x:c r="B441" s="1" t="str">
        <x:v>cmsbj40n7000h04jwpx41ia5n</x:v>
      </x:c>
      <x:c r="C441" s="1" t="str">
        <x:v>cms1pp04x000404jswgoarvrt</x:v>
      </x:c>
      <x:c r="D441" s="1" t="str">
        <x:v>ca-2024-001541-the-king-on-the-application-of-respondent-skeleton</x:v>
      </x:c>
      <x:c r="E441" s="1" t="str">
        <x:v>real</x:v>
      </x:c>
      <x:c r="F441" s="15" t="str">
        <x:v>The King (on the application of Transport Action Network Limited) v Secretary of State for Transport</x:v>
      </x:c>
      <x:c r="G441" s="16" t="n">
        <x:v>46236.3465696412</x:v>
      </x:c>
      <x:c r="H441" s="15" t="str">
        <x:v>case</x:v>
      </x:c>
      <x:c r="I441" s="15" t="str">
        <x:v>case:rotala plc r on the application of v greater manchester combined authority &amp; anor</x:v>
      </x:c>
      <x:c r="J441" s="15" t="str">
        <x:v>Rotala Plc, R (On the Application Of) v Greater Manchester Combined Authority &amp; Anor</x:v>
      </x:c>
      <x:c r="K441" s="15" t="str">
        <x:v>N/A</x:v>
      </x:c>
      <x:c r="L441" s="15" t="str">
        <x:v>bab866ef-ca70-446c-a76d-a69bb3f7f15d</x:v>
      </x:c>
      <x:c r="M441" s="15" t="str"/>
      <x:c r="N441" s="15" t="str">
        <x:v>reasoningStructure[0].sourceCases[0]</x:v>
      </x:c>
      <x:c r="O441" s="15" t="str">
        <x:v>structured_json</x:v>
      </x:c>
      <x:c r="P441" s="15" t="str"/>
      <x:c r="Q441" s="15" t="str">
        <x:v>distinguished</x:v>
      </x:c>
      <x:c r="R441" s="15" t="str">
        <x:v>This case further elucidates the need for clear statutory adherence against discretionary funding adjustments.</x:v>
      </x:c>
      <x:c r="S441" s="15" t="str"/>
    </x:row>
    <x:row r="442">
      <x:c r="A442" s="1" t="str">
        <x:v>O0441</x:v>
      </x:c>
      <x:c r="B442" s="1" t="str">
        <x:v>cmsbj40n7000h04jwpx41ia5n</x:v>
      </x:c>
      <x:c r="C442" s="1" t="str">
        <x:v>cms1pp04x000404jswgoarvrt</x:v>
      </x:c>
      <x:c r="D442" s="1" t="str">
        <x:v>ca-2024-001541-the-king-on-the-application-of-respondent-skeleton</x:v>
      </x:c>
      <x:c r="E442" s="1" t="str">
        <x:v>real</x:v>
      </x:c>
      <x:c r="F442" s="15" t="str">
        <x:v>The King (on the application of Transport Action Network Limited) v Secretary of State for Transport</x:v>
      </x:c>
      <x:c r="G442" s="16" t="n">
        <x:v>46236.3465696412</x:v>
      </x:c>
      <x:c r="H442" s="15" t="str">
        <x:v>case</x:v>
      </x:c>
      <x:c r="I442" s="15" t="str">
        <x:v>case:rotala plc r on the application of v greater manchester combined authority &amp; anor</x:v>
      </x:c>
      <x:c r="J442" s="15" t="str">
        <x:v>Rotala Plc, R (On the Application Of) v Greater Manchester Combined Authority &amp; Anor</x:v>
      </x:c>
      <x:c r="K442" s="15" t="str">
        <x:v>N/A</x:v>
      </x:c>
      <x:c r="L442" s="15" t="str">
        <x:v>bab866ef-ca70-446c-a76d-a69bb3f7f15d</x:v>
      </x:c>
      <x:c r="M442" s="15" t="str"/>
      <x:c r="N442" s="15" t="str">
        <x:v>issuesForDetermination.issueMatrix[0].sourceCases[0]</x:v>
      </x:c>
      <x:c r="O442" s="15" t="str">
        <x:v>structured_json</x:v>
      </x:c>
      <x:c r="P442" s="15" t="str"/>
      <x:c r="Q442" s="15" t="str">
        <x:v>distinguished</x:v>
      </x:c>
      <x:c r="R442" s="15" t="str">
        <x:v>This case discusses the discretionary powers within statutory funding frameworks relevant to this appeal.</x:v>
      </x:c>
      <x:c r="S442" s="15" t="str"/>
    </x:row>
    <x:row r="443">
      <x:c r="A443" s="1" t="str">
        <x:v>O0442</x:v>
      </x:c>
      <x:c r="B443" s="1" t="str">
        <x:v>cmsbqvqsj000h04jnb8tn656h</x:v>
      </x:c>
      <x:c r="C443" s="1" t="str">
        <x:v>cmsbqtxwq000204jnp11i99l8</x:v>
      </x:c>
      <x:c r="D443" s="1" t="str">
        <x:v>ca-2024-000255-the-king-on-the-application-of-appellant-skeleton</x:v>
      </x:c>
      <x:c r="E443" s="1" t="str">
        <x:v>real</x:v>
      </x:c>
      <x:c r="F443" s="15" t="str">
        <x:v>The King, on the application of Fajr Ellis v (1) The Secretary of State for Education and (2) The Secretary of State for Justice</x:v>
      </x:c>
      <x:c r="G443" s="16" t="n">
        <x:v>46236.497621863426</x:v>
      </x:c>
      <x:c r="H443" s="15" t="str">
        <x:v>case</x:v>
      </x:c>
      <x:c r="I443" s="15" t="str">
        <x:v>case:2002 ewca civ 605</x:v>
      </x:c>
      <x:c r="J443" s="15" t="str">
        <x:v>English v Emery Reimbold &amp; Strick Ltd [2002] EWCA Civ 605</x:v>
      </x:c>
      <x:c r="K443" s="15" t="str">
        <x:v>English v Emery Reimbold &amp; Strick Ltd [2002] EWCA Civ 605</x:v>
      </x:c>
      <x:c r="L443" s="15" t="str"/>
      <x:c r="M443" s="15" t="str"/>
      <x:c r="N443" s="15" t="str">
        <x:v>legalFramework.precedentCitations[0]</x:v>
      </x:c>
      <x:c r="O443" s="15" t="str">
        <x:v>structured_json</x:v>
      </x:c>
      <x:c r="P443" s="15" t="str">
        <x:v>binding</x:v>
      </x:c>
      <x:c r="Q443" s="15" t="str"/>
      <x:c r="R443" s="15" t="str">
        <x:v>Adequacy of reasons in judgments</x:v>
      </x:c>
      <x:c r="S443" s="15" t="str"/>
    </x:row>
    <x:row r="444">
      <x:c r="A444" s="1" t="str">
        <x:v>O0443</x:v>
      </x:c>
      <x:c r="B444" s="1" t="str">
        <x:v>cmsbqvqsj000h04jnb8tn656h</x:v>
      </x:c>
      <x:c r="C444" s="1" t="str">
        <x:v>cmsbqtxwq000204jnp11i99l8</x:v>
      </x:c>
      <x:c r="D444" s="1" t="str">
        <x:v>ca-2024-000255-the-king-on-the-application-of-appellant-skeleton</x:v>
      </x:c>
      <x:c r="E444" s="1" t="str">
        <x:v>real</x:v>
      </x:c>
      <x:c r="F444" s="15" t="str">
        <x:v>The King, on the application of Fajr Ellis v (1) The Secretary of State for Education and (2) The Secretary of State for Justice</x:v>
      </x:c>
      <x:c r="G444" s="16" t="n">
        <x:v>46236.497621863426</x:v>
      </x:c>
      <x:c r="H444" s="15" t="str">
        <x:v>case</x:v>
      </x:c>
      <x:c r="I444" s="15" t="str">
        <x:v>case:2000 1 wlr 377</x:v>
      </x:c>
      <x:c r="J444" s="15" t="str">
        <x:v>Flannery v Halifax Estate Agencies Ltd [2000] 1 WLR 377</x:v>
      </x:c>
      <x:c r="K444" s="15" t="str">
        <x:v>Flannery v Halifax Estate Agencies Ltd [2000] 1 WLR 377</x:v>
      </x:c>
      <x:c r="L444" s="15" t="str"/>
      <x:c r="M444" s="15" t="str"/>
      <x:c r="N444" s="15" t="str">
        <x:v>legalFramework.precedentCitations[1]</x:v>
      </x:c>
      <x:c r="O444" s="15" t="str">
        <x:v>structured_json</x:v>
      </x:c>
      <x:c r="P444" s="15" t="str">
        <x:v>binding</x:v>
      </x:c>
      <x:c r="Q444" s="15" t="str"/>
      <x:c r="R444" s="15" t="str">
        <x:v>Duty to provide adequate reasons</x:v>
      </x:c>
      <x:c r="S444" s="15" t="str"/>
    </x:row>
    <x:row r="445">
      <x:c r="A445" s="1" t="str">
        <x:v>O0444</x:v>
      </x:c>
      <x:c r="B445" s="1" t="str">
        <x:v>cmsbqvqsj000h04jnb8tn656h</x:v>
      </x:c>
      <x:c r="C445" s="1" t="str">
        <x:v>cmsbqtxwq000204jnp11i99l8</x:v>
      </x:c>
      <x:c r="D445" s="1" t="str">
        <x:v>ca-2024-000255-the-king-on-the-application-of-appellant-skeleton</x:v>
      </x:c>
      <x:c r="E445" s="1" t="str">
        <x:v>real</x:v>
      </x:c>
      <x:c r="F445" s="15" t="str">
        <x:v>The King, on the application of Fajr Ellis v (1) The Secretary of State for Education and (2) The Secretary of State for Justice</x:v>
      </x:c>
      <x:c r="G445" s="16" t="n">
        <x:v>46236.497621863426</x:v>
      </x:c>
      <x:c r="H445" s="15" t="str">
        <x:v>legislation</x:v>
      </x:c>
      <x:c r="I445" s="15" t="str">
        <x:v>legislation:european convention on human rights echr article 2 of the first protocol a2p1</x:v>
      </x:c>
      <x:c r="J445" s="15" t="str">
        <x:v>European Convention on Human Rights (ECHR)</x:v>
      </x:c>
      <x:c r="K445" s="15" t="str">
        <x:v>European Convention on Human Rights (ECHR) Article 2 of the First Protocol (A2P1)</x:v>
      </x:c>
      <x:c r="L445" s="15" t="str"/>
      <x:c r="M445" s="15" t="str">
        <x:v>Article 2 of the First Protocol (A2P1)</x:v>
      </x:c>
      <x:c r="N445" s="15" t="str">
        <x:v>legalFramework.statutoryProvisions[0]</x:v>
      </x:c>
      <x:c r="O445" s="15" t="str">
        <x:v>structured_json</x:v>
      </x:c>
      <x:c r="P445" s="15" t="str"/>
      <x:c r="Q445" s="15" t="str"/>
      <x:c r="R445" s="15" t="str">
        <x:v>Critical to evaluating claims concerning the right to education for prisoners.</x:v>
      </x:c>
      <x:c r="S445" s="15" t="str"/>
    </x:row>
    <x:row r="446">
      <x:c r="A446" s="1" t="str">
        <x:v>O0445</x:v>
      </x:c>
      <x:c r="B446" s="1" t="str">
        <x:v>cmsbqvqsj000h04jnb8tn656h</x:v>
      </x:c>
      <x:c r="C446" s="1" t="str">
        <x:v>cmsbqtxwq000204jnp11i99l8</x:v>
      </x:c>
      <x:c r="D446" s="1" t="str">
        <x:v>ca-2024-000255-the-king-on-the-application-of-appellant-skeleton</x:v>
      </x:c>
      <x:c r="E446" s="1" t="str">
        <x:v>real</x:v>
      </x:c>
      <x:c r="F446" s="15" t="str">
        <x:v>The King, on the application of Fajr Ellis v (1) The Secretary of State for Education and (2) The Secretary of State for Justice</x:v>
      </x:c>
      <x:c r="G446" s="16" t="n">
        <x:v>46236.497621863426</x:v>
      </x:c>
      <x:c r="H446" s="15" t="str">
        <x:v>legislation</x:v>
      </x:c>
      <x:c r="I446" s="15" t="str">
        <x:v>legislation:senior courts act 1981 s 35a</x:v>
      </x:c>
      <x:c r="J446" s="15" t="str">
        <x:v>Senior Courts Act 1981, s.35A</x:v>
      </x:c>
      <x:c r="K446" s="15" t="str">
        <x:v>Senior Courts Act 1981, s.35A</x:v>
      </x:c>
      <x:c r="L446" s="15" t="str"/>
      <x:c r="M446" s="15" t="str"/>
      <x:c r="N446" s="15" t="str">
        <x:v>decisionAndDisposition.interest.statutoryBasis</x:v>
      </x:c>
      <x:c r="O446" s="15" t="str">
        <x:v>structured_json</x:v>
      </x:c>
      <x:c r="P446" s="15" t="str"/>
      <x:c r="Q446" s="15" t="str"/>
      <x:c r="R446" s="15" t="str"/>
      <x:c r="S446" s="15" t="str"/>
    </x:row>
    <x:row r="447">
      <x:c r="A447" s="1" t="str">
        <x:v>O0446</x:v>
      </x:c>
      <x:c r="B447" s="1" t="str">
        <x:v>cmsbqvqsj000h04jnb8tn656h</x:v>
      </x:c>
      <x:c r="C447" s="1" t="str">
        <x:v>cmsbqtxwq000204jnp11i99l8</x:v>
      </x:c>
      <x:c r="D447" s="1" t="str">
        <x:v>ca-2024-000255-the-king-on-the-application-of-appellant-skeleton</x:v>
      </x:c>
      <x:c r="E447" s="1" t="str">
        <x:v>real</x:v>
      </x:c>
      <x:c r="F447" s="15" t="str">
        <x:v>The King, on the application of Fajr Ellis v (1) The Secretary of State for Education and (2) The Secretary of State for Justice</x:v>
      </x:c>
      <x:c r="G447" s="16" t="n">
        <x:v>46236.497621863426</x:v>
      </x:c>
      <x:c r="H447" s="15" t="str">
        <x:v>case</x:v>
      </x:c>
      <x:c r="I447" s="15" t="str">
        <x:v>case:the howard league for penal reform and prisoners advice service v the lord chancellor</x:v>
      </x:c>
      <x:c r="J447" s="15" t="str">
        <x:v>The Howard League for Penal Reform and Prisoners' Advice Service v The Lord Chancellor</x:v>
      </x:c>
      <x:c r="K447" s="15" t="str">
        <x:v>N/A</x:v>
      </x:c>
      <x:c r="L447" s="15" t="str">
        <x:v>d60a5323-796e-4110-a6de-012ec16860c1</x:v>
      </x:c>
      <x:c r="M447" s="15" t="str"/>
      <x:c r="N447" s="15" t="str">
        <x:v>legalFramework.statutoryProvisions[0].sourceCases[0]</x:v>
      </x:c>
      <x:c r="O447" s="15" t="str">
        <x:v>structured_json</x:v>
      </x:c>
      <x:c r="P447" s="15" t="str"/>
      <x:c r="Q447" s="15" t="str"/>
      <x:c r="R447" s="15" t="str">
        <x:v>This case discusses the application of ECHR principles regarding educational access, relevant to the Appellant's arguments.</x:v>
      </x:c>
      <x:c r="S447" s="15" t="str"/>
    </x:row>
    <x:row r="448">
      <x:c r="A448" s="1" t="str">
        <x:v>O0447</x:v>
      </x:c>
      <x:c r="B448" s="1" t="str">
        <x:v>cmsbqvqsj000h04jnb8tn656h</x:v>
      </x:c>
      <x:c r="C448" s="1" t="str">
        <x:v>cmsbqtxwq000204jnp11i99l8</x:v>
      </x:c>
      <x:c r="D448" s="1" t="str">
        <x:v>ca-2024-000255-the-king-on-the-application-of-appellant-skeleton</x:v>
      </x:c>
      <x:c r="E448" s="1" t="str">
        <x:v>real</x:v>
      </x:c>
      <x:c r="F448" s="15" t="str">
        <x:v>The King, on the application of Fajr Ellis v (1) The Secretary of State for Education and (2) The Secretary of State for Justice</x:v>
      </x:c>
      <x:c r="G448" s="16" t="n">
        <x:v>46236.497621863426</x:v>
      </x:c>
      <x:c r="H448" s="15" t="str">
        <x:v>case</x:v>
      </x:c>
      <x:c r="I448" s="15" t="str">
        <x:v>case:velyo velev v bulgaria</x:v>
      </x:c>
      <x:c r="J448" s="15" t="str">
        <x:v>Velyo Velev v. Bulgaria</x:v>
      </x:c>
      <x:c r="K448" s="15" t="str">
        <x:v>N/A</x:v>
      </x:c>
      <x:c r="L448" s="15" t="str">
        <x:v>dfa97e6e-7e32-4c80-9f6f-5e4f398f9d82</x:v>
      </x:c>
      <x:c r="M448" s="15" t="str"/>
      <x:c r="N448" s="15" t="str">
        <x:v>factualFindings.contestedFacts[0].sourceCases[0]</x:v>
      </x:c>
      <x:c r="O448" s="15" t="str">
        <x:v>structured_json</x:v>
      </x:c>
      <x:c r="P448" s="15" t="str"/>
      <x:c r="Q448" s="15" t="str"/>
      <x:c r="R448" s="15" t="str">
        <x:v>This case discusses the importance of maintaining access to educational resources for prisoners, paralleling the Appellant's claims.</x:v>
      </x:c>
      <x:c r="S448" s="15" t="str"/>
    </x:row>
    <x:row r="449">
      <x:c r="A449" s="1" t="str">
        <x:v>O0448</x:v>
      </x:c>
      <x:c r="B449" s="1" t="str">
        <x:v>cmsbqvqsj000h04jnb8tn656h</x:v>
      </x:c>
      <x:c r="C449" s="1" t="str">
        <x:v>cmsbqtxwq000204jnp11i99l8</x:v>
      </x:c>
      <x:c r="D449" s="1" t="str">
        <x:v>ca-2024-000255-the-king-on-the-application-of-appellant-skeleton</x:v>
      </x:c>
      <x:c r="E449" s="1" t="str">
        <x:v>real</x:v>
      </x:c>
      <x:c r="F449" s="15" t="str">
        <x:v>The King, on the application of Fajr Ellis v (1) The Secretary of State for Education and (2) The Secretary of State for Justice</x:v>
      </x:c>
      <x:c r="G449" s="16" t="n">
        <x:v>46236.497621863426</x:v>
      </x:c>
      <x:c r="H449" s="15" t="str">
        <x:v>case</x:v>
      </x:c>
      <x:c r="I449" s="15" t="str">
        <x:v>case:the howard league for penal reform and prisoners advice service v the lord chancellor</x:v>
      </x:c>
      <x:c r="J449" s="15" t="str">
        <x:v>The Howard League for Penal Reform and Prisoners' Advice Service v The Lord Chancellor</x:v>
      </x:c>
      <x:c r="K449" s="15" t="str">
        <x:v>N/A</x:v>
      </x:c>
      <x:c r="L449" s="15" t="str">
        <x:v>d60a5323-796e-4110-a6de-012ec16860c1</x:v>
      </x:c>
      <x:c r="M449" s="15" t="str"/>
      <x:c r="N449" s="15" t="str">
        <x:v>factualFindings.contestedFacts[1].sourceCases[0]</x:v>
      </x:c>
      <x:c r="O449" s="15" t="str">
        <x:v>structured_json</x:v>
      </x:c>
      <x:c r="P449" s="15" t="str"/>
      <x:c r="Q449" s="15" t="str"/>
      <x:c r="R449" s="15" t="str">
        <x:v>This case examines prisoner access to educational materials and clarifies the obligations of prison authorities, relevant to the Appellant's situation.</x:v>
      </x:c>
      <x:c r="S449" s="15" t="str"/>
    </x:row>
    <x:row r="450">
      <x:c r="A450" s="1" t="str">
        <x:v>O0449</x:v>
      </x:c>
      <x:c r="B450" s="1" t="str">
        <x:v>cmsbqvqsj000h04jnb8tn656h</x:v>
      </x:c>
      <x:c r="C450" s="1" t="str">
        <x:v>cmsbqtxwq000204jnp11i99l8</x:v>
      </x:c>
      <x:c r="D450" s="1" t="str">
        <x:v>ca-2024-000255-the-king-on-the-application-of-appellant-skeleton</x:v>
      </x:c>
      <x:c r="E450" s="1" t="str">
        <x:v>real</x:v>
      </x:c>
      <x:c r="F450" s="15" t="str">
        <x:v>The King, on the application of Fajr Ellis v (1) The Secretary of State for Education and (2) The Secretary of State for Justice</x:v>
      </x:c>
      <x:c r="G450" s="16" t="n">
        <x:v>46236.497621863426</x:v>
      </x:c>
      <x:c r="H450" s="15" t="str">
        <x:v>case</x:v>
      </x:c>
      <x:c r="I450" s="15" t="str">
        <x:v>case:2015 ewca civ 1259</x:v>
      </x:c>
      <x:c r="J450" s="15" t="str">
        <x:v>BK &amp; Anor v The Secretary of State for Justice</x:v>
      </x:c>
      <x:c r="K450" s="15" t="str">
        <x:v>[2015] EWCA Civ 1259</x:v>
      </x:c>
      <x:c r="L450" s="15" t="str">
        <x:v>c5a5edf0-4845-4195-a969-082c8b5afa2a</x:v>
      </x:c>
      <x:c r="M450" s="15" t="str"/>
      <x:c r="N450" s="15" t="str">
        <x:v>reasoningStructure[0].sourceCases[0]</x:v>
      </x:c>
      <x:c r="O450" s="15" t="str">
        <x:v>structured_json</x:v>
      </x:c>
      <x:c r="P450" s="15" t="str"/>
      <x:c r="Q450" s="15" t="str"/>
      <x:c r="R450" s="15" t="str">
        <x:v>This case's analysis on A2P1 supports the claim that significant restrictions could violate the Appellant's rights.</x:v>
      </x:c>
      <x:c r="S450" s="15" t="str"/>
    </x:row>
    <x:row r="451">
      <x:c r="A451" s="1" t="str">
        <x:v>O0450</x:v>
      </x:c>
      <x:c r="B451" s="1" t="str">
        <x:v>cmsbqvqsj000h04jnb8tn656h</x:v>
      </x:c>
      <x:c r="C451" s="1" t="str">
        <x:v>cmsbqtxwq000204jnp11i99l8</x:v>
      </x:c>
      <x:c r="D451" s="1" t="str">
        <x:v>ca-2024-000255-the-king-on-the-application-of-appellant-skeleton</x:v>
      </x:c>
      <x:c r="E451" s="1" t="str">
        <x:v>real</x:v>
      </x:c>
      <x:c r="F451" s="15" t="str">
        <x:v>The King, on the application of Fajr Ellis v (1) The Secretary of State for Education and (2) The Secretary of State for Justice</x:v>
      </x:c>
      <x:c r="G451" s="16" t="n">
        <x:v>46236.497621863426</x:v>
      </x:c>
      <x:c r="H451" s="15" t="str">
        <x:v>case</x:v>
      </x:c>
      <x:c r="I451" s="15" t="str">
        <x:v>case:parratt r on the application of v parole board</x:v>
      </x:c>
      <x:c r="J451" s="15" t="str">
        <x:v>Parratt, R (on the application of) v Parole Board</x:v>
      </x:c>
      <x:c r="K451" s="15" t="str">
        <x:v>N/A</x:v>
      </x:c>
      <x:c r="L451" s="15" t="str">
        <x:v>464b6335-7623-49ec-8536-df2bb3ae5a4d</x:v>
      </x:c>
      <x:c r="M451" s="15" t="str"/>
      <x:c r="N451" s="15" t="str">
        <x:v>reasoningStructure[1].sourceCases[0]</x:v>
      </x:c>
      <x:c r="O451" s="15" t="str">
        <x:v>structured_json</x:v>
      </x:c>
      <x:c r="P451" s="15" t="str"/>
      <x:c r="Q451" s="15" t="str"/>
      <x:c r="R451" s="15" t="str">
        <x:v>Guidance from this case reflects on public law obligations that are engaged in prisoners' rights matters.</x:v>
      </x:c>
      <x:c r="S451" s="15" t="str"/>
    </x:row>
    <x:row r="452">
      <x:c r="A452" s="1" t="str">
        <x:v>O0451</x:v>
      </x:c>
      <x:c r="B452" s="1" t="str">
        <x:v>cmsbqvqsj000h04jnb8tn656h</x:v>
      </x:c>
      <x:c r="C452" s="1" t="str">
        <x:v>cmsbqtxwq000204jnp11i99l8</x:v>
      </x:c>
      <x:c r="D452" s="1" t="str">
        <x:v>ca-2024-000255-the-king-on-the-application-of-appellant-skeleton</x:v>
      </x:c>
      <x:c r="E452" s="1" t="str">
        <x:v>real</x:v>
      </x:c>
      <x:c r="F452" s="15" t="str">
        <x:v>The King, on the application of Fajr Ellis v (1) The Secretary of State for Education and (2) The Secretary of State for Justice</x:v>
      </x:c>
      <x:c r="G452" s="16" t="n">
        <x:v>46236.497621863426</x:v>
      </x:c>
      <x:c r="H452" s="15" t="str">
        <x:v>case</x:v>
      </x:c>
      <x:c r="I452" s="15" t="str">
        <x:v>case:2015 ewca civ 1259</x:v>
      </x:c>
      <x:c r="J452" s="15" t="str">
        <x:v>BK &amp; Anor v The Secretary of State for Justice</x:v>
      </x:c>
      <x:c r="K452" s="15" t="str">
        <x:v>[2015] EWCA Civ 1259</x:v>
      </x:c>
      <x:c r="L452" s="15" t="str">
        <x:v>c5a5edf0-4845-4195-a969-082c8b5afa2a</x:v>
      </x:c>
      <x:c r="M452" s="15" t="str"/>
      <x:c r="N452" s="15" t="str">
        <x:v>issuesForDetermination.issueMatrix[0].sourceCases[0]</x:v>
      </x:c>
      <x:c r="O452" s="15" t="str">
        <x:v>structured_json</x:v>
      </x:c>
      <x:c r="P452" s="15" t="str"/>
      <x:c r="Q452" s="15" t="str"/>
      <x:c r="R452" s="15" t="str">
        <x:v>This case addresses the reach of A2P1 in relation to educational access for prisoners, essential to evaluating the Appellant's claim.</x:v>
      </x:c>
      <x:c r="S452" s="15" t="str"/>
    </x:row>
    <x:row r="453">
      <x:c r="A453" s="1" t="str">
        <x:v>O0452</x:v>
      </x:c>
      <x:c r="B453" s="1" t="str">
        <x:v>cmsbqvqsj000h04jnb8tn656h</x:v>
      </x:c>
      <x:c r="C453" s="1" t="str">
        <x:v>cmsbqtxwq000204jnp11i99l8</x:v>
      </x:c>
      <x:c r="D453" s="1" t="str">
        <x:v>ca-2024-000255-the-king-on-the-application-of-appellant-skeleton</x:v>
      </x:c>
      <x:c r="E453" s="1" t="str">
        <x:v>real</x:v>
      </x:c>
      <x:c r="F453" s="15" t="str">
        <x:v>The King, on the application of Fajr Ellis v (1) The Secretary of State for Education and (2) The Secretary of State for Justice</x:v>
      </x:c>
      <x:c r="G453" s="16" t="n">
        <x:v>46236.497621863426</x:v>
      </x:c>
      <x:c r="H453" s="15" t="str">
        <x:v>case</x:v>
      </x:c>
      <x:c r="I453" s="15" t="str">
        <x:v>case:parratt r on the application of v parole board</x:v>
      </x:c>
      <x:c r="J453" s="15" t="str">
        <x:v>Parratt, R (on the application of) v Parole Board</x:v>
      </x:c>
      <x:c r="K453" s="15" t="str">
        <x:v>N/A</x:v>
      </x:c>
      <x:c r="L453" s="15" t="str">
        <x:v>464b6335-7623-49ec-8536-df2bb3ae5a4d</x:v>
      </x:c>
      <x:c r="M453" s="15" t="str"/>
      <x:c r="N453" s="15" t="str">
        <x:v>issuesForDetermination.issueMatrix[1].sourceCases[0]</x:v>
      </x:c>
      <x:c r="O453" s="15" t="str">
        <x:v>structured_json</x:v>
      </x:c>
      <x:c r="P453" s="15" t="str"/>
      <x:c r="Q453" s="15" t="str"/>
      <x:c r="R453" s="15" t="str">
        <x:v>This case examines the legality concerning the removal of access to services and whether such actions align with public law requirements.</x:v>
      </x:c>
      <x:c r="S453" s="15" t="str"/>
    </x:row>
    <x:row r="454">
      <x:c r="A454" s="1" t="str">
        <x:v>O0453</x:v>
      </x:c>
      <x:c r="B454" s="1" t="str">
        <x:v>cmsbr021t001104jndbjo02xo</x:v>
      </x:c>
      <x:c r="C454" s="1" t="str">
        <x:v>cmsbqxnek000m04jn4kqpqi6q</x:v>
      </x:c>
      <x:c r="D454" s="1" t="str">
        <x:v>ca-2024-002003-greenfields-iow-limited-v-isle-of-appellant-skeleton</x:v>
      </x:c>
      <x:c r="E454" s="1" t="str">
        <x:v>real</x:v>
      </x:c>
      <x:c r="F454" s="15" t="str">
        <x:v>Greenfields (IOW) Limited v Isle of Wight Council &amp; Westridge Village Limited</x:v>
      </x:c>
      <x:c r="G454" s="16" t="n">
        <x:v>46236.49995074074</x:v>
      </x:c>
      <x:c r="H454" s="15" t="str">
        <x:v>case</x:v>
      </x:c>
      <x:c r="I454" s="15" t="str">
        <x:v>case:flannery v halifax estate agencies ltd</x:v>
      </x:c>
      <x:c r="J454" s="15" t="str">
        <x:v>Flannery v Halifax Estate Agencies Ltd</x:v>
      </x:c>
      <x:c r="K454" s="15" t="str">
        <x:v>Flannery v Halifax Estate Agencies Ltd</x:v>
      </x:c>
      <x:c r="L454" s="15" t="str"/>
      <x:c r="M454" s="15" t="str"/>
      <x:c r="N454" s="15" t="str">
        <x:v>legalFramework.precedentCitations[0]</x:v>
      </x:c>
      <x:c r="O454" s="15" t="str">
        <x:v>structured_json</x:v>
      </x:c>
      <x:c r="P454" s="15" t="str">
        <x:v>binding</x:v>
      </x:c>
      <x:c r="Q454" s="15" t="str"/>
      <x:c r="R454" s="15" t="str">
        <x:v>All judicial decisions must provide adequate reasons for their conclusions, ensuring clarity and accountability.</x:v>
      </x:c>
      <x:c r="S454" s="15" t="str"/>
    </x:row>
    <x:row r="455">
      <x:c r="A455" s="1" t="str">
        <x:v>O0454</x:v>
      </x:c>
      <x:c r="B455" s="1" t="str">
        <x:v>cmsbr021t001104jndbjo02xo</x:v>
      </x:c>
      <x:c r="C455" s="1" t="str">
        <x:v>cmsbqxnek000m04jn4kqpqi6q</x:v>
      </x:c>
      <x:c r="D455" s="1" t="str">
        <x:v>ca-2024-002003-greenfields-iow-limited-v-isle-of-appellant-skeleton</x:v>
      </x:c>
      <x:c r="E455" s="1" t="str">
        <x:v>real</x:v>
      </x:c>
      <x:c r="F455" s="15" t="str">
        <x:v>Greenfields (IOW) Limited v Isle of Wight Council &amp; Westridge Village Limited</x:v>
      </x:c>
      <x:c r="G455" s="16" t="n">
        <x:v>46236.49995074074</x:v>
      </x:c>
      <x:c r="H455" s="15" t="str">
        <x:v>case</x:v>
      </x:c>
      <x:c r="I455" s="15" t="str">
        <x:v>case:2002 ewca civ 605</x:v>
      </x:c>
      <x:c r="J455" s="15" t="str">
        <x:v>English v Emery Reimbold &amp; Strick Ltd [2002] EWCA Civ 605</x:v>
      </x:c>
      <x:c r="K455" s="15" t="str">
        <x:v>English v Emery Reimbold &amp; Strick Ltd [2002] EWCA Civ 605</x:v>
      </x:c>
      <x:c r="L455" s="15" t="str"/>
      <x:c r="M455" s="15" t="str"/>
      <x:c r="N455" s="15" t="str">
        <x:v>legalFramework.precedentCitations[1]</x:v>
      </x:c>
      <x:c r="O455" s="15" t="str">
        <x:v>structured_json</x:v>
      </x:c>
      <x:c r="P455" s="15" t="str">
        <x:v>binding</x:v>
      </x:c>
      <x:c r="Q455" s="15" t="str"/>
      <x:c r="R455" s="15" t="str">
        <x:v>Judicial decisions should articulate adequate reasoning reflecting consideration of all material facts.</x:v>
      </x:c>
      <x:c r="S455" s="15" t="str"/>
    </x:row>
    <x:row r="456">
      <x:c r="A456" s="1" t="str">
        <x:v>O0455</x:v>
      </x:c>
      <x:c r="B456" s="1" t="str">
        <x:v>cmsbr021t001104jndbjo02xo</x:v>
      </x:c>
      <x:c r="C456" s="1" t="str">
        <x:v>cmsbqxnek000m04jn4kqpqi6q</x:v>
      </x:c>
      <x:c r="D456" s="1" t="str">
        <x:v>ca-2024-002003-greenfields-iow-limited-v-isle-of-appellant-skeleton</x:v>
      </x:c>
      <x:c r="E456" s="1" t="str">
        <x:v>real</x:v>
      </x:c>
      <x:c r="F456" s="15" t="str">
        <x:v>Greenfields (IOW) Limited v Isle of Wight Council &amp; Westridge Village Limited</x:v>
      </x:c>
      <x:c r="G456" s="16" t="n">
        <x:v>46236.49995074074</x:v>
      </x:c>
      <x:c r="H456" s="15" t="str">
        <x:v>legislation</x:v>
      </x:c>
      <x:c r="I456" s="15" t="str">
        <x:v>legislation:town and country planning act 1990 s 70</x:v>
      </x:c>
      <x:c r="J456" s="15" t="str">
        <x:v>Town and Country Planning Act 1990</x:v>
      </x:c>
      <x:c r="K456" s="15" t="str">
        <x:v>Town and Country Planning Act 1990 s.70</x:v>
      </x:c>
      <x:c r="L456" s="15" t="str"/>
      <x:c r="M456" s="15" t="str">
        <x:v>s.70</x:v>
      </x:c>
      <x:c r="N456" s="15" t="str">
        <x:v>legalFramework.statutoryProvisions[0]</x:v>
      </x:c>
      <x:c r="O456" s="15" t="str">
        <x:v>structured_json</x:v>
      </x:c>
      <x:c r="P456" s="15" t="str"/>
      <x:c r="Q456" s="15" t="str"/>
      <x:c r="R456" s="15" t="str">
        <x:v>Outlines the requirements for local authorities when determining planning applications.</x:v>
      </x:c>
      <x:c r="S456" s="15" t="str"/>
    </x:row>
    <x:row r="457">
      <x:c r="A457" s="1" t="str">
        <x:v>O0456</x:v>
      </x:c>
      <x:c r="B457" s="1" t="str">
        <x:v>cmsbr021t001104jndbjo02xo</x:v>
      </x:c>
      <x:c r="C457" s="1" t="str">
        <x:v>cmsbqxnek000m04jn4kqpqi6q</x:v>
      </x:c>
      <x:c r="D457" s="1" t="str">
        <x:v>ca-2024-002003-greenfields-iow-limited-v-isle-of-appellant-skeleton</x:v>
      </x:c>
      <x:c r="E457" s="1" t="str">
        <x:v>real</x:v>
      </x:c>
      <x:c r="F457" s="15" t="str">
        <x:v>Greenfields (IOW) Limited v Isle of Wight Council &amp; Westridge Village Limited</x:v>
      </x:c>
      <x:c r="G457" s="16" t="n">
        <x:v>46236.49995074074</x:v>
      </x:c>
      <x:c r="H457" s="15" t="str">
        <x:v>legislation</x:v>
      </x:c>
      <x:c r="I457" s="15" t="str">
        <x:v>legislation:development management procedure order 2015 article 40 3 b</x:v>
      </x:c>
      <x:c r="J457" s="15" t="str">
        <x:v>Development Management Procedure Order 2015</x:v>
      </x:c>
      <x:c r="K457" s="15" t="str">
        <x:v>Development Management Procedure Order 2015 Article 40(3)(b)</x:v>
      </x:c>
      <x:c r="L457" s="15" t="str"/>
      <x:c r="M457" s="15" t="str">
        <x:v>Article 40(3)(b)</x:v>
      </x:c>
      <x:c r="N457" s="15" t="str">
        <x:v>legalFramework.statutoryProvisions[1]</x:v>
      </x:c>
      <x:c r="O457" s="15" t="str">
        <x:v>structured_json</x:v>
      </x:c>
      <x:c r="P457" s="15" t="str"/>
      <x:c r="Q457" s="15" t="str"/>
      <x:c r="R457" s="15" t="str">
        <x:v>Mandates proper consultation procedures for planning applications.</x:v>
      </x:c>
      <x:c r="S457" s="15" t="str"/>
    </x:row>
    <x:row r="458">
      <x:c r="A458" s="1" t="str">
        <x:v>O0457</x:v>
      </x:c>
      <x:c r="B458" s="1" t="str">
        <x:v>cmsbr021t001104jndbjo02xo</x:v>
      </x:c>
      <x:c r="C458" s="1" t="str">
        <x:v>cmsbqxnek000m04jn4kqpqi6q</x:v>
      </x:c>
      <x:c r="D458" s="1" t="str">
        <x:v>ca-2024-002003-greenfields-iow-limited-v-isle-of-appellant-skeleton</x:v>
      </x:c>
      <x:c r="E458" s="1" t="str">
        <x:v>real</x:v>
      </x:c>
      <x:c r="F458" s="15" t="str">
        <x:v>Greenfields (IOW) Limited v Isle of Wight Council &amp; Westridge Village Limited</x:v>
      </x:c>
      <x:c r="G458" s="16" t="n">
        <x:v>46236.49995074074</x:v>
      </x:c>
      <x:c r="H458" s="15" t="str">
        <x:v>case</x:v>
      </x:c>
      <x:c r="I458" s="15" t="str">
        <x:v>case:2023 ewca civ 514</x:v>
      </x:c>
      <x:c r="J458" s="15" t="str">
        <x:v>Secretary of State for Levelling Up, Housing and Communities v Smith &amp; Anor</x:v>
      </x:c>
      <x:c r="K458" s="15" t="str">
        <x:v>[2023] EWCA Civ 514</x:v>
      </x:c>
      <x:c r="L458" s="15" t="str">
        <x:v>7f44d9a8-2459-4f6a-84fc-e475bb8f169a</x:v>
      </x:c>
      <x:c r="M458" s="15" t="str"/>
      <x:c r="N458" s="15" t="str">
        <x:v>legalFramework.statutoryProvisions[1].sourceCases[0]</x:v>
      </x:c>
      <x:c r="O458" s="15" t="str">
        <x:v>structured_json</x:v>
      </x:c>
      <x:c r="P458" s="15" t="str"/>
      <x:c r="Q458" s="15" t="str">
        <x:v>applied_differently</x:v>
      </x:c>
      <x:c r="R458" s="15" t="str">
        <x:v>Directly cites Article 40(3)(b) and examines the implications of inadequate consultations in the context of planning permissions.</x:v>
      </x:c>
      <x:c r="S458" s="15" t="str"/>
    </x:row>
    <x:row r="459">
      <x:c r="A459" s="1" t="str">
        <x:v>O0458</x:v>
      </x:c>
      <x:c r="B459" s="1" t="str">
        <x:v>cmsbr021t001104jndbjo02xo</x:v>
      </x:c>
      <x:c r="C459" s="1" t="str">
        <x:v>cmsbqxnek000m04jn4kqpqi6q</x:v>
      </x:c>
      <x:c r="D459" s="1" t="str">
        <x:v>ca-2024-002003-greenfields-iow-limited-v-isle-of-appellant-skeleton</x:v>
      </x:c>
      <x:c r="E459" s="1" t="str">
        <x:v>real</x:v>
      </x:c>
      <x:c r="F459" s="15" t="str">
        <x:v>Greenfields (IOW) Limited v Isle of Wight Council &amp; Westridge Village Limited</x:v>
      </x:c>
      <x:c r="G459" s="16" t="n">
        <x:v>46236.49995074074</x:v>
      </x:c>
      <x:c r="H459" s="15" t="str">
        <x:v>case</x:v>
      </x:c>
      <x:c r="I459" s="15" t="str">
        <x:v>case:2022 ewca civ 1391</x:v>
      </x:c>
      <x:c r="J459" s="15" t="str">
        <x:v>Smith v Secretary of State for Levelling Up, Housing &amp; Communities &amp; Anor</x:v>
      </x:c>
      <x:c r="K459" s="15" t="str">
        <x:v>[2022] EWCA Civ 1391</x:v>
      </x:c>
      <x:c r="L459" s="15" t="str">
        <x:v>6cd7db33-7ee1-44c0-9219-b2cc7d57d88b</x:v>
      </x:c>
      <x:c r="M459" s="15" t="str"/>
      <x:c r="N459" s="15" t="str">
        <x:v>factualFindings.contestedFacts[0].sourceCases[0]</x:v>
      </x:c>
      <x:c r="O459" s="15" t="str">
        <x:v>structured_json</x:v>
      </x:c>
      <x:c r="P459" s="15" t="str"/>
      <x:c r="Q459" s="15" t="str">
        <x:v>applied_differently</x:v>
      </x:c>
      <x:c r="R459" s="15" t="str">
        <x:v>Addresses the adequacy of reasoning in planning decisions, relevant to the Appellant's claims of procedural impropriety.</x:v>
      </x:c>
      <x:c r="S459" s="15" t="str"/>
    </x:row>
    <x:row r="460">
      <x:c r="A460" s="1" t="str">
        <x:v>O0459</x:v>
      </x:c>
      <x:c r="B460" s="1" t="str">
        <x:v>cmsbr021t001104jndbjo02xo</x:v>
      </x:c>
      <x:c r="C460" s="1" t="str">
        <x:v>cmsbqxnek000m04jn4kqpqi6q</x:v>
      </x:c>
      <x:c r="D460" s="1" t="str">
        <x:v>ca-2024-002003-greenfields-iow-limited-v-isle-of-appellant-skeleton</x:v>
      </x:c>
      <x:c r="E460" s="1" t="str">
        <x:v>real</x:v>
      </x:c>
      <x:c r="F460" s="15" t="str">
        <x:v>Greenfields (IOW) Limited v Isle of Wight Council &amp; Westridge Village Limited</x:v>
      </x:c>
      <x:c r="G460" s="16" t="n">
        <x:v>46236.49995074074</x:v>
      </x:c>
      <x:c r="H460" s="15" t="str">
        <x:v>case</x:v>
      </x:c>
      <x:c r="I460" s="15" t="str">
        <x:v>case:2023 ewca civ 359</x:v>
      </x:c>
      <x:c r="J460" s="15" t="str">
        <x:v>East Quayside 12 LLP v The Council of the City of Newcastle upon Tyne</x:v>
      </x:c>
      <x:c r="K460" s="15" t="str">
        <x:v>[2023] EWCA Civ 359</x:v>
      </x:c>
      <x:c r="L460" s="15" t="str">
        <x:v>3fae9752-b3e5-4a98-a0e5-5ade79ee3e8d</x:v>
      </x:c>
      <x:c r="M460" s="15" t="str"/>
      <x:c r="N460" s="15" t="str">
        <x:v>factualFindings.contestedFacts[0].sourceCases[1]</x:v>
      </x:c>
      <x:c r="O460" s="15" t="str">
        <x:v>structured_json</x:v>
      </x:c>
      <x:c r="P460" s="15" t="str"/>
      <x:c r="Q460" s="15" t="str">
        <x:v>distinguished</x:v>
      </x:c>
      <x:c r="R460" s="15" t="str">
        <x:v>Similar considerations regarding public consultation and traffic impacts were addressed, aiding in the understanding of valid procedural adherence.</x:v>
      </x:c>
      <x:c r="S460" s="15" t="str"/>
    </x:row>
    <x:row r="461">
      <x:c r="A461" s="1" t="str">
        <x:v>O0460</x:v>
      </x:c>
      <x:c r="B461" s="1" t="str">
        <x:v>cmsbr021t001104jndbjo02xo</x:v>
      </x:c>
      <x:c r="C461" s="1" t="str">
        <x:v>cmsbqxnek000m04jn4kqpqi6q</x:v>
      </x:c>
      <x:c r="D461" s="1" t="str">
        <x:v>ca-2024-002003-greenfields-iow-limited-v-isle-of-appellant-skeleton</x:v>
      </x:c>
      <x:c r="E461" s="1" t="str">
        <x:v>real</x:v>
      </x:c>
      <x:c r="F461" s="15" t="str">
        <x:v>Greenfields (IOW) Limited v Isle of Wight Council &amp; Westridge Village Limited</x:v>
      </x:c>
      <x:c r="G461" s="16" t="n">
        <x:v>46236.49995074074</x:v>
      </x:c>
      <x:c r="H461" s="15" t="str">
        <x:v>case</x:v>
      </x:c>
      <x:c r="I461" s="15" t="str">
        <x:v>case:2022 ewca civ 1304</x:v>
      </x:c>
      <x:c r="J461" s="15" t="str">
        <x:v>Arnold White Estates Ltd v The Forestry Commission</x:v>
      </x:c>
      <x:c r="K461" s="15" t="str">
        <x:v>[2022] EWCA Civ 1304</x:v>
      </x:c>
      <x:c r="L461" s="15" t="str">
        <x:v>76e6ffcd-af03-4155-a667-51d98a79d1d7</x:v>
      </x:c>
      <x:c r="M461" s="15" t="str"/>
      <x:c r="N461" s="15" t="str">
        <x:v>reasoningStructure[0].sourceCases[0]</x:v>
      </x:c>
      <x:c r="O461" s="15" t="str">
        <x:v>structured_json</x:v>
      </x:c>
      <x:c r="P461" s="15" t="str"/>
      <x:c r="Q461" s="15" t="str">
        <x:v>same_proposition</x:v>
      </x:c>
      <x:c r="R461" s="15" t="str">
        <x:v>Highlights the necessity of adherence to procedural norms in planning applications, supporting the analysis of the case.</x:v>
      </x:c>
      <x:c r="S461" s="15" t="str"/>
    </x:row>
    <x:row r="462">
      <x:c r="A462" s="1" t="str">
        <x:v>O0461</x:v>
      </x:c>
      <x:c r="B462" s="1" t="str">
        <x:v>cmsbr021t001104jndbjo02xo</x:v>
      </x:c>
      <x:c r="C462" s="1" t="str">
        <x:v>cmsbqxnek000m04jn4kqpqi6q</x:v>
      </x:c>
      <x:c r="D462" s="1" t="str">
        <x:v>ca-2024-002003-greenfields-iow-limited-v-isle-of-appellant-skeleton</x:v>
      </x:c>
      <x:c r="E462" s="1" t="str">
        <x:v>real</x:v>
      </x:c>
      <x:c r="F462" s="15" t="str">
        <x:v>Greenfields (IOW) Limited v Isle of Wight Council &amp; Westridge Village Limited</x:v>
      </x:c>
      <x:c r="G462" s="16" t="n">
        <x:v>46236.49995074074</x:v>
      </x:c>
      <x:c r="H462" s="15" t="str">
        <x:v>case</x:v>
      </x:c>
      <x:c r="I462" s="15" t="str">
        <x:v>case:2022 ewca civ 1304</x:v>
      </x:c>
      <x:c r="J462" s="15" t="str">
        <x:v>Arnold White Estates Ltd v The Forestry Commission</x:v>
      </x:c>
      <x:c r="K462" s="15" t="str">
        <x:v>[2022] EWCA Civ 1304</x:v>
      </x:c>
      <x:c r="L462" s="15" t="str">
        <x:v>76e6ffcd-af03-4155-a667-51d98a79d1d7</x:v>
      </x:c>
      <x:c r="M462" s="15" t="str"/>
      <x:c r="N462" s="15" t="str">
        <x:v>issuesForDetermination.issueMatrix[0].sourceCases[0]</x:v>
      </x:c>
      <x:c r="O462" s="15" t="str">
        <x:v>structured_json</x:v>
      </x:c>
      <x:c r="P462" s="15" t="str"/>
      <x:c r="Q462" s="15" t="str">
        <x:v>same_proposition</x:v>
      </x:c>
      <x:c r="R462" s="15" t="str">
        <x:v>This case discusses the procedural compliance necessary for lawful decision-making regarding planning permissions, relevant to the arguments presented around the traffic impact considerations.</x:v>
      </x:c>
      <x:c r="S462" s="15" t="str"/>
    </x:row>
    <x:row r="463">
      <x:c r="A463" s="1" t="str">
        <x:v>O0462</x:v>
      </x:c>
      <x:c r="B463" s="1" t="str">
        <x:v>cmsbr3045000j04l4tkps7ymp</x:v>
      </x:c>
      <x:c r="C463" s="1" t="str">
        <x:v>cmsbr0keh000404l4bbqhy2a0</x:v>
      </x:c>
      <x:c r="D463" s="1" t="str">
        <x:v>ca-2024-000806-hippodrome-casino-ltd-v-hmrc-appellant-skeleton</x:v>
      </x:c>
      <x:c r="E463" s="1" t="str">
        <x:v>real</x:v>
      </x:c>
      <x:c r="F463" s="15" t="str">
        <x:v>Hippodrome Casino Ltd v HMRC</x:v>
      </x:c>
      <x:c r="G463" s="16" t="n">
        <x:v>46236.501541701386</x:v>
      </x:c>
      <x:c r="H463" s="15" t="str">
        <x:v>case</x:v>
      </x:c>
      <x:c r="I463" s="15" t="str">
        <x:v>case:hmrc v volkswagen financial services case c 153 17</x:v>
      </x:c>
      <x:c r="J463" s="15" t="str">
        <x:v>HMRC v Volkswagen Financial Services (Case C-153/17)</x:v>
      </x:c>
      <x:c r="K463" s="15" t="str">
        <x:v>HMRC v Volkswagen Financial Services (Case C-153/17)</x:v>
      </x:c>
      <x:c r="L463" s="15" t="str"/>
      <x:c r="M463" s="15" t="str"/>
      <x:c r="N463" s="15" t="str">
        <x:v>legalFramework.precedentCitations[0]</x:v>
      </x:c>
      <x:c r="O463" s="15" t="str">
        <x:v>structured_json</x:v>
      </x:c>
      <x:c r="P463" s="15" t="str">
        <x:v>binding</x:v>
      </x:c>
      <x:c r="Q463" s="15" t="str"/>
      <x:c r="R463" s="15" t="str">
        <x:v>Clarifies the conditions under which VAT input can be recovered via special methods.</x:v>
      </x:c>
      <x:c r="S463" s="15" t="str"/>
    </x:row>
    <x:row r="464">
      <x:c r="A464" s="1" t="str">
        <x:v>O0463</x:v>
      </x:c>
      <x:c r="B464" s="1" t="str">
        <x:v>cmsbr3045000j04l4tkps7ymp</x:v>
      </x:c>
      <x:c r="C464" s="1" t="str">
        <x:v>cmsbr0keh000404l4bbqhy2a0</x:v>
      </x:c>
      <x:c r="D464" s="1" t="str">
        <x:v>ca-2024-000806-hippodrome-casino-ltd-v-hmrc-appellant-skeleton</x:v>
      </x:c>
      <x:c r="E464" s="1" t="str">
        <x:v>real</x:v>
      </x:c>
      <x:c r="F464" s="15" t="str">
        <x:v>Hippodrome Casino Ltd v HMRC</x:v>
      </x:c>
      <x:c r="G464" s="16" t="n">
        <x:v>46236.501541701386</x:v>
      </x:c>
      <x:c r="H464" s="15" t="str">
        <x:v>case</x:v>
      </x:c>
      <x:c r="I464" s="15" t="str">
        <x:v>case:st helen s school northwood v rcc</x:v>
      </x:c>
      <x:c r="J464" s="15" t="str">
        <x:v>St Helen’s School Northwood v RCC</x:v>
      </x:c>
      <x:c r="K464" s="15" t="str">
        <x:v>St Helen’s School Northwood v RCC</x:v>
      </x:c>
      <x:c r="L464" s="15" t="str"/>
      <x:c r="M464" s="15" t="str"/>
      <x:c r="N464" s="15" t="str">
        <x:v>legalFramework.precedentCitations[1]</x:v>
      </x:c>
      <x:c r="O464" s="15" t="str">
        <x:v>structured_json</x:v>
      </x:c>
      <x:c r="P464" s="15" t="str">
        <x:v>persuasive</x:v>
      </x:c>
      <x:c r="Q464" s="15" t="str"/>
      <x:c r="R464" s="15" t="str">
        <x:v>Articulates the importance of assessing operational purposes in VAT attribution.</x:v>
      </x:c>
      <x:c r="S464" s="15" t="str"/>
    </x:row>
    <x:row r="465">
      <x:c r="A465" s="1" t="str">
        <x:v>O0464</x:v>
      </x:c>
      <x:c r="B465" s="1" t="str">
        <x:v>cmsbr3045000j04l4tkps7ymp</x:v>
      </x:c>
      <x:c r="C465" s="1" t="str">
        <x:v>cmsbr0keh000404l4bbqhy2a0</x:v>
      </x:c>
      <x:c r="D465" s="1" t="str">
        <x:v>ca-2024-000806-hippodrome-casino-ltd-v-hmrc-appellant-skeleton</x:v>
      </x:c>
      <x:c r="E465" s="1" t="str">
        <x:v>real</x:v>
      </x:c>
      <x:c r="F465" s="15" t="str">
        <x:v>Hippodrome Casino Ltd v HMRC</x:v>
      </x:c>
      <x:c r="G465" s="16" t="n">
        <x:v>46236.501541701386</x:v>
      </x:c>
      <x:c r="H465" s="15" t="str">
        <x:v>case</x:v>
      </x:c>
      <x:c r="I465" s="15" t="str">
        <x:v>case:2000 1 wlr 377</x:v>
      </x:c>
      <x:c r="J465" s="15" t="str">
        <x:v>Flannery v Halifax Estate Agencies Ltd [2000] 1 WLR 377</x:v>
      </x:c>
      <x:c r="K465" s="15" t="str">
        <x:v>Flannery v Halifax Estate Agencies Ltd [2000] 1 WLR 377</x:v>
      </x:c>
      <x:c r="L465" s="15" t="str"/>
      <x:c r="M465" s="15" t="str"/>
      <x:c r="N465" s="15" t="str">
        <x:v>legalFramework.precedentCitations[2]</x:v>
      </x:c>
      <x:c r="O465" s="15" t="str">
        <x:v>structured_json</x:v>
      </x:c>
      <x:c r="P465" s="15" t="str">
        <x:v>binding</x:v>
      </x:c>
      <x:c r="Q465" s="15" t="str"/>
      <x:c r="R465" s="15" t="str">
        <x:v>Reinforces the obligation to provide detailed reasoning in complex tax cases.</x:v>
      </x:c>
      <x:c r="S465" s="15" t="str"/>
    </x:row>
    <x:row r="466">
      <x:c r="A466" s="1" t="str">
        <x:v>O0465</x:v>
      </x:c>
      <x:c r="B466" s="1" t="str">
        <x:v>cmsbr3045000j04l4tkps7ymp</x:v>
      </x:c>
      <x:c r="C466" s="1" t="str">
        <x:v>cmsbr0keh000404l4bbqhy2a0</x:v>
      </x:c>
      <x:c r="D466" s="1" t="str">
        <x:v>ca-2024-000806-hippodrome-casino-ltd-v-hmrc-appellant-skeleton</x:v>
      </x:c>
      <x:c r="E466" s="1" t="str">
        <x:v>real</x:v>
      </x:c>
      <x:c r="F466" s="15" t="str">
        <x:v>Hippodrome Casino Ltd v HMRC</x:v>
      </x:c>
      <x:c r="G466" s="16" t="n">
        <x:v>46236.501541701386</x:v>
      </x:c>
      <x:c r="H466" s="15" t="str">
        <x:v>legislation</x:v>
      </x:c>
      <x:c r="I466" s="15" t="str">
        <x:v>legislation:value added tax act 1994 s 38</x:v>
      </x:c>
      <x:c r="J466" s="15" t="str">
        <x:v>Value Added Tax Act 1994</x:v>
      </x:c>
      <x:c r="K466" s="15" t="str">
        <x:v>Value Added Tax Act 1994 Section 38</x:v>
      </x:c>
      <x:c r="L466" s="15" t="str"/>
      <x:c r="M466" s="15" t="str">
        <x:v>Section 38</x:v>
      </x:c>
      <x:c r="N466" s="15" t="str">
        <x:v>legalFramework.statutoryProvisions[0]</x:v>
      </x:c>
      <x:c r="O466" s="15" t="str">
        <x:v>structured_json</x:v>
      </x:c>
      <x:c r="P466" s="15" t="str"/>
      <x:c r="Q466" s="15" t="str"/>
      <x:c r="R466" s="15" t="str">
        <x:v>Governs the framework for calculating input tax in mixed-use businesses.</x:v>
      </x:c>
      <x:c r="S466" s="15" t="str">
        <x:v>https://www.legislation.gov.uk/ukpga/1994/23/section/38</x:v>
      </x:c>
    </x:row>
    <x:row r="467">
      <x:c r="A467" s="1" t="str">
        <x:v>O0466</x:v>
      </x:c>
      <x:c r="B467" s="1" t="str">
        <x:v>cmsbr3045000j04l4tkps7ymp</x:v>
      </x:c>
      <x:c r="C467" s="1" t="str">
        <x:v>cmsbr0keh000404l4bbqhy2a0</x:v>
      </x:c>
      <x:c r="D467" s="1" t="str">
        <x:v>ca-2024-000806-hippodrome-casino-ltd-v-hmrc-appellant-skeleton</x:v>
      </x:c>
      <x:c r="E467" s="1" t="str">
        <x:v>real</x:v>
      </x:c>
      <x:c r="F467" s="15" t="str">
        <x:v>Hippodrome Casino Ltd v HMRC</x:v>
      </x:c>
      <x:c r="G467" s="16" t="n">
        <x:v>46236.501541701386</x:v>
      </x:c>
      <x:c r="H467" s="15" t="str">
        <x:v>legislation</x:v>
      </x:c>
      <x:c r="I467" s="15" t="str">
        <x:v>legislation:vat regulations 1995 regulation 101</x:v>
      </x:c>
      <x:c r="J467" s="15" t="str">
        <x:v>VAT Regulations 1995</x:v>
      </x:c>
      <x:c r="K467" s="15" t="str">
        <x:v>VAT Regulations 1995 Regulation 101</x:v>
      </x:c>
      <x:c r="L467" s="15" t="str"/>
      <x:c r="M467" s="15" t="str">
        <x:v>Regulation 101</x:v>
      </x:c>
      <x:c r="N467" s="15" t="str">
        <x:v>legalFramework.statutoryProvisions[1]</x:v>
      </x:c>
      <x:c r="O467" s="15" t="str">
        <x:v>structured_json</x:v>
      </x:c>
      <x:c r="P467" s="15" t="str"/>
      <x:c r="Q467" s="15" t="str"/>
      <x:c r="R467" s="15" t="str">
        <x:v>Outlines the conditions under which input tax may be attributed.</x:v>
      </x:c>
      <x:c r="S467" s="15" t="str">
        <x:v>https://www.legislation.gov.uk/uksi/1995/2518/contents/made</x:v>
      </x:c>
    </x:row>
    <x:row r="468">
      <x:c r="A468" s="1" t="str">
        <x:v>O0467</x:v>
      </x:c>
      <x:c r="B468" s="1" t="str">
        <x:v>cmsbr3045000j04l4tkps7ymp</x:v>
      </x:c>
      <x:c r="C468" s="1" t="str">
        <x:v>cmsbr0keh000404l4bbqhy2a0</x:v>
      </x:c>
      <x:c r="D468" s="1" t="str">
        <x:v>ca-2024-000806-hippodrome-casino-ltd-v-hmrc-appellant-skeleton</x:v>
      </x:c>
      <x:c r="E468" s="1" t="str">
        <x:v>real</x:v>
      </x:c>
      <x:c r="F468" s="15" t="str">
        <x:v>Hippodrome Casino Ltd v HMRC</x:v>
      </x:c>
      <x:c r="G468" s="16" t="n">
        <x:v>46236.501541701386</x:v>
      </x:c>
      <x:c r="H468" s="15" t="str">
        <x:v>legislation</x:v>
      </x:c>
      <x:c r="I468" s="15" t="str">
        <x:v>legislation:senior courts act 1981 s 35a</x:v>
      </x:c>
      <x:c r="J468" s="15" t="str">
        <x:v>Senior Courts Act 1981, s.35A</x:v>
      </x:c>
      <x:c r="K468" s="15" t="str">
        <x:v>Senior Courts Act 1981, s.35A</x:v>
      </x:c>
      <x:c r="L468" s="15" t="str"/>
      <x:c r="M468" s="15" t="str"/>
      <x:c r="N468" s="15" t="str">
        <x:v>decisionAndDisposition.interest.statutoryBasis</x:v>
      </x:c>
      <x:c r="O468" s="15" t="str">
        <x:v>structured_json</x:v>
      </x:c>
      <x:c r="P468" s="15" t="str"/>
      <x:c r="Q468" s="15" t="str"/>
      <x:c r="R468" s="15" t="str"/>
      <x:c r="S468" s="15" t="str"/>
    </x:row>
    <x:row r="469">
      <x:c r="A469" s="1" t="str">
        <x:v>O0468</x:v>
      </x:c>
      <x:c r="B469" s="1" t="str">
        <x:v>cmsbr3045000j04l4tkps7ymp</x:v>
      </x:c>
      <x:c r="C469" s="1" t="str">
        <x:v>cmsbr0keh000404l4bbqhy2a0</x:v>
      </x:c>
      <x:c r="D469" s="1" t="str">
        <x:v>ca-2024-000806-hippodrome-casino-ltd-v-hmrc-appellant-skeleton</x:v>
      </x:c>
      <x:c r="E469" s="1" t="str">
        <x:v>real</x:v>
      </x:c>
      <x:c r="F469" s="15" t="str">
        <x:v>Hippodrome Casino Ltd v HMRC</x:v>
      </x:c>
      <x:c r="G469" s="16" t="n">
        <x:v>46236.501541701386</x:v>
      </x:c>
      <x:c r="H469" s="15" t="str">
        <x:v>case</x:v>
      </x:c>
      <x:c r="I469" s="15" t="str">
        <x:v>case:2015 ewca civ 1293</x:v>
      </x:c>
      <x:c r="J469" s="15" t="str">
        <x:v>Leeds City Council v HM Revenue and Customs</x:v>
      </x:c>
      <x:c r="K469" s="15" t="str">
        <x:v>[2015] EWCA Civ 1293</x:v>
      </x:c>
      <x:c r="L469" s="15" t="str">
        <x:v>5be7238d-b78e-4194-90ec-c036be53b377</x:v>
      </x:c>
      <x:c r="M469" s="15" t="str"/>
      <x:c r="N469" s="15" t="str">
        <x:v>legalFramework.precedentCitations[2].sourceCases[0]</x:v>
      </x:c>
      <x:c r="O469" s="15" t="str">
        <x:v>structured_json</x:v>
      </x:c>
      <x:c r="P469" s="15" t="str"/>
      <x:c r="Q469" s="15" t="str">
        <x:v>applied_differently</x:v>
      </x:c>
      <x:c r="R469" s="15" t="str">
        <x:v>Provides insights into VAT recoverability considerations, emphasizing the need for clear reasoning that aligns with operational specifics.</x:v>
      </x:c>
      <x:c r="S469" s="15" t="str"/>
    </x:row>
    <x:row r="470">
      <x:c r="A470" s="1" t="str">
        <x:v>O0469</x:v>
      </x:c>
      <x:c r="B470" s="1" t="str">
        <x:v>cmsbr3045000j04l4tkps7ymp</x:v>
      </x:c>
      <x:c r="C470" s="1" t="str">
        <x:v>cmsbr0keh000404l4bbqhy2a0</x:v>
      </x:c>
      <x:c r="D470" s="1" t="str">
        <x:v>ca-2024-000806-hippodrome-casino-ltd-v-hmrc-appellant-skeleton</x:v>
      </x:c>
      <x:c r="E470" s="1" t="str">
        <x:v>real</x:v>
      </x:c>
      <x:c r="F470" s="15" t="str">
        <x:v>Hippodrome Casino Ltd v HMRC</x:v>
      </x:c>
      <x:c r="G470" s="16" t="n">
        <x:v>46236.501541701386</x:v>
      </x:c>
      <x:c r="H470" s="15" t="str">
        <x:v>case</x:v>
      </x:c>
      <x:c r="I470" s="15" t="str">
        <x:v>case:volkswagen financial services uk ltd v hm revenue &amp; customs</x:v>
      </x:c>
      <x:c r="J470" s="15" t="str">
        <x:v>Volkswagen Financial Services (UK) Ltd v HM Revenue &amp; Customs</x:v>
      </x:c>
      <x:c r="K470" s="15" t="str">
        <x:v>N/A</x:v>
      </x:c>
      <x:c r="L470" s="15" t="str">
        <x:v>b9498527-3250-49cd-9d8e-ed7c0dda200e</x:v>
      </x:c>
      <x:c r="M470" s="15" t="str"/>
      <x:c r="N470" s="15" t="str">
        <x:v>factualFindings.contestedFacts[0].sourceCases[0]</x:v>
      </x:c>
      <x:c r="O470" s="15" t="str">
        <x:v>structured_json</x:v>
      </x:c>
      <x:c r="P470" s="15" t="str"/>
      <x:c r="Q470" s="15" t="str">
        <x:v>applied_differently</x:v>
      </x:c>
      <x:c r="R470" s="15" t="str">
        <x:v>Addresses the conditions under which a departure from the standard VAT attribution method is permitted.</x:v>
      </x:c>
      <x:c r="S470" s="15" t="str"/>
    </x:row>
    <x:row r="471">
      <x:c r="A471" s="1" t="str">
        <x:v>O0470</x:v>
      </x:c>
      <x:c r="B471" s="1" t="str">
        <x:v>cmsbr3045000j04l4tkps7ymp</x:v>
      </x:c>
      <x:c r="C471" s="1" t="str">
        <x:v>cmsbr0keh000404l4bbqhy2a0</x:v>
      </x:c>
      <x:c r="D471" s="1" t="str">
        <x:v>ca-2024-000806-hippodrome-casino-ltd-v-hmrc-appellant-skeleton</x:v>
      </x:c>
      <x:c r="E471" s="1" t="str">
        <x:v>real</x:v>
      </x:c>
      <x:c r="F471" s="15" t="str">
        <x:v>Hippodrome Casino Ltd v HMRC</x:v>
      </x:c>
      <x:c r="G471" s="16" t="n">
        <x:v>46236.501541701386</x:v>
      </x:c>
      <x:c r="H471" s="15" t="str">
        <x:v>case</x:v>
      </x:c>
      <x:c r="I471" s="15" t="str">
        <x:v>case:2022 ewca civ 103</x:v>
      </x:c>
      <x:c r="J471" s="15" t="str">
        <x:v>Regency Factors Plc v HM Revenue &amp; Customs (Rev1)</x:v>
      </x:c>
      <x:c r="K471" s="15" t="str">
        <x:v>[2022] EWCA Civ 103</x:v>
      </x:c>
      <x:c r="L471" s="15" t="str">
        <x:v>bfa85128-3daf-4206-8d8f-d2dc5f32ab27</x:v>
      </x:c>
      <x:c r="M471" s="15" t="str"/>
      <x:c r="N471" s="15" t="str">
        <x:v>factualFindings.contestedFacts[1].sourceCases[0]</x:v>
      </x:c>
      <x:c r="O471" s="15" t="str">
        <x:v>structured_json</x:v>
      </x:c>
      <x:c r="P471" s="15" t="str"/>
      <x:c r="Q471" s="15" t="str">
        <x:v>distinguished</x:v>
      </x:c>
      <x:c r="R471" s="15" t="str">
        <x:v>Highlights administrative provisions in VAT assessments and the need for clarity in operational use interpretations.</x:v>
      </x:c>
      <x:c r="S471" s="15" t="str"/>
    </x:row>
    <x:row r="472">
      <x:c r="A472" s="1" t="str">
        <x:v>O0471</x:v>
      </x:c>
      <x:c r="B472" s="1" t="str">
        <x:v>cmsbr3045000j04l4tkps7ymp</x:v>
      </x:c>
      <x:c r="C472" s="1" t="str">
        <x:v>cmsbr0keh000404l4bbqhy2a0</x:v>
      </x:c>
      <x:c r="D472" s="1" t="str">
        <x:v>ca-2024-000806-hippodrome-casino-ltd-v-hmrc-appellant-skeleton</x:v>
      </x:c>
      <x:c r="E472" s="1" t="str">
        <x:v>real</x:v>
      </x:c>
      <x:c r="F472" s="15" t="str">
        <x:v>Hippodrome Casino Ltd v HMRC</x:v>
      </x:c>
      <x:c r="G472" s="16" t="n">
        <x:v>46236.501541701386</x:v>
      </x:c>
      <x:c r="H472" s="15" t="str">
        <x:v>case</x:v>
      </x:c>
      <x:c r="I472" s="15" t="str">
        <x:v>case:2022 ewca civ 103</x:v>
      </x:c>
      <x:c r="J472" s="15" t="str">
        <x:v>Regency Factors Plc v HM Revenue &amp; Customs (Rev1)</x:v>
      </x:c>
      <x:c r="K472" s="15" t="str">
        <x:v>[2022] EWCA Civ 103</x:v>
      </x:c>
      <x:c r="L472" s="15" t="str">
        <x:v>bfa85128-3daf-4206-8d8f-d2dc5f32ab27</x:v>
      </x:c>
      <x:c r="M472" s="15" t="str"/>
      <x:c r="N472" s="15" t="str">
        <x:v>reasoningStructure[0].sourceCases[0]</x:v>
      </x:c>
      <x:c r="O472" s="15" t="str">
        <x:v>structured_json</x:v>
      </x:c>
      <x:c r="P472" s="15" t="str"/>
      <x:c r="Q472" s="15" t="str">
        <x:v>distinguished</x:v>
      </x:c>
      <x:c r="R472" s="15" t="str">
        <x:v>Provides context for evaluating methodologies due to the complexity inherent in VAT attribution in mixed operational environments.</x:v>
      </x:c>
      <x:c r="S472" s="15" t="str"/>
    </x:row>
    <x:row r="473">
      <x:c r="A473" s="1" t="str">
        <x:v>O0472</x:v>
      </x:c>
      <x:c r="B473" s="1" t="str">
        <x:v>cmsbr3045000j04l4tkps7ymp</x:v>
      </x:c>
      <x:c r="C473" s="1" t="str">
        <x:v>cmsbr0keh000404l4bbqhy2a0</x:v>
      </x:c>
      <x:c r="D473" s="1" t="str">
        <x:v>ca-2024-000806-hippodrome-casino-ltd-v-hmrc-appellant-skeleton</x:v>
      </x:c>
      <x:c r="E473" s="1" t="str">
        <x:v>real</x:v>
      </x:c>
      <x:c r="F473" s="15" t="str">
        <x:v>Hippodrome Casino Ltd v HMRC</x:v>
      </x:c>
      <x:c r="G473" s="16" t="n">
        <x:v>46236.501541701386</x:v>
      </x:c>
      <x:c r="H473" s="15" t="str">
        <x:v>case</x:v>
      </x:c>
      <x:c r="I473" s="15" t="str">
        <x:v>case:revenue and customs v mercedes benz financial services uk ltd</x:v>
      </x:c>
      <x:c r="J473" s="15" t="str">
        <x:v>Revenue and Customs v Mercedes-Benz Financial Services UK Ltd</x:v>
      </x:c>
      <x:c r="K473" s="15" t="str">
        <x:v>N/A</x:v>
      </x:c>
      <x:c r="L473" s="15" t="str">
        <x:v>4ce131bd-2742-476d-a37a-0727c7980ebc</x:v>
      </x:c>
      <x:c r="M473" s="15" t="str"/>
      <x:c r="N473" s="15" t="str">
        <x:v>reasoningStructure[1].sourceCases[0]</x:v>
      </x:c>
      <x:c r="O473" s="15" t="str">
        <x:v>structured_json</x:v>
      </x:c>
      <x:c r="P473" s="15" t="str"/>
      <x:c r="Q473" s="15" t="str">
        <x:v>applied_differently</x:v>
      </x:c>
      <x:c r="R473" s="15" t="str">
        <x:v>Illustrates the importance of a comprehensive factual review in VAT context, relevant to the court's scrutiny of the economic activities.</x:v>
      </x:c>
      <x:c r="S473" s="15" t="str"/>
    </x:row>
    <x:row r="474">
      <x:c r="A474" s="1" t="str">
        <x:v>O0473</x:v>
      </x:c>
      <x:c r="B474" s="1" t="str">
        <x:v>cmsbr3045000j04l4tkps7ymp</x:v>
      </x:c>
      <x:c r="C474" s="1" t="str">
        <x:v>cmsbr0keh000404l4bbqhy2a0</x:v>
      </x:c>
      <x:c r="D474" s="1" t="str">
        <x:v>ca-2024-000806-hippodrome-casino-ltd-v-hmrc-appellant-skeleton</x:v>
      </x:c>
      <x:c r="E474" s="1" t="str">
        <x:v>real</x:v>
      </x:c>
      <x:c r="F474" s="15" t="str">
        <x:v>Hippodrome Casino Ltd v HMRC</x:v>
      </x:c>
      <x:c r="G474" s="16" t="n">
        <x:v>46236.501541701386</x:v>
      </x:c>
      <x:c r="H474" s="15" t="str">
        <x:v>case</x:v>
      </x:c>
      <x:c r="I474" s="15" t="str">
        <x:v>case:2022 ewca civ 103</x:v>
      </x:c>
      <x:c r="J474" s="15" t="str">
        <x:v>Regency Factors Plc v HM Revenue &amp; Customs (Rev1)</x:v>
      </x:c>
      <x:c r="K474" s="15" t="str">
        <x:v>[2022] EWCA Civ 103</x:v>
      </x:c>
      <x:c r="L474" s="15" t="str">
        <x:v>bfa85128-3daf-4206-8d8f-d2dc5f32ab27</x:v>
      </x:c>
      <x:c r="M474" s="15" t="str"/>
      <x:c r="N474" s="15" t="str">
        <x:v>issuesForDetermination.issueMatrix[0].sourceCases[0]</x:v>
      </x:c>
      <x:c r="O474" s="15" t="str">
        <x:v>structured_json</x:v>
      </x:c>
      <x:c r="P474" s="15" t="str"/>
      <x:c r="Q474" s="15" t="str">
        <x:v>distinguished</x:v>
      </x:c>
      <x:c r="R474" s="15" t="str">
        <x:v>This case involves similar issues of VAT attribution methodologies under operational complexities.</x:v>
      </x:c>
      <x:c r="S474" s="15" t="str"/>
    </x:row>
    <x:row r="475">
      <x:c r="A475" s="1" t="str">
        <x:v>O0474</x:v>
      </x:c>
      <x:c r="B475" s="1" t="str">
        <x:v>cmsbr3045000j04l4tkps7ymp</x:v>
      </x:c>
      <x:c r="C475" s="1" t="str">
        <x:v>cmsbr0keh000404l4bbqhy2a0</x:v>
      </x:c>
      <x:c r="D475" s="1" t="str">
        <x:v>ca-2024-000806-hippodrome-casino-ltd-v-hmrc-appellant-skeleton</x:v>
      </x:c>
      <x:c r="E475" s="1" t="str">
        <x:v>real</x:v>
      </x:c>
      <x:c r="F475" s="15" t="str">
        <x:v>Hippodrome Casino Ltd v HMRC</x:v>
      </x:c>
      <x:c r="G475" s="16" t="n">
        <x:v>46236.501541701386</x:v>
      </x:c>
      <x:c r="H475" s="15" t="str">
        <x:v>case</x:v>
      </x:c>
      <x:c r="I475" s="15" t="str">
        <x:v>case:revenue and customs v mercedes benz financial services uk ltd</x:v>
      </x:c>
      <x:c r="J475" s="15" t="str">
        <x:v>Revenue and Customs v Mercedes-Benz Financial Services UK Ltd</x:v>
      </x:c>
      <x:c r="K475" s="15" t="str">
        <x:v>N/A</x:v>
      </x:c>
      <x:c r="L475" s="15" t="str">
        <x:v>4ce131bd-2742-476d-a37a-0727c7980ebc</x:v>
      </x:c>
      <x:c r="M475" s="15" t="str"/>
      <x:c r="N475" s="15" t="str">
        <x:v>issuesForDetermination.issueMatrix[1].sourceCases[0]</x:v>
      </x:c>
      <x:c r="O475" s="15" t="str">
        <x:v>structured_json</x:v>
      </x:c>
      <x:c r="P475" s="15" t="str"/>
      <x:c r="Q475" s="15" t="str">
        <x:v>applied_differently</x:v>
      </x:c>
      <x:c r="R475" s="15" t="str">
        <x:v>Illustrates the need for comprehensive factual consideration in VAT attribution cases.</x:v>
      </x:c>
      <x:c r="S475" s="15" t="str"/>
    </x:row>
    <x:row r="476">
      <x:c r="A476" s="1" t="str">
        <x:v>O0475</x:v>
      </x:c>
      <x:c r="B476" s="1" t="str">
        <x:v>cmsbr4fhb000v04l4mgwtz5x1</x:v>
      </x:c>
      <x:c r="C476" s="1" t="str">
        <x:v>cmsbr0keh000404l4bbqhy2a0</x:v>
      </x:c>
      <x:c r="D476" s="1" t="str">
        <x:v>ca-2024-000806-hippodrome-casino-ltd-v-hmrc-appellant-skeleton</x:v>
      </x:c>
      <x:c r="E476" s="1" t="str">
        <x:v>real</x:v>
      </x:c>
      <x:c r="F476" s="15" t="str">
        <x:v>Hippodrome Casino Ltd v HMRC</x:v>
      </x:c>
      <x:c r="G476" s="16" t="n">
        <x:v>46236.502312199074</x:v>
      </x:c>
      <x:c r="H476" s="15" t="str">
        <x:v>case</x:v>
      </x:c>
      <x:c r="I476" s="15" t="str">
        <x:v>case:2002 ewca civ 605</x:v>
      </x:c>
      <x:c r="J476" s="15" t="str">
        <x:v>English v Emery Reimbold &amp; Strick Ltd [2002] EWCA Civ 605</x:v>
      </x:c>
      <x:c r="K476" s="15" t="str">
        <x:v>English v Emery Reimbold &amp; Strick Ltd [2002] EWCA Civ 605</x:v>
      </x:c>
      <x:c r="L476" s="15" t="str"/>
      <x:c r="M476" s="15" t="str"/>
      <x:c r="N476" s="15" t="str">
        <x:v>legalFramework.precedentCitations[0]</x:v>
      </x:c>
      <x:c r="O476" s="15" t="str">
        <x:v>structured_json</x:v>
      </x:c>
      <x:c r="P476" s="15" t="str">
        <x:v>binding</x:v>
      </x:c>
      <x:c r="Q476" s="15" t="str"/>
      <x:c r="R476" s="15" t="str">
        <x:v>Adequacy of reasoning in judicial decisions is essential for ensuring transparency and accountability.</x:v>
      </x:c>
      <x:c r="S476" s="15" t="str"/>
    </x:row>
    <x:row r="477">
      <x:c r="A477" s="1" t="str">
        <x:v>O0476</x:v>
      </x:c>
      <x:c r="B477" s="1" t="str">
        <x:v>cmsbr4fhb000v04l4mgwtz5x1</x:v>
      </x:c>
      <x:c r="C477" s="1" t="str">
        <x:v>cmsbr0keh000404l4bbqhy2a0</x:v>
      </x:c>
      <x:c r="D477" s="1" t="str">
        <x:v>ca-2024-000806-hippodrome-casino-ltd-v-hmrc-appellant-skeleton</x:v>
      </x:c>
      <x:c r="E477" s="1" t="str">
        <x:v>real</x:v>
      </x:c>
      <x:c r="F477" s="15" t="str">
        <x:v>Hippodrome Casino Ltd v HMRC</x:v>
      </x:c>
      <x:c r="G477" s="16" t="n">
        <x:v>46236.502312199074</x:v>
      </x:c>
      <x:c r="H477" s="15" t="str">
        <x:v>legislation</x:v>
      </x:c>
      <x:c r="I477" s="15" t="str">
        <x:v>legislation:value added tax act 1994 s 24</x:v>
      </x:c>
      <x:c r="J477" s="15" t="str">
        <x:v>Value Added Tax Act 1994</x:v>
      </x:c>
      <x:c r="K477" s="15" t="str">
        <x:v>Value Added Tax Act 1994 s.24</x:v>
      </x:c>
      <x:c r="L477" s="15" t="str"/>
      <x:c r="M477" s="15" t="str">
        <x:v>s.24</x:v>
      </x:c>
      <x:c r="N477" s="15" t="str">
        <x:v>legalFramework.statutoryProvisions[0]</x:v>
      </x:c>
      <x:c r="O477" s="15" t="str">
        <x:v>structured_json</x:v>
      </x:c>
      <x:c r="P477" s="15" t="str"/>
      <x:c r="Q477" s="15" t="str"/>
      <x:c r="R477" s="15" t="str">
        <x:v>Outlines general principles of VAT including the attribution of input tax.</x:v>
      </x:c>
      <x:c r="S477" s="15" t="str">
        <x:v>N/A</x:v>
      </x:c>
    </x:row>
    <x:row r="478">
      <x:c r="A478" s="1" t="str">
        <x:v>O0477</x:v>
      </x:c>
      <x:c r="B478" s="1" t="str">
        <x:v>cmsbr4fhb000v04l4mgwtz5x1</x:v>
      </x:c>
      <x:c r="C478" s="1" t="str">
        <x:v>cmsbr0keh000404l4bbqhy2a0</x:v>
      </x:c>
      <x:c r="D478" s="1" t="str">
        <x:v>ca-2024-000806-hippodrome-casino-ltd-v-hmrc-appellant-skeleton</x:v>
      </x:c>
      <x:c r="E478" s="1" t="str">
        <x:v>real</x:v>
      </x:c>
      <x:c r="F478" s="15" t="str">
        <x:v>Hippodrome Casino Ltd v HMRC</x:v>
      </x:c>
      <x:c r="G478" s="16" t="n">
        <x:v>46236.502312199074</x:v>
      </x:c>
      <x:c r="H478" s="15" t="str">
        <x:v>legislation</x:v>
      </x:c>
      <x:c r="I478" s="15" t="str">
        <x:v>legislation:senior courts act 1981 s 35a</x:v>
      </x:c>
      <x:c r="J478" s="15" t="str">
        <x:v>Senior Courts Act 1981, s.35A</x:v>
      </x:c>
      <x:c r="K478" s="15" t="str">
        <x:v>Senior Courts Act 1981, s.35A</x:v>
      </x:c>
      <x:c r="L478" s="15" t="str"/>
      <x:c r="M478" s="15" t="str"/>
      <x:c r="N478" s="15" t="str">
        <x:v>decisionAndDisposition.interest.statutoryBasis</x:v>
      </x:c>
      <x:c r="O478" s="15" t="str">
        <x:v>structured_json</x:v>
      </x:c>
      <x:c r="P478" s="15" t="str"/>
      <x:c r="Q478" s="15" t="str"/>
      <x:c r="R478" s="15" t="str"/>
      <x:c r="S478" s="15" t="str"/>
    </x:row>
    <x:row r="479">
      <x:c r="A479" s="1" t="str">
        <x:v>O0478</x:v>
      </x:c>
      <x:c r="B479" s="1" t="str">
        <x:v>cmsbr4fhb000v04l4mgwtz5x1</x:v>
      </x:c>
      <x:c r="C479" s="1" t="str">
        <x:v>cmsbr0keh000404l4bbqhy2a0</x:v>
      </x:c>
      <x:c r="D479" s="1" t="str">
        <x:v>ca-2024-000806-hippodrome-casino-ltd-v-hmrc-appellant-skeleton</x:v>
      </x:c>
      <x:c r="E479" s="1" t="str">
        <x:v>real</x:v>
      </x:c>
      <x:c r="F479" s="15" t="str">
        <x:v>Hippodrome Casino Ltd v HMRC</x:v>
      </x:c>
      <x:c r="G479" s="16" t="n">
        <x:v>46236.502312199074</x:v>
      </x:c>
      <x:c r="H479" s="15" t="str">
        <x:v>other</x:v>
      </x:c>
      <x:c r="I479" s="15" t="str">
        <x:v>other:articles 168 173 and 174 of the pvd</x:v>
      </x:c>
      <x:c r="J479" s="15" t="str">
        <x:v>Articles 168, 173, and 174 of the PVD</x:v>
      </x:c>
      <x:c r="K479" s="15" t="str">
        <x:v>Articles 168, 173, and 174 of the PVD</x:v>
      </x:c>
      <x:c r="L479" s="15" t="str"/>
      <x:c r="M479" s="15" t="str"/>
      <x:c r="N479" s="15" t="str">
        <x:v>legalFramework.legalTestSummaries[0].sourceAuthority</x:v>
      </x:c>
      <x:c r="O479" s="15" t="str">
        <x:v>structured_json</x:v>
      </x:c>
      <x:c r="P479" s="15" t="str"/>
      <x:c r="Q479" s="15" t="str"/>
      <x:c r="R479" s="15" t="str"/>
      <x:c r="S479" s="15" t="str"/>
    </x:row>
    <x:row r="480">
      <x:c r="A480" s="1" t="str">
        <x:v>O0479</x:v>
      </x:c>
      <x:c r="B480" s="1" t="str">
        <x:v>cmsbr4fhb000v04l4mgwtz5x1</x:v>
      </x:c>
      <x:c r="C480" s="1" t="str">
        <x:v>cmsbr0keh000404l4bbqhy2a0</x:v>
      </x:c>
      <x:c r="D480" s="1" t="str">
        <x:v>ca-2024-000806-hippodrome-casino-ltd-v-hmrc-appellant-skeleton</x:v>
      </x:c>
      <x:c r="E480" s="1" t="str">
        <x:v>real</x:v>
      </x:c>
      <x:c r="F480" s="15" t="str">
        <x:v>Hippodrome Casino Ltd v HMRC</x:v>
      </x:c>
      <x:c r="G480" s="16" t="n">
        <x:v>46236.502312199074</x:v>
      </x:c>
      <x:c r="H480" s="15" t="str">
        <x:v>case</x:v>
      </x:c>
      <x:c r="I480" s="15" t="str">
        <x:v>case:university of huddersfield higher education corporation v hm revenue and customs</x:v>
      </x:c>
      <x:c r="J480" s="15" t="str">
        <x:v>University of Huddersfield Higher Education Corporation v HM Revenue and Customs</x:v>
      </x:c>
      <x:c r="K480" s="15" t="str">
        <x:v>N/A</x:v>
      </x:c>
      <x:c r="L480" s="15" t="str">
        <x:v>3d0c1d2a-8c23-4f19-a7ba-587826b75f45</x:v>
      </x:c>
      <x:c r="M480" s="15" t="str"/>
      <x:c r="N480" s="15" t="str">
        <x:v>legalFramework.statutoryProvisions[0].sourceCases[0]</x:v>
      </x:c>
      <x:c r="O480" s="15" t="str">
        <x:v>structured_json</x:v>
      </x:c>
      <x:c r="P480" s="15" t="str"/>
      <x:c r="Q480" s="15" t="str">
        <x:v>same_proposition</x:v>
      </x:c>
      <x:c r="R480" s="15" t="str">
        <x:v>Relevant interpretation of VAT recovery principles under similar mixed-use operations.</x:v>
      </x:c>
      <x:c r="S480" s="15" t="str"/>
    </x:row>
    <x:row r="481">
      <x:c r="A481" s="1" t="str">
        <x:v>O0480</x:v>
      </x:c>
      <x:c r="B481" s="1" t="str">
        <x:v>cmsbr4fhb000v04l4mgwtz5x1</x:v>
      </x:c>
      <x:c r="C481" s="1" t="str">
        <x:v>cmsbr0keh000404l4bbqhy2a0</x:v>
      </x:c>
      <x:c r="D481" s="1" t="str">
        <x:v>ca-2024-000806-hippodrome-casino-ltd-v-hmrc-appellant-skeleton</x:v>
      </x:c>
      <x:c r="E481" s="1" t="str">
        <x:v>real</x:v>
      </x:c>
      <x:c r="F481" s="15" t="str">
        <x:v>Hippodrome Casino Ltd v HMRC</x:v>
      </x:c>
      <x:c r="G481" s="16" t="n">
        <x:v>46236.502312199074</x:v>
      </x:c>
      <x:c r="H481" s="15" t="str">
        <x:v>case</x:v>
      </x:c>
      <x:c r="I481" s="15" t="str">
        <x:v>case:2015 ewca civ 515</x:v>
      </x:c>
      <x:c r="J481" s="15" t="str">
        <x:v>Littlewoods Ltd &amp; Ors v HM Revenue and Customs</x:v>
      </x:c>
      <x:c r="K481" s="15" t="str">
        <x:v>[2015] EWCA Civ 515</x:v>
      </x:c>
      <x:c r="L481" s="15" t="str">
        <x:v>88bb4a5f-a731-48de-9e0d-c8537ea915a0</x:v>
      </x:c>
      <x:c r="M481" s="15" t="str"/>
      <x:c r="N481" s="15" t="str">
        <x:v>factualFindings.contestedFacts[0].sourceCases[0]</x:v>
      </x:c>
      <x:c r="O481" s="15" t="str">
        <x:v>structured_json</x:v>
      </x:c>
      <x:c r="P481" s="15" t="str"/>
      <x:c r="Q481" s="15" t="str">
        <x:v>same_proposition</x:v>
      </x:c>
      <x:c r="R481" s="15" t="str">
        <x:v>Addresses complexities in applying VAT law in mixed-use environments, focusing on the importance of economic reality in determining input tax recoverability.</x:v>
      </x:c>
      <x:c r="S481" s="15" t="str"/>
    </x:row>
    <x:row r="482">
      <x:c r="A482" s="1" t="str">
        <x:v>O0481</x:v>
      </x:c>
      <x:c r="B482" s="1" t="str">
        <x:v>cmsbr4fhb000v04l4mgwtz5x1</x:v>
      </x:c>
      <x:c r="C482" s="1" t="str">
        <x:v>cmsbr0keh000404l4bbqhy2a0</x:v>
      </x:c>
      <x:c r="D482" s="1" t="str">
        <x:v>ca-2024-000806-hippodrome-casino-ltd-v-hmrc-appellant-skeleton</x:v>
      </x:c>
      <x:c r="E482" s="1" t="str">
        <x:v>real</x:v>
      </x:c>
      <x:c r="F482" s="15" t="str">
        <x:v>Hippodrome Casino Ltd v HMRC</x:v>
      </x:c>
      <x:c r="G482" s="16" t="n">
        <x:v>46236.502312199074</x:v>
      </x:c>
      <x:c r="H482" s="15" t="str">
        <x:v>case</x:v>
      </x:c>
      <x:c r="I482" s="15" t="str">
        <x:v>case:reed employment ltd v hm revenue and customs</x:v>
      </x:c>
      <x:c r="J482" s="15" t="str">
        <x:v>Reed Employment Ltd v HM Revenue and Customs</x:v>
      </x:c>
      <x:c r="K482" s="15" t="str">
        <x:v>N/A</x:v>
      </x:c>
      <x:c r="L482" s="15" t="str">
        <x:v>5c2719bb-df7d-4d55-a473-dd5087c1d2e8</x:v>
      </x:c>
      <x:c r="M482" s="15" t="str"/>
      <x:c r="N482" s="15" t="str">
        <x:v>factualFindings.contestedFacts[1].sourceCases[0]</x:v>
      </x:c>
      <x:c r="O482" s="15" t="str">
        <x:v>structured_json</x:v>
      </x:c>
      <x:c r="P482" s="15" t="str"/>
      <x:c r="Q482" s="15" t="str">
        <x:v>same_proposition</x:v>
      </x:c>
      <x:c r="R482" s="15" t="str">
        <x:v>Involves application of VAT law in dual-use settings, relevant for its approach towards flexibility in method attribution.</x:v>
      </x:c>
      <x:c r="S482" s="15" t="str"/>
    </x:row>
    <x:row r="483">
      <x:c r="A483" s="1" t="str">
        <x:v>O0482</x:v>
      </x:c>
      <x:c r="B483" s="1" t="str">
        <x:v>cmsbr4fhb000v04l4mgwtz5x1</x:v>
      </x:c>
      <x:c r="C483" s="1" t="str">
        <x:v>cmsbr0keh000404l4bbqhy2a0</x:v>
      </x:c>
      <x:c r="D483" s="1" t="str">
        <x:v>ca-2024-000806-hippodrome-casino-ltd-v-hmrc-appellant-skeleton</x:v>
      </x:c>
      <x:c r="E483" s="1" t="str">
        <x:v>real</x:v>
      </x:c>
      <x:c r="F483" s="15" t="str">
        <x:v>Hippodrome Casino Ltd v HMRC</x:v>
      </x:c>
      <x:c r="G483" s="16" t="n">
        <x:v>46236.502312199074</x:v>
      </x:c>
      <x:c r="H483" s="15" t="str">
        <x:v>case</x:v>
      </x:c>
      <x:c r="I483" s="15" t="str">
        <x:v>case:reed employment ltd v hm revenue and customs</x:v>
      </x:c>
      <x:c r="J483" s="15" t="str">
        <x:v>Reed Employment Ltd v HM Revenue and Customs</x:v>
      </x:c>
      <x:c r="K483" s="15" t="str">
        <x:v>N/A</x:v>
      </x:c>
      <x:c r="L483" s="15" t="str">
        <x:v>5c2719bb-df7d-4d55-a473-dd5087c1d2e8</x:v>
      </x:c>
      <x:c r="M483" s="15" t="str"/>
      <x:c r="N483" s="15" t="str">
        <x:v>reasoningStructure[0].sourceCases[0]</x:v>
      </x:c>
      <x:c r="O483" s="15" t="str">
        <x:v>structured_json</x:v>
      </x:c>
      <x:c r="P483" s="15" t="str"/>
      <x:c r="Q483" s="15" t="str">
        <x:v>applied_differently</x:v>
      </x:c>
      <x:c r="R483" s="15" t="str">
        <x:v>Demonstrates flexibility in VAT law application relative to operational realities.</x:v>
      </x:c>
      <x:c r="S483" s="15" t="str"/>
    </x:row>
    <x:row r="484">
      <x:c r="A484" s="1" t="str">
        <x:v>O0483</x:v>
      </x:c>
      <x:c r="B484" s="1" t="str">
        <x:v>cmsbr4fhb000v04l4mgwtz5x1</x:v>
      </x:c>
      <x:c r="C484" s="1" t="str">
        <x:v>cmsbr0keh000404l4bbqhy2a0</x:v>
      </x:c>
      <x:c r="D484" s="1" t="str">
        <x:v>ca-2024-000806-hippodrome-casino-ltd-v-hmrc-appellant-skeleton</x:v>
      </x:c>
      <x:c r="E484" s="1" t="str">
        <x:v>real</x:v>
      </x:c>
      <x:c r="F484" s="15" t="str">
        <x:v>Hippodrome Casino Ltd v HMRC</x:v>
      </x:c>
      <x:c r="G484" s="16" t="n">
        <x:v>46236.502312199074</x:v>
      </x:c>
      <x:c r="H484" s="15" t="str">
        <x:v>case</x:v>
      </x:c>
      <x:c r="I484" s="15" t="str">
        <x:v>case:2017 ewca civ 2111</x:v>
      </x:c>
      <x:c r="J484" s="15" t="str">
        <x:v>ING Intermediate Holdings Ltd v HM Revenue and Customs</x:v>
      </x:c>
      <x:c r="K484" s="15" t="str">
        <x:v>[2017] EWCA Civ 2111</x:v>
      </x:c>
      <x:c r="L484" s="15" t="str">
        <x:v>38eac6a9-6018-40fe-9d73-ab111162e65d</x:v>
      </x:c>
      <x:c r="M484" s="15" t="str"/>
      <x:c r="N484" s="15" t="str">
        <x:v>reasoningStructure[1].sourceCases[0]</x:v>
      </x:c>
      <x:c r="O484" s="15" t="str">
        <x:v>structured_json</x:v>
      </x:c>
      <x:c r="P484" s="15" t="str"/>
      <x:c r="Q484" s="15" t="str">
        <x:v>distinguished</x:v>
      </x:c>
      <x:c r="R484" s="15" t="str">
        <x:v>Reiterates necessity of transparent reasoning in VAT cases under mixed-use contexts.</x:v>
      </x:c>
      <x:c r="S484" s="15" t="str"/>
    </x:row>
    <x:row r="485">
      <x:c r="A485" s="1" t="str">
        <x:v>O0484</x:v>
      </x:c>
      <x:c r="B485" s="1" t="str">
        <x:v>cmsbr4fhb000v04l4mgwtz5x1</x:v>
      </x:c>
      <x:c r="C485" s="1" t="str">
        <x:v>cmsbr0keh000404l4bbqhy2a0</x:v>
      </x:c>
      <x:c r="D485" s="1" t="str">
        <x:v>ca-2024-000806-hippodrome-casino-ltd-v-hmrc-appellant-skeleton</x:v>
      </x:c>
      <x:c r="E485" s="1" t="str">
        <x:v>real</x:v>
      </x:c>
      <x:c r="F485" s="15" t="str">
        <x:v>Hippodrome Casino Ltd v HMRC</x:v>
      </x:c>
      <x:c r="G485" s="16" t="n">
        <x:v>46236.502312199074</x:v>
      </x:c>
      <x:c r="H485" s="15" t="str">
        <x:v>case</x:v>
      </x:c>
      <x:c r="I485" s="15" t="str">
        <x:v>case:2017 ewca civ 2111</x:v>
      </x:c>
      <x:c r="J485" s="15" t="str">
        <x:v>ING Intermediate Holdings Ltd v HM Revenue and Customs</x:v>
      </x:c>
      <x:c r="K485" s="15" t="str">
        <x:v>[2017] EWCA Civ 2111</x:v>
      </x:c>
      <x:c r="L485" s="15" t="str">
        <x:v>38eac6a9-6018-40fe-9d73-ab111162e65d</x:v>
      </x:c>
      <x:c r="M485" s="15" t="str"/>
      <x:c r="N485" s="15" t="str">
        <x:v>issuesForDetermination.issueMatrix[0].sourceCases[0]</x:v>
      </x:c>
      <x:c r="O485" s="15" t="str">
        <x:v>structured_json</x:v>
      </x:c>
      <x:c r="P485" s="15" t="str"/>
      <x:c r="Q485" s="15" t="str">
        <x:v>applied_differently</x:v>
      </x:c>
      <x:c r="R485" s="15" t="str">
        <x:v>Similar considerations regarding VAT recovery methods in dual operational contexts.</x:v>
      </x:c>
      <x:c r="S485" s="15" t="str"/>
    </x:row>
    <x:row r="486">
      <x:c r="A486" s="1" t="str">
        <x:v>O0485</x:v>
      </x:c>
      <x:c r="B486" s="1" t="str">
        <x:v>cmsbr4fhb000v04l4mgwtz5x1</x:v>
      </x:c>
      <x:c r="C486" s="1" t="str">
        <x:v>cmsbr0keh000404l4bbqhy2a0</x:v>
      </x:c>
      <x:c r="D486" s="1" t="str">
        <x:v>ca-2024-000806-hippodrome-casino-ltd-v-hmrc-appellant-skeleton</x:v>
      </x:c>
      <x:c r="E486" s="1" t="str">
        <x:v>real</x:v>
      </x:c>
      <x:c r="F486" s="15" t="str">
        <x:v>Hippodrome Casino Ltd v HMRC</x:v>
      </x:c>
      <x:c r="G486" s="16" t="n">
        <x:v>46236.502312199074</x:v>
      </x:c>
      <x:c r="H486" s="15" t="str">
        <x:v>case</x:v>
      </x:c>
      <x:c r="I486" s="15" t="str">
        <x:v>case:2022 ewca civ 998</x:v>
      </x:c>
      <x:c r="J486" s="15" t="str">
        <x:v>Tower Bridge GP Ltd v Revenue And Customs</x:v>
      </x:c>
      <x:c r="K486" s="15" t="str">
        <x:v>[2022] EWCA Civ 998</x:v>
      </x:c>
      <x:c r="L486" s="15" t="str">
        <x:v>52d1be75-0d9f-4b51-b6fc-183cfce77220</x:v>
      </x:c>
      <x:c r="M486" s="15" t="str"/>
      <x:c r="N486" s="15" t="str">
        <x:v>issuesForDetermination.issueMatrix[1].sourceCases[0]</x:v>
      </x:c>
      <x:c r="O486" s="15" t="str">
        <x:v>structured_json</x:v>
      </x:c>
      <x:c r="P486" s="15" t="str"/>
      <x:c r="Q486" s="15" t="str">
        <x:v>distinguished</x:v>
      </x:c>
      <x:c r="R486" s="15" t="str">
        <x:v>Emphasis on comprehensive justification in tribunal decisions, relevant to input tax attribution issues.</x:v>
      </x:c>
      <x:c r="S486" s="15" t="str"/>
    </x:row>
    <x:row r="487">
      <x:c r="A487" s="1" t="str">
        <x:v>O0486</x:v>
      </x:c>
      <x:c r="B487" s="1" t="str">
        <x:v>cmsbr6p4p001704l4z7u6108h</x:v>
      </x:c>
      <x:c r="C487" s="1" t="str">
        <x:v>cmsbr0keh000404l4bbqhy2a0</x:v>
      </x:c>
      <x:c r="D487" s="1" t="str">
        <x:v>ca-2024-000806-hippodrome-casino-ltd-v-hmrc-appellant-skeleton</x:v>
      </x:c>
      <x:c r="E487" s="1" t="str">
        <x:v>real</x:v>
      </x:c>
      <x:c r="F487" s="15" t="str">
        <x:v>Hippodrome Casino Ltd v HMRC</x:v>
      </x:c>
      <x:c r="G487" s="16" t="n">
        <x:v>46236.503536944445</x:v>
      </x:c>
      <x:c r="H487" s="15" t="str">
        <x:v>case</x:v>
      </x:c>
      <x:c r="I487" s="15" t="str">
        <x:v>case:hmrc v volkswagen financial services</x:v>
      </x:c>
      <x:c r="J487" s="15" t="str">
        <x:v>HMRC v Volkswagen Financial Services</x:v>
      </x:c>
      <x:c r="K487" s="15" t="str">
        <x:v>HMRC v Volkswagen Financial Services</x:v>
      </x:c>
      <x:c r="L487" s="15" t="str"/>
      <x:c r="M487" s="15" t="str"/>
      <x:c r="N487" s="15" t="str">
        <x:v>legalFramework.precedentCitations[0]</x:v>
      </x:c>
      <x:c r="O487" s="15" t="str">
        <x:v>structured_json</x:v>
      </x:c>
      <x:c r="P487" s="15" t="str">
        <x:v>binding</x:v>
      </x:c>
      <x:c r="Q487" s="15" t="str"/>
      <x:c r="R487" s="15" t="str">
        <x:v>Conditions under which departure from the standard method is permitted.</x:v>
      </x:c>
      <x:c r="S487" s="15" t="str"/>
    </x:row>
    <x:row r="488">
      <x:c r="A488" s="1" t="str">
        <x:v>O0487</x:v>
      </x:c>
      <x:c r="B488" s="1" t="str">
        <x:v>cmsbr6p4p001704l4z7u6108h</x:v>
      </x:c>
      <x:c r="C488" s="1" t="str">
        <x:v>cmsbr0keh000404l4bbqhy2a0</x:v>
      </x:c>
      <x:c r="D488" s="1" t="str">
        <x:v>ca-2024-000806-hippodrome-casino-ltd-v-hmrc-appellant-skeleton</x:v>
      </x:c>
      <x:c r="E488" s="1" t="str">
        <x:v>real</x:v>
      </x:c>
      <x:c r="F488" s="15" t="str">
        <x:v>Hippodrome Casino Ltd v HMRC</x:v>
      </x:c>
      <x:c r="G488" s="16" t="n">
        <x:v>46236.503536944445</x:v>
      </x:c>
      <x:c r="H488" s="15" t="str">
        <x:v>legislation</x:v>
      </x:c>
      <x:c r="I488" s="15" t="str">
        <x:v>legislation:value added tax act 1994 s 24</x:v>
      </x:c>
      <x:c r="J488" s="15" t="str">
        <x:v>Value Added Tax Act 1994</x:v>
      </x:c>
      <x:c r="K488" s="15" t="str">
        <x:v>Value Added Tax Act 1994 s.24</x:v>
      </x:c>
      <x:c r="L488" s="15" t="str"/>
      <x:c r="M488" s="15" t="str">
        <x:v>s.24</x:v>
      </x:c>
      <x:c r="N488" s="15" t="str">
        <x:v>legalFramework.statutoryProvisions[0]</x:v>
      </x:c>
      <x:c r="O488" s="15" t="str">
        <x:v>structured_json</x:v>
      </x:c>
      <x:c r="P488" s="15" t="str"/>
      <x:c r="Q488" s="15" t="str"/>
      <x:c r="R488" s="15" t="str">
        <x:v>Addresses the conditions for VAT recovery.</x:v>
      </x:c>
      <x:c r="S488" s="15" t="str"/>
    </x:row>
    <x:row r="489">
      <x:c r="A489" s="1" t="str">
        <x:v>O0488</x:v>
      </x:c>
      <x:c r="B489" s="1" t="str">
        <x:v>cmsbr6p4p001704l4z7u6108h</x:v>
      </x:c>
      <x:c r="C489" s="1" t="str">
        <x:v>cmsbr0keh000404l4bbqhy2a0</x:v>
      </x:c>
      <x:c r="D489" s="1" t="str">
        <x:v>ca-2024-000806-hippodrome-casino-ltd-v-hmrc-appellant-skeleton</x:v>
      </x:c>
      <x:c r="E489" s="1" t="str">
        <x:v>real</x:v>
      </x:c>
      <x:c r="F489" s="15" t="str">
        <x:v>Hippodrome Casino Ltd v HMRC</x:v>
      </x:c>
      <x:c r="G489" s="16" t="n">
        <x:v>46236.503536944445</x:v>
      </x:c>
      <x:c r="H489" s="15" t="str">
        <x:v>legislation</x:v>
      </x:c>
      <x:c r="I489" s="15" t="str">
        <x:v>legislation:vat regulations 1995 s 8</x:v>
      </x:c>
      <x:c r="J489" s="15" t="str">
        <x:v>VAT Regulations 1995</x:v>
      </x:c>
      <x:c r="K489" s="15" t="str">
        <x:v>VAT Regulations 1995 s.8</x:v>
      </x:c>
      <x:c r="L489" s="15" t="str"/>
      <x:c r="M489" s="15" t="str">
        <x:v>s.8</x:v>
      </x:c>
      <x:c r="N489" s="15" t="str">
        <x:v>legalFramework.statutoryProvisions[1]</x:v>
      </x:c>
      <x:c r="O489" s="15" t="str">
        <x:v>structured_json</x:v>
      </x:c>
      <x:c r="P489" s="15" t="str"/>
      <x:c r="Q489" s="15" t="str"/>
      <x:c r="R489" s="15" t="str">
        <x:v>outlines methods for attributing input tax.</x:v>
      </x:c>
      <x:c r="S489" s="15" t="str"/>
    </x:row>
    <x:row r="490">
      <x:c r="A490" s="1" t="str">
        <x:v>O0489</x:v>
      </x:c>
      <x:c r="B490" s="1" t="str">
        <x:v>cmsbr6p4p001704l4z7u6108h</x:v>
      </x:c>
      <x:c r="C490" s="1" t="str">
        <x:v>cmsbr0keh000404l4bbqhy2a0</x:v>
      </x:c>
      <x:c r="D490" s="1" t="str">
        <x:v>ca-2024-000806-hippodrome-casino-ltd-v-hmrc-appellant-skeleton</x:v>
      </x:c>
      <x:c r="E490" s="1" t="str">
        <x:v>real</x:v>
      </x:c>
      <x:c r="F490" s="15" t="str">
        <x:v>Hippodrome Casino Ltd v HMRC</x:v>
      </x:c>
      <x:c r="G490" s="16" t="n">
        <x:v>46236.503536944445</x:v>
      </x:c>
      <x:c r="H490" s="15" t="str">
        <x:v>legislation</x:v>
      </x:c>
      <x:c r="I490" s="15" t="str">
        <x:v>legislation:senior courts act 1981 s 35a</x:v>
      </x:c>
      <x:c r="J490" s="15" t="str">
        <x:v>Senior Courts Act 1981, s.35A</x:v>
      </x:c>
      <x:c r="K490" s="15" t="str">
        <x:v>Senior Courts Act 1981, s.35A</x:v>
      </x:c>
      <x:c r="L490" s="15" t="str"/>
      <x:c r="M490" s="15" t="str"/>
      <x:c r="N490" s="15" t="str">
        <x:v>decisionAndDisposition.interest.statutoryBasis</x:v>
      </x:c>
      <x:c r="O490" s="15" t="str">
        <x:v>structured_json</x:v>
      </x:c>
      <x:c r="P490" s="15" t="str"/>
      <x:c r="Q490" s="15" t="str"/>
      <x:c r="R490" s="15" t="str"/>
      <x:c r="S490" s="15" t="str"/>
    </x:row>
    <x:row r="491">
      <x:c r="A491" s="1" t="str">
        <x:v>O0490</x:v>
      </x:c>
      <x:c r="B491" s="1" t="str">
        <x:v>cmsbr6p4p001704l4z7u6108h</x:v>
      </x:c>
      <x:c r="C491" s="1" t="str">
        <x:v>cmsbr0keh000404l4bbqhy2a0</x:v>
      </x:c>
      <x:c r="D491" s="1" t="str">
        <x:v>ca-2024-000806-hippodrome-casino-ltd-v-hmrc-appellant-skeleton</x:v>
      </x:c>
      <x:c r="E491" s="1" t="str">
        <x:v>real</x:v>
      </x:c>
      <x:c r="F491" s="15" t="str">
        <x:v>Hippodrome Casino Ltd v HMRC</x:v>
      </x:c>
      <x:c r="G491" s="16" t="n">
        <x:v>46236.503536944445</x:v>
      </x:c>
      <x:c r="H491" s="15" t="str">
        <x:v>case</x:v>
      </x:c>
      <x:c r="I491" s="15" t="str">
        <x:v>case:2016 ewca civ 1310</x:v>
      </x:c>
      <x:c r="J491" s="15" t="str">
        <x:v>Totel Limited v HM Revenue and Customs</x:v>
      </x:c>
      <x:c r="K491" s="15" t="str">
        <x:v>[2016] EWCA Civ 1310</x:v>
      </x:c>
      <x:c r="L491" s="15" t="str">
        <x:v>2f2ce488-73d0-4422-abcd-2b014a9e52d1</x:v>
      </x:c>
      <x:c r="M491" s="15" t="str"/>
      <x:c r="N491" s="15" t="str">
        <x:v>factualFindings.contestedFacts[0].sourceCases[0]</x:v>
      </x:c>
      <x:c r="O491" s="15" t="str">
        <x:v>structured_json</x:v>
      </x:c>
      <x:c r="P491" s="15" t="str"/>
      <x:c r="Q491" s="15" t="str"/>
      <x:c r="R491" s="15" t="str">
        <x:v>Addresses the implications of VAT attribution in complex operational contexts.</x:v>
      </x:c>
      <x:c r="S491" s="15" t="str"/>
    </x:row>
    <x:row r="492">
      <x:c r="A492" s="1" t="str">
        <x:v>O0491</x:v>
      </x:c>
      <x:c r="B492" s="1" t="str">
        <x:v>cmsbr6p4p001704l4z7u6108h</x:v>
      </x:c>
      <x:c r="C492" s="1" t="str">
        <x:v>cmsbr0keh000404l4bbqhy2a0</x:v>
      </x:c>
      <x:c r="D492" s="1" t="str">
        <x:v>ca-2024-000806-hippodrome-casino-ltd-v-hmrc-appellant-skeleton</x:v>
      </x:c>
      <x:c r="E492" s="1" t="str">
        <x:v>real</x:v>
      </x:c>
      <x:c r="F492" s="15" t="str">
        <x:v>Hippodrome Casino Ltd v HMRC</x:v>
      </x:c>
      <x:c r="G492" s="16" t="n">
        <x:v>46236.503536944445</x:v>
      </x:c>
      <x:c r="H492" s="15" t="str">
        <x:v>case</x:v>
      </x:c>
      <x:c r="I492" s="15" t="str">
        <x:v>case:2022 ewca civ 1222</x:v>
      </x:c>
      <x:c r="J492" s="15" t="str">
        <x:v>The Quentin Skinner 2015 Settlement L &amp; Ors v HM Revenue and Customs</x:v>
      </x:c>
      <x:c r="K492" s="15" t="str">
        <x:v>[2022] EWCA Civ 1222</x:v>
      </x:c>
      <x:c r="L492" s="15" t="str">
        <x:v>53011b43-2d84-4830-953a-1b5b550f4f67</x:v>
      </x:c>
      <x:c r="M492" s="15" t="str"/>
      <x:c r="N492" s="15" t="str">
        <x:v>reasoningStructure[0].sourceCases[0]</x:v>
      </x:c>
      <x:c r="O492" s="15" t="str">
        <x:v>structured_json</x:v>
      </x:c>
      <x:c r="P492" s="15" t="str"/>
      <x:c r="Q492" s="15" t="str"/>
      <x:c r="R492" s="15" t="str">
        <x:v>Similar methodology arguments contribute to understanding VAT application.</x:v>
      </x:c>
      <x:c r="S492" s="15" t="str"/>
    </x:row>
    <x:row r="493">
      <x:c r="A493" s="1" t="str">
        <x:v>O0492</x:v>
      </x:c>
      <x:c r="B493" s="1" t="str">
        <x:v>cmsbr6p4p001704l4z7u6108h</x:v>
      </x:c>
      <x:c r="C493" s="1" t="str">
        <x:v>cmsbr0keh000404l4bbqhy2a0</x:v>
      </x:c>
      <x:c r="D493" s="1" t="str">
        <x:v>ca-2024-000806-hippodrome-casino-ltd-v-hmrc-appellant-skeleton</x:v>
      </x:c>
      <x:c r="E493" s="1" t="str">
        <x:v>real</x:v>
      </x:c>
      <x:c r="F493" s="15" t="str">
        <x:v>Hippodrome Casino Ltd v HMRC</x:v>
      </x:c>
      <x:c r="G493" s="16" t="n">
        <x:v>46236.503536944445</x:v>
      </x:c>
      <x:c r="H493" s="15" t="str">
        <x:v>case</x:v>
      </x:c>
      <x:c r="I493" s="15" t="str">
        <x:v>case:2017 ewca civ 54</x:v>
      </x:c>
      <x:c r="J493" s="15" t="str">
        <x:v>Associated Newspapers Ltd v HM Revenue &amp; Customs</x:v>
      </x:c>
      <x:c r="K493" s="15" t="str">
        <x:v>[2017] EWCA Civ 54</x:v>
      </x:c>
      <x:c r="L493" s="15" t="str">
        <x:v>dc715706-f35f-4a5c-8ad7-a824c23f5260</x:v>
      </x:c>
      <x:c r="M493" s="15" t="str"/>
      <x:c r="N493" s="15" t="str">
        <x:v>issuesForDetermination.issueMatrix[0].sourceCases[0]</x:v>
      </x:c>
      <x:c r="O493" s="15" t="str">
        <x:v>structured_json</x:v>
      </x:c>
      <x:c r="P493" s="15" t="str"/>
      <x:c r="Q493" s="15" t="str"/>
      <x:c r="R493" s="15" t="str">
        <x:v>Illustrates the application of VAT principles in complex tax structures.</x:v>
      </x:c>
      <x:c r="S493" s="15" t="str"/>
    </x:row>
    <x:row r="494">
      <x:c r="A494" s="1" t="str">
        <x:v>O0493</x:v>
      </x:c>
      <x:c r="B494" s="1" t="str">
        <x:v>cmsbracw1001r04l4az8ukhd1</x:v>
      </x:c>
      <x:c r="C494" s="1" t="str">
        <x:v>cmsbr7e7h001c04l4kn40wun3</x:v>
      </x:c>
      <x:c r="D494" s="1" t="str">
        <x:v>ca-2023-002207-mr-demetrios-karpasitis-v-hertfordshire-county-appellant-skeleton</x:v>
      </x:c>
      <x:c r="E494" s="1" t="str">
        <x:v>real</x:v>
      </x:c>
      <x:c r="F494" s="15" t="str">
        <x:v>Mr Demetrios Karpasitis v Hertfordshire County Council</x:v>
      </x:c>
      <x:c r="G494" s="16" t="n">
        <x:v>46236.50551333333</x:v>
      </x:c>
      <x:c r="H494" s="15" t="str">
        <x:v>case</x:v>
      </x:c>
      <x:c r="I494" s="15" t="str">
        <x:v>case:gorringe v calderdale metropolitan borough council</x:v>
      </x:c>
      <x:c r="J494" s="15" t="str">
        <x:v>Gorringe v. Calderdale Metropolitan Borough Council</x:v>
      </x:c>
      <x:c r="K494" s="15" t="str">
        <x:v>Gorringe v. Calderdale Metropolitan Borough Council</x:v>
      </x:c>
      <x:c r="L494" s="15" t="str"/>
      <x:c r="M494" s="15" t="str"/>
      <x:c r="N494" s="15" t="str">
        <x:v>legalFramework.precedentCitations[0]</x:v>
      </x:c>
      <x:c r="O494" s="15" t="str">
        <x:v>structured_json</x:v>
      </x:c>
      <x:c r="P494" s="15" t="str">
        <x:v>binding</x:v>
      </x:c>
      <x:c r="Q494" s="15" t="str"/>
      <x:c r="R494" s="15" t="str">
        <x:v>The need for highway authorities to take proactive measures to ensure road safety.</x:v>
      </x:c>
      <x:c r="S494" s="15" t="str"/>
    </x:row>
    <x:row r="495">
      <x:c r="A495" s="1" t="str">
        <x:v>O0494</x:v>
      </x:c>
      <x:c r="B495" s="1" t="str">
        <x:v>cmsbracw1001r04l4az8ukhd1</x:v>
      </x:c>
      <x:c r="C495" s="1" t="str">
        <x:v>cmsbr7e7h001c04l4kn40wun3</x:v>
      </x:c>
      <x:c r="D495" s="1" t="str">
        <x:v>ca-2023-002207-mr-demetrios-karpasitis-v-hertfordshire-county-appellant-skeleton</x:v>
      </x:c>
      <x:c r="E495" s="1" t="str">
        <x:v>real</x:v>
      </x:c>
      <x:c r="F495" s="15" t="str">
        <x:v>Mr Demetrios Karpasitis v Hertfordshire County Council</x:v>
      </x:c>
      <x:c r="G495" s="16" t="n">
        <x:v>46236.50551333333</x:v>
      </x:c>
      <x:c r="H495" s="15" t="str">
        <x:v>case</x:v>
      </x:c>
      <x:c r="I495" s="15" t="str">
        <x:v>case:yetkin v london borough of newham</x:v>
      </x:c>
      <x:c r="J495" s="15" t="str">
        <x:v>Yetkin v London Borough of Newham</x:v>
      </x:c>
      <x:c r="K495" s="15" t="str">
        <x:v>Yetkin v London Borough of Newham</x:v>
      </x:c>
      <x:c r="L495" s="15" t="str"/>
      <x:c r="M495" s="15" t="str"/>
      <x:c r="N495" s="15" t="str">
        <x:v>legalFramework.precedentCitations[1]</x:v>
      </x:c>
      <x:c r="O495" s="15" t="str">
        <x:v>structured_json</x:v>
      </x:c>
      <x:c r="P495" s="15" t="str">
        <x:v>binding</x:v>
      </x:c>
      <x:c r="Q495" s="15" t="str"/>
      <x:c r="R495" s="15" t="str">
        <x:v>Establishes the relevancy of maintenance standards relative to public safety on highways.</x:v>
      </x:c>
      <x:c r="S495" s="15" t="str"/>
    </x:row>
    <x:row r="496">
      <x:c r="A496" s="1" t="str">
        <x:v>O0495</x:v>
      </x:c>
      <x:c r="B496" s="1" t="str">
        <x:v>cmsbracw1001r04l4az8ukhd1</x:v>
      </x:c>
      <x:c r="C496" s="1" t="str">
        <x:v>cmsbr7e7h001c04l4kn40wun3</x:v>
      </x:c>
      <x:c r="D496" s="1" t="str">
        <x:v>ca-2023-002207-mr-demetrios-karpasitis-v-hertfordshire-county-appellant-skeleton</x:v>
      </x:c>
      <x:c r="E496" s="1" t="str">
        <x:v>real</x:v>
      </x:c>
      <x:c r="F496" s="15" t="str">
        <x:v>Mr Demetrios Karpasitis v Hertfordshire County Council</x:v>
      </x:c>
      <x:c r="G496" s="16" t="n">
        <x:v>46236.50551333333</x:v>
      </x:c>
      <x:c r="H496" s="15" t="str">
        <x:v>legislation</x:v>
      </x:c>
      <x:c r="I496" s="15" t="str">
        <x:v>legislation:highways act 1980 41</x:v>
      </x:c>
      <x:c r="J496" s="15" t="str">
        <x:v>Highways Act 1980</x:v>
      </x:c>
      <x:c r="K496" s="15" t="str">
        <x:v>Highways Act 1980 41</x:v>
      </x:c>
      <x:c r="L496" s="15" t="str"/>
      <x:c r="M496" s="15" t="str">
        <x:v>41</x:v>
      </x:c>
      <x:c r="N496" s="15" t="str">
        <x:v>legalFramework.statutoryProvisions[0]</x:v>
      </x:c>
      <x:c r="O496" s="15" t="str">
        <x:v>structured_json</x:v>
      </x:c>
      <x:c r="P496" s="15" t="str"/>
      <x:c r="Q496" s="15" t="str"/>
      <x:c r="R496" s="15" t="str">
        <x:v>Imposes a duty of care on local authorities to maintain the highway and address dangerous defects.</x:v>
      </x:c>
      <x:c r="S496" s="15" t="str"/>
    </x:row>
    <x:row r="497">
      <x:c r="A497" s="1" t="str">
        <x:v>O0496</x:v>
      </x:c>
      <x:c r="B497" s="1" t="str">
        <x:v>cmsbracw1001r04l4az8ukhd1</x:v>
      </x:c>
      <x:c r="C497" s="1" t="str">
        <x:v>cmsbr7e7h001c04l4kn40wun3</x:v>
      </x:c>
      <x:c r="D497" s="1" t="str">
        <x:v>ca-2023-002207-mr-demetrios-karpasitis-v-hertfordshire-county-appellant-skeleton</x:v>
      </x:c>
      <x:c r="E497" s="1" t="str">
        <x:v>real</x:v>
      </x:c>
      <x:c r="F497" s="15" t="str">
        <x:v>Mr Demetrios Karpasitis v Hertfordshire County Council</x:v>
      </x:c>
      <x:c r="G497" s="16" t="n">
        <x:v>46236.50551333333</x:v>
      </x:c>
      <x:c r="H497" s="15" t="str">
        <x:v>legislation</x:v>
      </x:c>
      <x:c r="I497" s="15" t="str">
        <x:v>legislation:highways act 1980 58</x:v>
      </x:c>
      <x:c r="J497" s="15" t="str">
        <x:v>Highways Act 1980</x:v>
      </x:c>
      <x:c r="K497" s="15" t="str">
        <x:v>Highways Act 1980 58</x:v>
      </x:c>
      <x:c r="L497" s="15" t="str"/>
      <x:c r="M497" s="15" t="str">
        <x:v>58</x:v>
      </x:c>
      <x:c r="N497" s="15" t="str">
        <x:v>legalFramework.statutoryProvisions[1]</x:v>
      </x:c>
      <x:c r="O497" s="15" t="str">
        <x:v>structured_json</x:v>
      </x:c>
      <x:c r="P497" s="15" t="str"/>
      <x:c r="Q497" s="15" t="str"/>
      <x:c r="R497" s="15" t="str">
        <x:v>Establishes defenses related to the highway authorities' maintenance duties and standards of care.</x:v>
      </x:c>
      <x:c r="S497" s="15" t="str"/>
    </x:row>
    <x:row r="498">
      <x:c r="A498" s="1" t="str">
        <x:v>O0497</x:v>
      </x:c>
      <x:c r="B498" s="1" t="str">
        <x:v>cmsbracw1001r04l4az8ukhd1</x:v>
      </x:c>
      <x:c r="C498" s="1" t="str">
        <x:v>cmsbr7e7h001c04l4kn40wun3</x:v>
      </x:c>
      <x:c r="D498" s="1" t="str">
        <x:v>ca-2023-002207-mr-demetrios-karpasitis-v-hertfordshire-county-appellant-skeleton</x:v>
      </x:c>
      <x:c r="E498" s="1" t="str">
        <x:v>real</x:v>
      </x:c>
      <x:c r="F498" s="15" t="str">
        <x:v>Mr Demetrios Karpasitis v Hertfordshire County Council</x:v>
      </x:c>
      <x:c r="G498" s="16" t="n">
        <x:v>46236.50551333333</x:v>
      </x:c>
      <x:c r="H498" s="15" t="str">
        <x:v>legislation</x:v>
      </x:c>
      <x:c r="I498" s="15" t="str">
        <x:v>legislation:senior courts act 1981 s 35a</x:v>
      </x:c>
      <x:c r="J498" s="15" t="str">
        <x:v>Senior Courts Act 1981, s.35A</x:v>
      </x:c>
      <x:c r="K498" s="15" t="str">
        <x:v>Senior Courts Act 1981, s.35A</x:v>
      </x:c>
      <x:c r="L498" s="15" t="str"/>
      <x:c r="M498" s="15" t="str"/>
      <x:c r="N498" s="15" t="str">
        <x:v>decisionAndDisposition.interest.statutoryBasis</x:v>
      </x:c>
      <x:c r="O498" s="15" t="str">
        <x:v>structured_json</x:v>
      </x:c>
      <x:c r="P498" s="15" t="str"/>
      <x:c r="Q498" s="15" t="str"/>
      <x:c r="R498" s="15" t="str"/>
      <x:c r="S498" s="15" t="str"/>
    </x:row>
    <x:row r="499">
      <x:c r="A499" s="1" t="str">
        <x:v>O0498</x:v>
      </x:c>
      <x:c r="B499" s="1" t="str">
        <x:v>cmsbracw1001r04l4az8ukhd1</x:v>
      </x:c>
      <x:c r="C499" s="1" t="str">
        <x:v>cmsbr7e7h001c04l4kn40wun3</x:v>
      </x:c>
      <x:c r="D499" s="1" t="str">
        <x:v>ca-2023-002207-mr-demetrios-karpasitis-v-hertfordshire-county-appellant-skeleton</x:v>
      </x:c>
      <x:c r="E499" s="1" t="str">
        <x:v>real</x:v>
      </x:c>
      <x:c r="F499" s="15" t="str">
        <x:v>Mr Demetrios Karpasitis v Hertfordshire County Council</x:v>
      </x:c>
      <x:c r="G499" s="16" t="n">
        <x:v>46236.50551333333</x:v>
      </x:c>
      <x:c r="H499" s="15" t="str">
        <x:v>case</x:v>
      </x:c>
      <x:c r="I499" s="15" t="str">
        <x:v>case:gorringe v calderdale metropolitan borough council</x:v>
      </x:c>
      <x:c r="J499" s="15" t="str">
        <x:v>Gorringe v. Calderdale Metropolitan Borough Council</x:v>
      </x:c>
      <x:c r="K499" s="15" t="str">
        <x:v>Gorringe v. Calderdale Metropolitan Borough Council</x:v>
      </x:c>
      <x:c r="L499" s="15" t="str"/>
      <x:c r="M499" s="15" t="str"/>
      <x:c r="N499" s="15" t="str">
        <x:v>legalFramework.legalTestSummaries[0].sourceAuthority</x:v>
      </x:c>
      <x:c r="O499" s="15" t="str">
        <x:v>structured_json</x:v>
      </x:c>
      <x:c r="P499" s="15" t="str"/>
      <x:c r="Q499" s="15" t="str"/>
      <x:c r="R499" s="15" t="str"/>
      <x:c r="S499" s="15" t="str"/>
    </x:row>
    <x:row r="500">
      <x:c r="A500" s="1" t="str">
        <x:v>O0499</x:v>
      </x:c>
      <x:c r="B500" s="1" t="str">
        <x:v>cmsbracw1001r04l4az8ukhd1</x:v>
      </x:c>
      <x:c r="C500" s="1" t="str">
        <x:v>cmsbr7e7h001c04l4kn40wun3</x:v>
      </x:c>
      <x:c r="D500" s="1" t="str">
        <x:v>ca-2023-002207-mr-demetrios-karpasitis-v-hertfordshire-county-appellant-skeleton</x:v>
      </x:c>
      <x:c r="E500" s="1" t="str">
        <x:v>real</x:v>
      </x:c>
      <x:c r="F500" s="15" t="str">
        <x:v>Mr Demetrios Karpasitis v Hertfordshire County Council</x:v>
      </x:c>
      <x:c r="G500" s="16" t="n">
        <x:v>46236.50551333333</x:v>
      </x:c>
      <x:c r="H500" s="15" t="str">
        <x:v>case</x:v>
      </x:c>
      <x:c r="I500" s="15" t="str">
        <x:v>case:yetkin v london borough of newham</x:v>
      </x:c>
      <x:c r="J500" s="15" t="str">
        <x:v>Yetkin v London Borough of Newham</x:v>
      </x:c>
      <x:c r="K500" s="15" t="str">
        <x:v>Yetkin v London Borough of Newham</x:v>
      </x:c>
      <x:c r="L500" s="15" t="str"/>
      <x:c r="M500" s="15" t="str"/>
      <x:c r="N500" s="15" t="str">
        <x:v>legalFramework.legalTestSummaries[1].sourceAuthority</x:v>
      </x:c>
      <x:c r="O500" s="15" t="str">
        <x:v>structured_json</x:v>
      </x:c>
      <x:c r="P500" s="15" t="str"/>
      <x:c r="Q500" s="15" t="str"/>
      <x:c r="R500" s="15" t="str"/>
      <x:c r="S500" s="15" t="str"/>
    </x:row>
    <x:row r="501">
      <x:c r="A501" s="1" t="str">
        <x:v>O0500</x:v>
      </x:c>
      <x:c r="B501" s="1" t="str">
        <x:v>cmsbracw1001r04l4az8ukhd1</x:v>
      </x:c>
      <x:c r="C501" s="1" t="str">
        <x:v>cmsbr7e7h001c04l4kn40wun3</x:v>
      </x:c>
      <x:c r="D501" s="1" t="str">
        <x:v>ca-2023-002207-mr-demetrios-karpasitis-v-hertfordshire-county-appellant-skeleton</x:v>
      </x:c>
      <x:c r="E501" s="1" t="str">
        <x:v>real</x:v>
      </x:c>
      <x:c r="F501" s="15" t="str">
        <x:v>Mr Demetrios Karpasitis v Hertfordshire County Council</x:v>
      </x:c>
      <x:c r="G501" s="16" t="n">
        <x:v>46236.50551333333</x:v>
      </x:c>
      <x:c r="H501" s="15" t="str">
        <x:v>case</x:v>
      </x:c>
      <x:c r="I501" s="15" t="str">
        <x:v>case:london borough of southwark &amp; anor v transport for london</x:v>
      </x:c>
      <x:c r="J501" s="15" t="str">
        <x:v>London Borough of Southwark &amp; Anor v Transport for London</x:v>
      </x:c>
      <x:c r="K501" s="15" t="str"/>
      <x:c r="L501" s="15" t="str">
        <x:v>31ec4914-0384-4442-a7c4-2067fe7c1aec</x:v>
      </x:c>
      <x:c r="M501" s="15" t="str"/>
      <x:c r="N501" s="15" t="str">
        <x:v>factualFindings.chronology[0].sourceCases[0]</x:v>
      </x:c>
      <x:c r="O501" s="15" t="str">
        <x:v>structured_json</x:v>
      </x:c>
      <x:c r="P501" s="15" t="str"/>
      <x:c r="Q501" s="15" t="str"/>
      <x:c r="R501" s="15" t="str">
        <x:v>Similar public liability case relevant to safety expectations during unusual circumstances.</x:v>
      </x:c>
      <x:c r="S501" s="15" t="str"/>
    </x:row>
    <x:row r="502">
      <x:c r="A502" s="1" t="str">
        <x:v>O0501</x:v>
      </x:c>
      <x:c r="B502" s="1" t="str">
        <x:v>cmsbracw1001r04l4az8ukhd1</x:v>
      </x:c>
      <x:c r="C502" s="1" t="str">
        <x:v>cmsbr7e7h001c04l4kn40wun3</x:v>
      </x:c>
      <x:c r="D502" s="1" t="str">
        <x:v>ca-2023-002207-mr-demetrios-karpasitis-v-hertfordshire-county-appellant-skeleton</x:v>
      </x:c>
      <x:c r="E502" s="1" t="str">
        <x:v>real</x:v>
      </x:c>
      <x:c r="F502" s="15" t="str">
        <x:v>Mr Demetrios Karpasitis v Hertfordshire County Council</x:v>
      </x:c>
      <x:c r="G502" s="16" t="n">
        <x:v>46236.50551333333</x:v>
      </x:c>
      <x:c r="H502" s="15" t="str">
        <x:v>case</x:v>
      </x:c>
      <x:c r="I502" s="15" t="str">
        <x:v>case:gorringe v calderdale metropolitan borough council</x:v>
      </x:c>
      <x:c r="J502" s="15" t="str">
        <x:v>Gorringe v. Calderdale Metropolitan Borough Council</x:v>
      </x:c>
      <x:c r="K502" s="15" t="str"/>
      <x:c r="L502" s="15" t="str">
        <x:v>bc30491e-9ae6-48da-90d0-71d8a8069b22</x:v>
      </x:c>
      <x:c r="M502" s="15" t="str"/>
      <x:c r="N502" s="15" t="str">
        <x:v>factualFindings.contestedFacts[0].sourceCases[0]</x:v>
      </x:c>
      <x:c r="O502" s="15" t="str">
        <x:v>structured_json</x:v>
      </x:c>
      <x:c r="P502" s="15" t="str"/>
      <x:c r="Q502" s="15" t="str"/>
      <x:c r="R502" s="15" t="str">
        <x:v>This case discusses the duty of care owed by highway authorities, relevant to the Appellant's claim against the council.</x:v>
      </x:c>
      <x:c r="S502" s="15" t="str"/>
    </x:row>
    <x:row r="503">
      <x:c r="A503" s="1" t="str">
        <x:v>O0502</x:v>
      </x:c>
      <x:c r="B503" s="1" t="str">
        <x:v>cmsbracw1001r04l4az8ukhd1</x:v>
      </x:c>
      <x:c r="C503" s="1" t="str">
        <x:v>cmsbr7e7h001c04l4kn40wun3</x:v>
      </x:c>
      <x:c r="D503" s="1" t="str">
        <x:v>ca-2023-002207-mr-demetrios-karpasitis-v-hertfordshire-county-appellant-skeleton</x:v>
      </x:c>
      <x:c r="E503" s="1" t="str">
        <x:v>real</x:v>
      </x:c>
      <x:c r="F503" s="15" t="str">
        <x:v>Mr Demetrios Karpasitis v Hertfordshire County Council</x:v>
      </x:c>
      <x:c r="G503" s="16" t="n">
        <x:v>46236.50551333333</x:v>
      </x:c>
      <x:c r="H503" s="15" t="str">
        <x:v>case</x:v>
      </x:c>
      <x:c r="I503" s="15" t="str">
        <x:v>case:2010 ewca civ 776</x:v>
      </x:c>
      <x:c r="J503" s="15" t="str">
        <x:v>Yetkin v London Borough of Newham</x:v>
      </x:c>
      <x:c r="K503" s="15" t="str">
        <x:v>[2010] EWCA Civ 776</x:v>
      </x:c>
      <x:c r="L503" s="15" t="str">
        <x:v>5a42b4bc-fe8f-47be-9b13-869933b2ddff</x:v>
      </x:c>
      <x:c r="M503" s="15" t="str"/>
      <x:c r="N503" s="15" t="str">
        <x:v>factualFindings.contestedFacts[0].sourceCases[1]</x:v>
      </x:c>
      <x:c r="O503" s="15" t="str">
        <x:v>structured_json</x:v>
      </x:c>
      <x:c r="P503" s="15" t="str"/>
      <x:c r="Q503" s="15" t="str"/>
      <x:c r="R503" s="15" t="str">
        <x:v>Addresses obligations under the Highways Act similar to those cited by the Appellant.</x:v>
      </x:c>
      <x:c r="S503" s="15" t="str"/>
    </x:row>
    <x:row r="504">
      <x:c r="A504" s="1" t="str">
        <x:v>O0503</x:v>
      </x:c>
      <x:c r="B504" s="1" t="str">
        <x:v>cmsbracw1001r04l4az8ukhd1</x:v>
      </x:c>
      <x:c r="C504" s="1" t="str">
        <x:v>cmsbr7e7h001c04l4kn40wun3</x:v>
      </x:c>
      <x:c r="D504" s="1" t="str">
        <x:v>ca-2023-002207-mr-demetrios-karpasitis-v-hertfordshire-county-appellant-skeleton</x:v>
      </x:c>
      <x:c r="E504" s="1" t="str">
        <x:v>real</x:v>
      </x:c>
      <x:c r="F504" s="15" t="str">
        <x:v>Mr Demetrios Karpasitis v Hertfordshire County Council</x:v>
      </x:c>
      <x:c r="G504" s="16" t="n">
        <x:v>46236.50551333333</x:v>
      </x:c>
      <x:c r="H504" s="15" t="str">
        <x:v>case</x:v>
      </x:c>
      <x:c r="I504" s="15" t="str">
        <x:v>case:2016 ewhc 1767 qb</x:v>
      </x:c>
      <x:c r="J504" s="15" t="str">
        <x:v>King Lifting Ltd v Oxfordshire County Council</x:v>
      </x:c>
      <x:c r="K504" s="15" t="str">
        <x:v>[2016] EWHC 1767 (QB)</x:v>
      </x:c>
      <x:c r="L504" s="15" t="str">
        <x:v>52d20bb9-6964-44a6-9c32-d191ef76297c</x:v>
      </x:c>
      <x:c r="M504" s="15" t="str"/>
      <x:c r="N504" s="15" t="str">
        <x:v>factualFindings.contestedFacts[1].sourceCases[0]</x:v>
      </x:c>
      <x:c r="O504" s="15" t="str">
        <x:v>structured_json</x:v>
      </x:c>
      <x:c r="P504" s="15" t="str"/>
      <x:c r="Q504" s="15" t="str"/>
      <x:c r="R504" s="15" t="str">
        <x:v>Considers sufficiency of signage and highway maintenance obligations.</x:v>
      </x:c>
      <x:c r="S504" s="15" t="str"/>
    </x:row>
    <x:row r="505">
      <x:c r="A505" s="1" t="str">
        <x:v>O0504</x:v>
      </x:c>
      <x:c r="B505" s="1" t="str">
        <x:v>cmsbracw1001r04l4az8ukhd1</x:v>
      </x:c>
      <x:c r="C505" s="1" t="str">
        <x:v>cmsbr7e7h001c04l4kn40wun3</x:v>
      </x:c>
      <x:c r="D505" s="1" t="str">
        <x:v>ca-2023-002207-mr-demetrios-karpasitis-v-hertfordshire-county-appellant-skeleton</x:v>
      </x:c>
      <x:c r="E505" s="1" t="str">
        <x:v>real</x:v>
      </x:c>
      <x:c r="F505" s="15" t="str">
        <x:v>Mr Demetrios Karpasitis v Hertfordshire County Council</x:v>
      </x:c>
      <x:c r="G505" s="16" t="n">
        <x:v>46236.50551333333</x:v>
      </x:c>
      <x:c r="H505" s="15" t="str">
        <x:v>case</x:v>
      </x:c>
      <x:c r="I505" s="15" t="str">
        <x:v>case:2014 ewca civ 1433</x:v>
      </x:c>
      <x:c r="J505" s="15" t="str">
        <x:v>Redrow Homes Ltd v Knowsley Metropolitan Borough Council</x:v>
      </x:c>
      <x:c r="K505" s="15" t="str">
        <x:v>[2014] EWCA Civ 1433</x:v>
      </x:c>
      <x:c r="L505" s="15" t="str">
        <x:v>70a54b3a-6d86-473d-ac2f-607d9cecd2d7</x:v>
      </x:c>
      <x:c r="M505" s="15" t="str"/>
      <x:c r="N505" s="15" t="str">
        <x:v>factualFindings.contestedFacts[1].sourceCases[1]</x:v>
      </x:c>
      <x:c r="O505" s="15" t="str">
        <x:v>structured_json</x:v>
      </x:c>
      <x:c r="P505" s="15" t="str"/>
      <x:c r="Q505" s="15" t="str"/>
      <x:c r="R505" s="15" t="str">
        <x:v>Similar context involving highway signage and its legal implications.</x:v>
      </x:c>
      <x:c r="S505" s="15" t="str"/>
    </x:row>
    <x:row r="506">
      <x:c r="A506" s="1" t="str">
        <x:v>O0505</x:v>
      </x:c>
      <x:c r="B506" s="1" t="str">
        <x:v>cmsbracw1001r04l4az8ukhd1</x:v>
      </x:c>
      <x:c r="C506" s="1" t="str">
        <x:v>cmsbr7e7h001c04l4kn40wun3</x:v>
      </x:c>
      <x:c r="D506" s="1" t="str">
        <x:v>ca-2023-002207-mr-demetrios-karpasitis-v-hertfordshire-county-appellant-skeleton</x:v>
      </x:c>
      <x:c r="E506" s="1" t="str">
        <x:v>real</x:v>
      </x:c>
      <x:c r="F506" s="15" t="str">
        <x:v>Mr Demetrios Karpasitis v Hertfordshire County Council</x:v>
      </x:c>
      <x:c r="G506" s="16" t="n">
        <x:v>46236.50551333333</x:v>
      </x:c>
      <x:c r="H506" s="15" t="str">
        <x:v>case</x:v>
      </x:c>
      <x:c r="I506" s="15" t="str">
        <x:v>case:gorringe v calderdale metropolitan borough council</x:v>
      </x:c>
      <x:c r="J506" s="15" t="str">
        <x:v>Gorringe v. Calderdale Metropolitan Borough Council</x:v>
      </x:c>
      <x:c r="K506" s="15" t="str"/>
      <x:c r="L506" s="15" t="str">
        <x:v>bc30491e-9ae6-48da-90d0-71d8a8069b22</x:v>
      </x:c>
      <x:c r="M506" s="15" t="str"/>
      <x:c r="N506" s="15" t="str">
        <x:v>reasoningStructure[0].sourceCases[0]</x:v>
      </x:c>
      <x:c r="O506" s="15" t="str">
        <x:v>structured_json</x:v>
      </x:c>
      <x:c r="P506" s="15" t="str"/>
      <x:c r="Q506" s="15" t="str"/>
      <x:c r="R506" s="15" t="str">
        <x:v>Detailing the necessity of proactive safety measures and continuous updates on highway conditions.</x:v>
      </x:c>
      <x:c r="S506" s="15" t="str"/>
    </x:row>
    <x:row r="507">
      <x:c r="A507" s="1" t="str">
        <x:v>O0506</x:v>
      </x:c>
      <x:c r="B507" s="1" t="str">
        <x:v>cmsbracw1001r04l4az8ukhd1</x:v>
      </x:c>
      <x:c r="C507" s="1" t="str">
        <x:v>cmsbr7e7h001c04l4kn40wun3</x:v>
      </x:c>
      <x:c r="D507" s="1" t="str">
        <x:v>ca-2023-002207-mr-demetrios-karpasitis-v-hertfordshire-county-appellant-skeleton</x:v>
      </x:c>
      <x:c r="E507" s="1" t="str">
        <x:v>real</x:v>
      </x:c>
      <x:c r="F507" s="15" t="str">
        <x:v>Mr Demetrios Karpasitis v Hertfordshire County Council</x:v>
      </x:c>
      <x:c r="G507" s="16" t="n">
        <x:v>46236.50551333333</x:v>
      </x:c>
      <x:c r="H507" s="15" t="str">
        <x:v>case</x:v>
      </x:c>
      <x:c r="I507" s="15" t="str">
        <x:v>case:2010 ewca civ 776</x:v>
      </x:c>
      <x:c r="J507" s="15" t="str">
        <x:v>Yetkin v London Borough of Newham</x:v>
      </x:c>
      <x:c r="K507" s="15" t="str">
        <x:v>[2010] EWCA Civ 776</x:v>
      </x:c>
      <x:c r="L507" s="15" t="str">
        <x:v>5a42b4bc-fe8f-47be-9b13-869933b2ddff</x:v>
      </x:c>
      <x:c r="M507" s="15" t="str"/>
      <x:c r="N507" s="15" t="str">
        <x:v>reasoningStructure[1].sourceCases[0]</x:v>
      </x:c>
      <x:c r="O507" s="15" t="str">
        <x:v>structured_json</x:v>
      </x:c>
      <x:c r="P507" s="15" t="str"/>
      <x:c r="Q507" s="15" t="str"/>
      <x:c r="R507" s="15" t="str">
        <x:v>Explores legal expectations surrounding necessary signage for road safety.</x:v>
      </x:c>
      <x:c r="S507" s="15" t="str"/>
    </x:row>
    <x:row r="508">
      <x:c r="A508" s="1" t="str">
        <x:v>O0507</x:v>
      </x:c>
      <x:c r="B508" s="1" t="str">
        <x:v>cmsbracw1001r04l4az8ukhd1</x:v>
      </x:c>
      <x:c r="C508" s="1" t="str">
        <x:v>cmsbr7e7h001c04l4kn40wun3</x:v>
      </x:c>
      <x:c r="D508" s="1" t="str">
        <x:v>ca-2023-002207-mr-demetrios-karpasitis-v-hertfordshire-county-appellant-skeleton</x:v>
      </x:c>
      <x:c r="E508" s="1" t="str">
        <x:v>real</x:v>
      </x:c>
      <x:c r="F508" s="15" t="str">
        <x:v>Mr Demetrios Karpasitis v Hertfordshire County Council</x:v>
      </x:c>
      <x:c r="G508" s="16" t="n">
        <x:v>46236.50551333333</x:v>
      </x:c>
      <x:c r="H508" s="15" t="str">
        <x:v>case</x:v>
      </x:c>
      <x:c r="I508" s="15" t="str">
        <x:v>case:gorringe v calderdale metropolitan borough council</x:v>
      </x:c>
      <x:c r="J508" s="15" t="str">
        <x:v>Gorringe v. Calderdale Metropolitan Borough Council</x:v>
      </x:c>
      <x:c r="K508" s="15" t="str"/>
      <x:c r="L508" s="15" t="str">
        <x:v>bc30491e-9ae6-48da-90d0-71d8a8069b22</x:v>
      </x:c>
      <x:c r="M508" s="15" t="str"/>
      <x:c r="N508" s="15" t="str">
        <x:v>issuesForDetermination.issueMatrix[0].sourceCases[0]</x:v>
      </x:c>
      <x:c r="O508" s="15" t="str">
        <x:v>structured_json</x:v>
      </x:c>
      <x:c r="P508" s="15" t="str"/>
      <x:c r="Q508" s="15" t="str"/>
      <x:c r="R508" s="15" t="str">
        <x:v>Demonstrates applicational factors of statutory duties similar to those operated in this case.</x:v>
      </x:c>
      <x:c r="S508" s="15" t="str"/>
    </x:row>
    <x:row r="509">
      <x:c r="A509" s="1" t="str">
        <x:v>O0508</x:v>
      </x:c>
      <x:c r="B509" s="1" t="str">
        <x:v>cmsbracw1001r04l4az8ukhd1</x:v>
      </x:c>
      <x:c r="C509" s="1" t="str">
        <x:v>cmsbr7e7h001c04l4kn40wun3</x:v>
      </x:c>
      <x:c r="D509" s="1" t="str">
        <x:v>ca-2023-002207-mr-demetrios-karpasitis-v-hertfordshire-county-appellant-skeleton</x:v>
      </x:c>
      <x:c r="E509" s="1" t="str">
        <x:v>real</x:v>
      </x:c>
      <x:c r="F509" s="15" t="str">
        <x:v>Mr Demetrios Karpasitis v Hertfordshire County Council</x:v>
      </x:c>
      <x:c r="G509" s="16" t="n">
        <x:v>46236.50551333333</x:v>
      </x:c>
      <x:c r="H509" s="15" t="str">
        <x:v>case</x:v>
      </x:c>
      <x:c r="I509" s="15" t="str">
        <x:v>case:2010 ewca civ 776</x:v>
      </x:c>
      <x:c r="J509" s="15" t="str">
        <x:v>Yetkin v London Borough of Newham</x:v>
      </x:c>
      <x:c r="K509" s="15" t="str">
        <x:v>[2010] EWCA Civ 776</x:v>
      </x:c>
      <x:c r="L509" s="15" t="str">
        <x:v>5a42b4bc-fe8f-47be-9b13-869933b2ddff</x:v>
      </x:c>
      <x:c r="M509" s="15" t="str"/>
      <x:c r="N509" s="15" t="str">
        <x:v>issuesForDetermination.issueMatrix[1].sourceCases[0]</x:v>
      </x:c>
      <x:c r="O509" s="15" t="str">
        <x:v>structured_json</x:v>
      </x:c>
      <x:c r="P509" s="15" t="str"/>
      <x:c r="Q509" s="15" t="str"/>
      <x:c r="R509" s="15" t="str">
        <x:v>Useful commentaries on signage obligations similar to those posed in the case at hand.</x:v>
      </x:c>
      <x:c r="S509" s="15" t="str"/>
    </x:row>
    <x:row r="510">
      <x:c r="A510" s="1" t="str">
        <x:v>O0509</x:v>
      </x:c>
      <x:c r="B510" s="1" t="str">
        <x:v>cmsbrc37v001x04l4t7r77h89</x:v>
      </x:c>
      <x:c r="C510" s="1" t="str">
        <x:v>cmsbr7e7h001c04l4kn40wun3</x:v>
      </x:c>
      <x:c r="D510" s="1" t="str">
        <x:v>ca-2023-002207-mr-demetrios-karpasitis-v-hertfordshire-county-appellant-skeleton</x:v>
      </x:c>
      <x:c r="E510" s="1" t="str">
        <x:v>real</x:v>
      </x:c>
      <x:c r="F510" s="15" t="str">
        <x:v>Mr Demetrios Karpasitis v Hertfordshire County Council</x:v>
      </x:c>
      <x:c r="G510" s="16" t="n">
        <x:v>46236.506448252316</x:v>
      </x:c>
      <x:c r="H510" s="15" t="str">
        <x:v>case</x:v>
      </x:c>
      <x:c r="I510" s="15" t="str">
        <x:v>case:2004 1 wlr 1057</x:v>
      </x:c>
      <x:c r="J510" s="15" t="str">
        <x:v>Gorringe v. Calderdale Metropolitan Borough Council [2004] 1 WLR 1057</x:v>
      </x:c>
      <x:c r="K510" s="15" t="str">
        <x:v>Gorringe v. Calderdale Metropolitan Borough Council [2004] 1 WLR 1057</x:v>
      </x:c>
      <x:c r="L510" s="15" t="str"/>
      <x:c r="M510" s="15" t="str"/>
      <x:c r="N510" s="15" t="str">
        <x:v>legalFramework.precedentCitations[0]</x:v>
      </x:c>
      <x:c r="O510" s="15" t="str">
        <x:v>structured_json</x:v>
      </x:c>
      <x:c r="P510" s="15" t="str">
        <x:v>binding</x:v>
      </x:c>
      <x:c r="Q510" s="15" t="str"/>
      <x:c r="R510" s="15" t="str">
        <x:v>Highway authorities have a duty to take reasonable care to ensure highways are safe for all users.</x:v>
      </x:c>
      <x:c r="S510" s="15" t="str"/>
    </x:row>
    <x:row r="511">
      <x:c r="A511" s="1" t="str">
        <x:v>O0510</x:v>
      </x:c>
      <x:c r="B511" s="1" t="str">
        <x:v>cmsbrc37v001x04l4t7r77h89</x:v>
      </x:c>
      <x:c r="C511" s="1" t="str">
        <x:v>cmsbr7e7h001c04l4kn40wun3</x:v>
      </x:c>
      <x:c r="D511" s="1" t="str">
        <x:v>ca-2023-002207-mr-demetrios-karpasitis-v-hertfordshire-county-appellant-skeleton</x:v>
      </x:c>
      <x:c r="E511" s="1" t="str">
        <x:v>real</x:v>
      </x:c>
      <x:c r="F511" s="15" t="str">
        <x:v>Mr Demetrios Karpasitis v Hertfordshire County Council</x:v>
      </x:c>
      <x:c r="G511" s="16" t="n">
        <x:v>46236.506448252316</x:v>
      </x:c>
      <x:c r="H511" s="15" t="str">
        <x:v>case</x:v>
      </x:c>
      <x:c r="I511" s="15" t="str">
        <x:v>case:2000 1 wlr 377</x:v>
      </x:c>
      <x:c r="J511" s="15" t="str">
        <x:v>Flannery v Halifax Estate Agencies Ltd [2000] 1 WLR 377</x:v>
      </x:c>
      <x:c r="K511" s="15" t="str">
        <x:v>Flannery v Halifax Estate Agencies Ltd [2000] 1 WLR 377</x:v>
      </x:c>
      <x:c r="L511" s="15" t="str"/>
      <x:c r="M511" s="15" t="str"/>
      <x:c r="N511" s="15" t="str">
        <x:v>legalFramework.precedentCitations[1]</x:v>
      </x:c>
      <x:c r="O511" s="15" t="str">
        <x:v>structured_json</x:v>
      </x:c>
      <x:c r="P511" s="15" t="str">
        <x:v>binding</x:v>
      </x:c>
      <x:c r="Q511" s="15" t="str"/>
      <x:c r="R511" s="15" t="str">
        <x:v>Courts must provide adequate reasoning for decisions.</x:v>
      </x:c>
      <x:c r="S511" s="15" t="str"/>
    </x:row>
    <x:row r="512">
      <x:c r="A512" s="1" t="str">
        <x:v>O0511</x:v>
      </x:c>
      <x:c r="B512" s="1" t="str">
        <x:v>cmsbrc37v001x04l4t7r77h89</x:v>
      </x:c>
      <x:c r="C512" s="1" t="str">
        <x:v>cmsbr7e7h001c04l4kn40wun3</x:v>
      </x:c>
      <x:c r="D512" s="1" t="str">
        <x:v>ca-2023-002207-mr-demetrios-karpasitis-v-hertfordshire-county-appellant-skeleton</x:v>
      </x:c>
      <x:c r="E512" s="1" t="str">
        <x:v>real</x:v>
      </x:c>
      <x:c r="F512" s="15" t="str">
        <x:v>Mr Demetrios Karpasitis v Hertfordshire County Council</x:v>
      </x:c>
      <x:c r="G512" s="16" t="n">
        <x:v>46236.506448252316</x:v>
      </x:c>
      <x:c r="H512" s="15" t="str">
        <x:v>legislation</x:v>
      </x:c>
      <x:c r="I512" s="15" t="str">
        <x:v>legislation:highways act 1980 41</x:v>
      </x:c>
      <x:c r="J512" s="15" t="str">
        <x:v>Highways Act 1980</x:v>
      </x:c>
      <x:c r="K512" s="15" t="str">
        <x:v>Highways Act 1980 41</x:v>
      </x:c>
      <x:c r="L512" s="15" t="str"/>
      <x:c r="M512" s="15" t="str">
        <x:v>41</x:v>
      </x:c>
      <x:c r="N512" s="15" t="str">
        <x:v>legalFramework.statutoryProvisions[0]</x:v>
      </x:c>
      <x:c r="O512" s="15" t="str">
        <x:v>structured_json</x:v>
      </x:c>
      <x:c r="P512" s="15" t="str"/>
      <x:c r="Q512" s="15" t="str"/>
      <x:c r="R512" s="15" t="str">
        <x:v>Duties of highway authorities to maintain the highway in a safe condition.</x:v>
      </x:c>
      <x:c r="S512" s="15" t="str"/>
    </x:row>
    <x:row r="513">
      <x:c r="A513" s="1" t="str">
        <x:v>O0512</x:v>
      </x:c>
      <x:c r="B513" s="1" t="str">
        <x:v>cmsbrc37v001x04l4t7r77h89</x:v>
      </x:c>
      <x:c r="C513" s="1" t="str">
        <x:v>cmsbr7e7h001c04l4kn40wun3</x:v>
      </x:c>
      <x:c r="D513" s="1" t="str">
        <x:v>ca-2023-002207-mr-demetrios-karpasitis-v-hertfordshire-county-appellant-skeleton</x:v>
      </x:c>
      <x:c r="E513" s="1" t="str">
        <x:v>real</x:v>
      </x:c>
      <x:c r="F513" s="15" t="str">
        <x:v>Mr Demetrios Karpasitis v Hertfordshire County Council</x:v>
      </x:c>
      <x:c r="G513" s="16" t="n">
        <x:v>46236.506448252316</x:v>
      </x:c>
      <x:c r="H513" s="15" t="str">
        <x:v>legislation</x:v>
      </x:c>
      <x:c r="I513" s="15" t="str">
        <x:v>legislation:highways act 1980 58</x:v>
      </x:c>
      <x:c r="J513" s="15" t="str">
        <x:v>Highways Act 1980</x:v>
      </x:c>
      <x:c r="K513" s="15" t="str">
        <x:v>Highways Act 1980 58</x:v>
      </x:c>
      <x:c r="L513" s="15" t="str"/>
      <x:c r="M513" s="15" t="str">
        <x:v>58</x:v>
      </x:c>
      <x:c r="N513" s="15" t="str">
        <x:v>legalFramework.statutoryProvisions[1]</x:v>
      </x:c>
      <x:c r="O513" s="15" t="str">
        <x:v>structured_json</x:v>
      </x:c>
      <x:c r="P513" s="15" t="str"/>
      <x:c r="Q513" s="15" t="str"/>
      <x:c r="R513" s="15" t="str">
        <x:v>Provides a statutory defense for the highway authority against claims of negligence if safety measures were adhered to.</x:v>
      </x:c>
      <x:c r="S513" s="15" t="str"/>
    </x:row>
    <x:row r="514">
      <x:c r="A514" s="1" t="str">
        <x:v>O0513</x:v>
      </x:c>
      <x:c r="B514" s="1" t="str">
        <x:v>cmsbrc37v001x04l4t7r77h89</x:v>
      </x:c>
      <x:c r="C514" s="1" t="str">
        <x:v>cmsbr7e7h001c04l4kn40wun3</x:v>
      </x:c>
      <x:c r="D514" s="1" t="str">
        <x:v>ca-2023-002207-mr-demetrios-karpasitis-v-hertfordshire-county-appellant-skeleton</x:v>
      </x:c>
      <x:c r="E514" s="1" t="str">
        <x:v>real</x:v>
      </x:c>
      <x:c r="F514" s="15" t="str">
        <x:v>Mr Demetrios Karpasitis v Hertfordshire County Council</x:v>
      </x:c>
      <x:c r="G514" s="16" t="n">
        <x:v>46236.506448252316</x:v>
      </x:c>
      <x:c r="H514" s="15" t="str">
        <x:v>legislation</x:v>
      </x:c>
      <x:c r="I514" s="15" t="str">
        <x:v>legislation:senior courts act 1981 s 35a</x:v>
      </x:c>
      <x:c r="J514" s="15" t="str">
        <x:v>Senior Courts Act 1981, s.35A</x:v>
      </x:c>
      <x:c r="K514" s="15" t="str">
        <x:v>Senior Courts Act 1981, s.35A</x:v>
      </x:c>
      <x:c r="L514" s="15" t="str"/>
      <x:c r="M514" s="15" t="str"/>
      <x:c r="N514" s="15" t="str">
        <x:v>decisionAndDisposition.interest.statutoryBasis</x:v>
      </x:c>
      <x:c r="O514" s="15" t="str">
        <x:v>structured_json</x:v>
      </x:c>
      <x:c r="P514" s="15" t="str"/>
      <x:c r="Q514" s="15" t="str"/>
      <x:c r="R514" s="15" t="str"/>
      <x:c r="S514" s="15" t="str"/>
    </x:row>
    <x:row r="515">
      <x:c r="A515" s="1" t="str">
        <x:v>O0514</x:v>
      </x:c>
      <x:c r="B515" s="1" t="str">
        <x:v>cmsbrc37v001x04l4t7r77h89</x:v>
      </x:c>
      <x:c r="C515" s="1" t="str">
        <x:v>cmsbr7e7h001c04l4kn40wun3</x:v>
      </x:c>
      <x:c r="D515" s="1" t="str">
        <x:v>ca-2023-002207-mr-demetrios-karpasitis-v-hertfordshire-county-appellant-skeleton</x:v>
      </x:c>
      <x:c r="E515" s="1" t="str">
        <x:v>real</x:v>
      </x:c>
      <x:c r="F515" s="15" t="str">
        <x:v>Mr Demetrios Karpasitis v Hertfordshire County Council</x:v>
      </x:c>
      <x:c r="G515" s="16" t="n">
        <x:v>46236.506448252316</x:v>
      </x:c>
      <x:c r="H515" s="15" t="str">
        <x:v>case</x:v>
      </x:c>
      <x:c r="I515" s="15" t="str">
        <x:v>case:gorringe v calderdale metropolitan borough council</x:v>
      </x:c>
      <x:c r="J515" s="15" t="str">
        <x:v>Gorringe v. Calderdale Metropolitan Borough Council</x:v>
      </x:c>
      <x:c r="K515" s="15" t="str"/>
      <x:c r="L515" s="15" t="str">
        <x:v>bc30491e-9ae6-48da-90d0-71d8a8069b22</x:v>
      </x:c>
      <x:c r="M515" s="15" t="str"/>
      <x:c r="N515" s="15" t="str">
        <x:v>factualFindings.contestedFacts[0].sourceCases[0]</x:v>
      </x:c>
      <x:c r="O515" s="15" t="str">
        <x:v>structured_json</x:v>
      </x:c>
      <x:c r="P515" s="15" t="str"/>
      <x:c r="Q515" s="15" t="str">
        <x:v>applied_differently</x:v>
      </x:c>
      <x:c r="R515" s="15" t="str">
        <x:v>Involves the duty of highway authorities to maintain safe conditions for road users.</x:v>
      </x:c>
      <x:c r="S515" s="15" t="str"/>
    </x:row>
    <x:row r="516">
      <x:c r="A516" s="1" t="str">
        <x:v>O0515</x:v>
      </x:c>
      <x:c r="B516" s="1" t="str">
        <x:v>cmsbrc37v001x04l4t7r77h89</x:v>
      </x:c>
      <x:c r="C516" s="1" t="str">
        <x:v>cmsbr7e7h001c04l4kn40wun3</x:v>
      </x:c>
      <x:c r="D516" s="1" t="str">
        <x:v>ca-2023-002207-mr-demetrios-karpasitis-v-hertfordshire-county-appellant-skeleton</x:v>
      </x:c>
      <x:c r="E516" s="1" t="str">
        <x:v>real</x:v>
      </x:c>
      <x:c r="F516" s="15" t="str">
        <x:v>Mr Demetrios Karpasitis v Hertfordshire County Council</x:v>
      </x:c>
      <x:c r="G516" s="16" t="n">
        <x:v>46236.506448252316</x:v>
      </x:c>
      <x:c r="H516" s="15" t="str">
        <x:v>case</x:v>
      </x:c>
      <x:c r="I516" s="15" t="str">
        <x:v>case:2010 ewca civ 776</x:v>
      </x:c>
      <x:c r="J516" s="15" t="str">
        <x:v>Yetkin v London Borough of Newham</x:v>
      </x:c>
      <x:c r="K516" s="15" t="str">
        <x:v>[2010] EWCA Civ 776</x:v>
      </x:c>
      <x:c r="L516" s="15" t="str">
        <x:v>5a42b4bc-fe8f-47be-9b13-869933b2ddff</x:v>
      </x:c>
      <x:c r="M516" s="15" t="str"/>
      <x:c r="N516" s="15" t="str">
        <x:v>factualFindings.contestedFacts[1].sourceCases[0]</x:v>
      </x:c>
      <x:c r="O516" s="15" t="str">
        <x:v>structured_json</x:v>
      </x:c>
      <x:c r="P516" s="15" t="str"/>
      <x:c r="Q516" s="15" t="str">
        <x:v>distinguished</x:v>
      </x:c>
      <x:c r="R516" s="15" t="str">
        <x:v>Discusses the sufficiency of signage in similar negligence claims.</x:v>
      </x:c>
      <x:c r="S516" s="15" t="str"/>
    </x:row>
    <x:row r="517">
      <x:c r="A517" s="1" t="str">
        <x:v>O0516</x:v>
      </x:c>
      <x:c r="B517" s="1" t="str">
        <x:v>cmsbrc37v001x04l4t7r77h89</x:v>
      </x:c>
      <x:c r="C517" s="1" t="str">
        <x:v>cmsbr7e7h001c04l4kn40wun3</x:v>
      </x:c>
      <x:c r="D517" s="1" t="str">
        <x:v>ca-2023-002207-mr-demetrios-karpasitis-v-hertfordshire-county-appellant-skeleton</x:v>
      </x:c>
      <x:c r="E517" s="1" t="str">
        <x:v>real</x:v>
      </x:c>
      <x:c r="F517" s="15" t="str">
        <x:v>Mr Demetrios Karpasitis v Hertfordshire County Council</x:v>
      </x:c>
      <x:c r="G517" s="16" t="n">
        <x:v>46236.506448252316</x:v>
      </x:c>
      <x:c r="H517" s="15" t="str">
        <x:v>case</x:v>
      </x:c>
      <x:c r="I517" s="15" t="str">
        <x:v>case:gorringe v calderdale metropolitan borough council</x:v>
      </x:c>
      <x:c r="J517" s="15" t="str">
        <x:v>Gorringe v. Calderdale Metropolitan Borough Council</x:v>
      </x:c>
      <x:c r="K517" s="15" t="str"/>
      <x:c r="L517" s="15" t="str">
        <x:v>bc30491e-9ae6-48da-90d0-71d8a8069b22</x:v>
      </x:c>
      <x:c r="M517" s="15" t="str"/>
      <x:c r="N517" s="15" t="str">
        <x:v>reasoningStructure[0].sourceCases[0]</x:v>
      </x:c>
      <x:c r="O517" s="15" t="str">
        <x:v>structured_json</x:v>
      </x:c>
      <x:c r="P517" s="15" t="str"/>
      <x:c r="Q517" s="15" t="str">
        <x:v>applied_differently</x:v>
      </x:c>
      <x:c r="R517" s="15" t="str">
        <x:v>Applicable precedent concerning highway authority duties in negligence.</x:v>
      </x:c>
      <x:c r="S517" s="15" t="str"/>
    </x:row>
    <x:row r="518">
      <x:c r="A518" s="1" t="str">
        <x:v>O0517</x:v>
      </x:c>
      <x:c r="B518" s="1" t="str">
        <x:v>cmsbrc37v001x04l4t7r77h89</x:v>
      </x:c>
      <x:c r="C518" s="1" t="str">
        <x:v>cmsbr7e7h001c04l4kn40wun3</x:v>
      </x:c>
      <x:c r="D518" s="1" t="str">
        <x:v>ca-2023-002207-mr-demetrios-karpasitis-v-hertfordshire-county-appellant-skeleton</x:v>
      </x:c>
      <x:c r="E518" s="1" t="str">
        <x:v>real</x:v>
      </x:c>
      <x:c r="F518" s="15" t="str">
        <x:v>Mr Demetrios Karpasitis v Hertfordshire County Council</x:v>
      </x:c>
      <x:c r="G518" s="16" t="n">
        <x:v>46236.506448252316</x:v>
      </x:c>
      <x:c r="H518" s="15" t="str">
        <x:v>case</x:v>
      </x:c>
      <x:c r="I518" s="15" t="str">
        <x:v>case:2010 ewca civ 776</x:v>
      </x:c>
      <x:c r="J518" s="15" t="str">
        <x:v>Yetkin v London Borough of Newham</x:v>
      </x:c>
      <x:c r="K518" s="15" t="str">
        <x:v>[2010] EWCA Civ 776</x:v>
      </x:c>
      <x:c r="L518" s="15" t="str">
        <x:v>5a42b4bc-fe8f-47be-9b13-869933b2ddff</x:v>
      </x:c>
      <x:c r="M518" s="15" t="str"/>
      <x:c r="N518" s="15" t="str">
        <x:v>reasoningStructure[1].sourceCases[0]</x:v>
      </x:c>
      <x:c r="O518" s="15" t="str">
        <x:v>structured_json</x:v>
      </x:c>
      <x:c r="P518" s="15" t="str"/>
      <x:c r="Q518" s="15" t="str">
        <x:v>distinguished</x:v>
      </x:c>
      <x:c r="R518" s="15" t="str">
        <x:v>Explores the adequacy of signage in public safety considerations.</x:v>
      </x:c>
      <x:c r="S518" s="15" t="str"/>
    </x:row>
    <x:row r="519">
      <x:c r="A519" s="1" t="str">
        <x:v>O0518</x:v>
      </x:c>
      <x:c r="B519" s="1" t="str">
        <x:v>cmsbrc37v001x04l4t7r77h89</x:v>
      </x:c>
      <x:c r="C519" s="1" t="str">
        <x:v>cmsbr7e7h001c04l4kn40wun3</x:v>
      </x:c>
      <x:c r="D519" s="1" t="str">
        <x:v>ca-2023-002207-mr-demetrios-karpasitis-v-hertfordshire-county-appellant-skeleton</x:v>
      </x:c>
      <x:c r="E519" s="1" t="str">
        <x:v>real</x:v>
      </x:c>
      <x:c r="F519" s="15" t="str">
        <x:v>Mr Demetrios Karpasitis v Hertfordshire County Council</x:v>
      </x:c>
      <x:c r="G519" s="16" t="n">
        <x:v>46236.506448252316</x:v>
      </x:c>
      <x:c r="H519" s="15" t="str">
        <x:v>case</x:v>
      </x:c>
      <x:c r="I519" s="15" t="str">
        <x:v>case:2016 ewhc 1767 qb</x:v>
      </x:c>
      <x:c r="J519" s="15" t="str">
        <x:v>King Lifting Ltd v Oxfordshire County Council</x:v>
      </x:c>
      <x:c r="K519" s="15" t="str">
        <x:v>[2016] EWHC 1767 (QB)</x:v>
      </x:c>
      <x:c r="L519" s="15" t="str">
        <x:v>52d20bb9-6964-44a6-9c32-d191ef76297c</x:v>
      </x:c>
      <x:c r="M519" s="15" t="str"/>
      <x:c r="N519" s="15" t="str">
        <x:v>issuesForDetermination.issueMatrix[0].sourceCases[0]</x:v>
      </x:c>
      <x:c r="O519" s="15" t="str">
        <x:v>structured_json</x:v>
      </x:c>
      <x:c r="P519" s="15" t="str"/>
      <x:c r="Q519" s="15" t="str">
        <x:v>same_proposition</x:v>
      </x:c>
      <x:c r="R519" s="15" t="str">
        <x:v>Discusses necessity of proving breach in the context of highway maintenance duties.</x:v>
      </x:c>
      <x:c r="S519" s="15" t="str"/>
    </x:row>
    <x:row r="520">
      <x:c r="A520" s="1" t="str">
        <x:v>O0519</x:v>
      </x:c>
      <x:c r="B520" s="1" t="str">
        <x:v>cmsbrc37v001x04l4t7r77h89</x:v>
      </x:c>
      <x:c r="C520" s="1" t="str">
        <x:v>cmsbr7e7h001c04l4kn40wun3</x:v>
      </x:c>
      <x:c r="D520" s="1" t="str">
        <x:v>ca-2023-002207-mr-demetrios-karpasitis-v-hertfordshire-county-appellant-skeleton</x:v>
      </x:c>
      <x:c r="E520" s="1" t="str">
        <x:v>real</x:v>
      </x:c>
      <x:c r="F520" s="15" t="str">
        <x:v>Mr Demetrios Karpasitis v Hertfordshire County Council</x:v>
      </x:c>
      <x:c r="G520" s="16" t="n">
        <x:v>46236.506448252316</x:v>
      </x:c>
      <x:c r="H520" s="15" t="str">
        <x:v>case</x:v>
      </x:c>
      <x:c r="I520" s="15" t="str">
        <x:v>case:2010 ewca civ 776</x:v>
      </x:c>
      <x:c r="J520" s="15" t="str">
        <x:v>Yetkin v London Borough of Newham</x:v>
      </x:c>
      <x:c r="K520" s="15" t="str">
        <x:v>[2010] EWCA Civ 776</x:v>
      </x:c>
      <x:c r="L520" s="15" t="str">
        <x:v>5a42b4bc-fe8f-47be-9b13-869933b2ddff</x:v>
      </x:c>
      <x:c r="M520" s="15" t="str"/>
      <x:c r="N520" s="15" t="str">
        <x:v>issuesForDetermination.issueMatrix[1].sourceCases[0]</x:v>
      </x:c>
      <x:c r="O520" s="15" t="str">
        <x:v>structured_json</x:v>
      </x:c>
      <x:c r="P520" s="15" t="str"/>
      <x:c r="Q520" s="15" t="str">
        <x:v>distinguished</x:v>
      </x:c>
      <x:c r="R520" s="15" t="str">
        <x:v>Examines the sufficiency of signage in relation to public safety in negligence claims.</x:v>
      </x:c>
      <x:c r="S520" s="15" t="str"/>
    </x:row>
    <x:row r="521">
      <x:c r="A521" s="1" t="str">
        <x:v>O0520</x:v>
      </x:c>
      <x:c r="B521" s="1" t="str">
        <x:v>cmsbrqmhv000j04jp78i2n3gf</x:v>
      </x:c>
      <x:c r="C521" s="1" t="str">
        <x:v>cmsbrohcb000404jpvqnmrx27</x:v>
      </x:c>
      <x:c r="D521" s="1" t="str">
        <x:v>ca-2024-001951-ksy-juice-blends-uk-limited-v-skeleton</x:v>
      </x:c>
      <x:c r="E521" s="1" t="str">
        <x:v>real</x:v>
      </x:c>
      <x:c r="F521" s="15" t="str">
        <x:v>KSY Juice Blends UK Limited v Citrusuco GmbH</x:v>
      </x:c>
      <x:c r="G521" s="16" t="n">
        <x:v>46236.51429741898</x:v>
      </x:c>
      <x:c r="H521" s="15" t="str">
        <x:v>case</x:v>
      </x:c>
      <x:c r="I521" s="15" t="str">
        <x:v>case:2002 ewca civ 605</x:v>
      </x:c>
      <x:c r="J521" s="15" t="str">
        <x:v>English v Emery Reimbold &amp; Strick Ltd [2002] EWCA Civ 605</x:v>
      </x:c>
      <x:c r="K521" s="15" t="str">
        <x:v>English v Emery Reimbold &amp; Strick Ltd [2002] EWCA Civ 605</x:v>
      </x:c>
      <x:c r="L521" s="15" t="str"/>
      <x:c r="M521" s="15" t="str"/>
      <x:c r="N521" s="15" t="str">
        <x:v>legalFramework.precedentCitations[0]</x:v>
      </x:c>
      <x:c r="O521" s="15" t="str">
        <x:v>structured_json</x:v>
      </x:c>
      <x:c r="P521" s="15" t="str">
        <x:v>binding</x:v>
      </x:c>
      <x:c r="Q521" s="15" t="str"/>
      <x:c r="R521" s="15" t="str">
        <x:v>Adequacy of reasons in judgments</x:v>
      </x:c>
      <x:c r="S521" s="15" t="str"/>
    </x:row>
    <x:row r="522">
      <x:c r="A522" s="1" t="str">
        <x:v>O0521</x:v>
      </x:c>
      <x:c r="B522" s="1" t="str">
        <x:v>cmsbrqmhv000j04jp78i2n3gf</x:v>
      </x:c>
      <x:c r="C522" s="1" t="str">
        <x:v>cmsbrohcb000404jpvqnmrx27</x:v>
      </x:c>
      <x:c r="D522" s="1" t="str">
        <x:v>ca-2024-001951-ksy-juice-blends-uk-limited-v-skeleton</x:v>
      </x:c>
      <x:c r="E522" s="1" t="str">
        <x:v>real</x:v>
      </x:c>
      <x:c r="F522" s="15" t="str">
        <x:v>KSY Juice Blends UK Limited v Citrusuco GmbH</x:v>
      </x:c>
      <x:c r="G522" s="16" t="n">
        <x:v>46236.51429741898</x:v>
      </x:c>
      <x:c r="H522" s="15" t="str">
        <x:v>case</x:v>
      </x:c>
      <x:c r="I522" s="15" t="str">
        <x:v>case:2000 1 wlr 377</x:v>
      </x:c>
      <x:c r="J522" s="15" t="str">
        <x:v>Flannery v Halifax Estate Agencies Ltd [2000] 1 WLR 377</x:v>
      </x:c>
      <x:c r="K522" s="15" t="str">
        <x:v>Flannery v Halifax Estate Agencies Ltd [2000] 1 WLR 377</x:v>
      </x:c>
      <x:c r="L522" s="15" t="str"/>
      <x:c r="M522" s="15" t="str"/>
      <x:c r="N522" s="15" t="str">
        <x:v>legalFramework.precedentCitations[1]</x:v>
      </x:c>
      <x:c r="O522" s="15" t="str">
        <x:v>structured_json</x:v>
      </x:c>
      <x:c r="P522" s="15" t="str">
        <x:v>binding</x:v>
      </x:c>
      <x:c r="Q522" s="15" t="str"/>
      <x:c r="R522" s="15" t="str">
        <x:v>Duty to give reasons</x:v>
      </x:c>
      <x:c r="S522" s="15" t="str"/>
    </x:row>
    <x:row r="523">
      <x:c r="A523" s="1" t="str">
        <x:v>O0522</x:v>
      </x:c>
      <x:c r="B523" s="1" t="str">
        <x:v>cmsbrqmhv000j04jp78i2n3gf</x:v>
      </x:c>
      <x:c r="C523" s="1" t="str">
        <x:v>cmsbrohcb000404jpvqnmrx27</x:v>
      </x:c>
      <x:c r="D523" s="1" t="str">
        <x:v>ca-2024-001951-ksy-juice-blends-uk-limited-v-skeleton</x:v>
      </x:c>
      <x:c r="E523" s="1" t="str">
        <x:v>real</x:v>
      </x:c>
      <x:c r="F523" s="15" t="str">
        <x:v>KSY Juice Blends UK Limited v Citrusuco GmbH</x:v>
      </x:c>
      <x:c r="G523" s="16" t="n">
        <x:v>46236.51429741898</x:v>
      </x:c>
      <x:c r="H523" s="15" t="str">
        <x:v>legislation</x:v>
      </x:c>
      <x:c r="I523" s="15" t="str">
        <x:v>legislation:sale of goods act 1979 s 8 2</x:v>
      </x:c>
      <x:c r="J523" s="15" t="str">
        <x:v>Sale of Goods Act 1979</x:v>
      </x:c>
      <x:c r="K523" s="15" t="str">
        <x:v>Sale of Goods Act 1979 Section 8(2)</x:v>
      </x:c>
      <x:c r="L523" s="15" t="str"/>
      <x:c r="M523" s="15" t="str">
        <x:v>Section 8(2)</x:v>
      </x:c>
      <x:c r="N523" s="15" t="str">
        <x:v>legalFramework.statutoryProvisions[0]</x:v>
      </x:c>
      <x:c r="O523" s="15" t="str">
        <x:v>structured_json</x:v>
      </x:c>
      <x:c r="P523" s="15" t="str"/>
      <x:c r="Q523" s="15" t="str"/>
      <x:c r="R523" s="15" t="str">
        <x:v>Imposes an obligation to establish a reasonable price when not specified.</x:v>
      </x:c>
      <x:c r="S523" s="15" t="str"/>
    </x:row>
    <x:row r="524">
      <x:c r="A524" s="1" t="str">
        <x:v>O0523</x:v>
      </x:c>
      <x:c r="B524" s="1" t="str">
        <x:v>cmsbrqmhv000j04jp78i2n3gf</x:v>
      </x:c>
      <x:c r="C524" s="1" t="str">
        <x:v>cmsbrohcb000404jpvqnmrx27</x:v>
      </x:c>
      <x:c r="D524" s="1" t="str">
        <x:v>ca-2024-001951-ksy-juice-blends-uk-limited-v-skeleton</x:v>
      </x:c>
      <x:c r="E524" s="1" t="str">
        <x:v>real</x:v>
      </x:c>
      <x:c r="F524" s="15" t="str">
        <x:v>KSY Juice Blends UK Limited v Citrusuco GmbH</x:v>
      </x:c>
      <x:c r="G524" s="16" t="n">
        <x:v>46236.51429741898</x:v>
      </x:c>
      <x:c r="H524" s="15" t="str">
        <x:v>legislation</x:v>
      </x:c>
      <x:c r="I524" s="15" t="str">
        <x:v>legislation:senior courts act 1981 s 35a</x:v>
      </x:c>
      <x:c r="J524" s="15" t="str">
        <x:v>Senior Courts Act 1981</x:v>
      </x:c>
      <x:c r="K524" s="15" t="str">
        <x:v>Senior Courts Act 1981 s.35A</x:v>
      </x:c>
      <x:c r="L524" s="15" t="str"/>
      <x:c r="M524" s="15" t="str">
        <x:v>s.35A</x:v>
      </x:c>
      <x:c r="N524" s="15" t="str">
        <x:v>legalFramework.statutoryProvisions[1]</x:v>
      </x:c>
      <x:c r="O524" s="15" t="str">
        <x:v>structured_json</x:v>
      </x:c>
      <x:c r="P524" s="15" t="str"/>
      <x:c r="Q524" s="15" t="str"/>
      <x:c r="R524" s="15" t="str">
        <x:v>Permits recovery of interest on debts and damages.</x:v>
      </x:c>
      <x:c r="S524" s="15" t="str"/>
    </x:row>
    <x:row r="525">
      <x:c r="A525" s="1" t="str">
        <x:v>O0524</x:v>
      </x:c>
      <x:c r="B525" s="1" t="str">
        <x:v>cmsbrqmhv000j04jp78i2n3gf</x:v>
      </x:c>
      <x:c r="C525" s="1" t="str">
        <x:v>cmsbrohcb000404jpvqnmrx27</x:v>
      </x:c>
      <x:c r="D525" s="1" t="str">
        <x:v>ca-2024-001951-ksy-juice-blends-uk-limited-v-skeleton</x:v>
      </x:c>
      <x:c r="E525" s="1" t="str">
        <x:v>real</x:v>
      </x:c>
      <x:c r="F525" s="15" t="str">
        <x:v>KSY Juice Blends UK Limited v Citrusuco GmbH</x:v>
      </x:c>
      <x:c r="G525" s="16" t="n">
        <x:v>46236.51429741898</x:v>
      </x:c>
      <x:c r="H525" s="15" t="str">
        <x:v>legislation</x:v>
      </x:c>
      <x:c r="I525" s="15" t="str">
        <x:v>legislation:senior courts act 1981 s 35a</x:v>
      </x:c>
      <x:c r="J525" s="15" t="str">
        <x:v>Senior Courts Act 1981, s.35A</x:v>
      </x:c>
      <x:c r="K525" s="15" t="str">
        <x:v>Senior Courts Act 1981, s.35A</x:v>
      </x:c>
      <x:c r="L525" s="15" t="str"/>
      <x:c r="M525" s="15" t="str"/>
      <x:c r="N525" s="15" t="str">
        <x:v>decisionAndDisposition.interest.statutoryBasis</x:v>
      </x:c>
      <x:c r="O525" s="15" t="str">
        <x:v>structured_json</x:v>
      </x:c>
      <x:c r="P525" s="15" t="str"/>
      <x:c r="Q525" s="15" t="str"/>
      <x:c r="R525" s="15" t="str"/>
      <x:c r="S525" s="15" t="str"/>
    </x:row>
    <x:row r="526">
      <x:c r="A526" s="1" t="str">
        <x:v>O0525</x:v>
      </x:c>
      <x:c r="B526" s="1" t="str">
        <x:v>cmsbrqmhv000j04jp78i2n3gf</x:v>
      </x:c>
      <x:c r="C526" s="1" t="str">
        <x:v>cmsbrohcb000404jpvqnmrx27</x:v>
      </x:c>
      <x:c r="D526" s="1" t="str">
        <x:v>ca-2024-001951-ksy-juice-blends-uk-limited-v-skeleton</x:v>
      </x:c>
      <x:c r="E526" s="1" t="str">
        <x:v>real</x:v>
      </x:c>
      <x:c r="F526" s="15" t="str">
        <x:v>KSY Juice Blends UK Limited v Citrusuco GmbH</x:v>
      </x:c>
      <x:c r="G526" s="16" t="n">
        <x:v>46236.51429741898</x:v>
      </x:c>
      <x:c r="H526" s="15" t="str">
        <x:v>legislation</x:v>
      </x:c>
      <x:c r="I526" s="15" t="str">
        <x:v>legislation:sale of goods act 1979 s 8 2</x:v>
      </x:c>
      <x:c r="J526" s="15" t="str">
        <x:v>Sale of Goods Act 1979 Section 8(2)</x:v>
      </x:c>
      <x:c r="K526" s="15" t="str">
        <x:v>Sale of Goods Act 1979 Section 8(2)</x:v>
      </x:c>
      <x:c r="L526" s="15" t="str"/>
      <x:c r="M526" s="15" t="str"/>
      <x:c r="N526" s="15" t="str">
        <x:v>legalFramework.legalTestSummaries[0].sourceAuthority</x:v>
      </x:c>
      <x:c r="O526" s="15" t="str">
        <x:v>structured_json</x:v>
      </x:c>
      <x:c r="P526" s="15" t="str"/>
      <x:c r="Q526" s="15" t="str"/>
      <x:c r="R526" s="15" t="str"/>
      <x:c r="S526" s="15" t="str"/>
    </x:row>
    <x:row r="527">
      <x:c r="A527" s="1" t="str">
        <x:v>O0526</x:v>
      </x:c>
      <x:c r="B527" s="1" t="str">
        <x:v>cmsbrqmhv000j04jp78i2n3gf</x:v>
      </x:c>
      <x:c r="C527" s="1" t="str">
        <x:v>cmsbrohcb000404jpvqnmrx27</x:v>
      </x:c>
      <x:c r="D527" s="1" t="str">
        <x:v>ca-2024-001951-ksy-juice-blends-uk-limited-v-skeleton</x:v>
      </x:c>
      <x:c r="E527" s="1" t="str">
        <x:v>real</x:v>
      </x:c>
      <x:c r="F527" s="15" t="str">
        <x:v>KSY Juice Blends UK Limited v Citrusuco GmbH</x:v>
      </x:c>
      <x:c r="G527" s="16" t="n">
        <x:v>46236.51429741898</x:v>
      </x:c>
      <x:c r="H527" s="15" t="str">
        <x:v>other</x:v>
      </x:c>
      <x:c r="I527" s="15" t="str">
        <x:v>other:industry pricing practices</x:v>
      </x:c>
      <x:c r="J527" s="15" t="str">
        <x:v>Industry pricing practices</x:v>
      </x:c>
      <x:c r="K527" s="15" t="str">
        <x:v>Industry pricing practices</x:v>
      </x:c>
      <x:c r="L527" s="15" t="str"/>
      <x:c r="M527" s="15" t="str"/>
      <x:c r="N527" s="15" t="str">
        <x:v>legalFramework.legalTestSummaries[1].sourceAuthority</x:v>
      </x:c>
      <x:c r="O527" s="15" t="str">
        <x:v>structured_json</x:v>
      </x:c>
      <x:c r="P527" s="15" t="str"/>
      <x:c r="Q527" s="15" t="str"/>
      <x:c r="R527" s="15" t="str"/>
      <x:c r="S527" s="15" t="str"/>
    </x:row>
    <x:row r="528">
      <x:c r="A528" s="1" t="str">
        <x:v>O0527</x:v>
      </x:c>
      <x:c r="B528" s="1" t="str">
        <x:v>cmsbrqmhv000j04jp78i2n3gf</x:v>
      </x:c>
      <x:c r="C528" s="1" t="str">
        <x:v>cmsbrohcb000404jpvqnmrx27</x:v>
      </x:c>
      <x:c r="D528" s="1" t="str">
        <x:v>ca-2024-001951-ksy-juice-blends-uk-limited-v-skeleton</x:v>
      </x:c>
      <x:c r="E528" s="1" t="str">
        <x:v>real</x:v>
      </x:c>
      <x:c r="F528" s="15" t="str">
        <x:v>KSY Juice Blends UK Limited v Citrusuco GmbH</x:v>
      </x:c>
      <x:c r="G528" s="16" t="n">
        <x:v>46236.51429741898</x:v>
      </x:c>
      <x:c r="H528" s="15" t="str">
        <x:v>case</x:v>
      </x:c>
      <x:c r="I528" s="15" t="str">
        <x:v>case:dixon &amp; anor v blindley heath investments ltd &amp; anor</x:v>
      </x:c>
      <x:c r="J528" s="15" t="str">
        <x:v>Dixon &amp; Anor v Blindley Heath Investments Ltd &amp; Anor</x:v>
      </x:c>
      <x:c r="K528" s="15" t="str">
        <x:v>N/A</x:v>
      </x:c>
      <x:c r="L528" s="15" t="str">
        <x:v>82d8ca93-47f5-468a-805f-22afbaf56924</x:v>
      </x:c>
      <x:c r="M528" s="15" t="str"/>
      <x:c r="N528" s="15" t="str">
        <x:v>factualFindings.contestedFacts[0].sourceCases[0]</x:v>
      </x:c>
      <x:c r="O528" s="15" t="str">
        <x:v>structured_json</x:v>
      </x:c>
      <x:c r="P528" s="15" t="str"/>
      <x:c r="Q528" s="15" t="str"/>
      <x:c r="R528" s="15" t="str">
        <x:v>Addresses the enforceability of agreements that lack definitive terms, particularly regarding pricing.</x:v>
      </x:c>
      <x:c r="S528" s="15" t="str"/>
    </x:row>
    <x:row r="529">
      <x:c r="A529" s="1" t="str">
        <x:v>O0528</x:v>
      </x:c>
      <x:c r="B529" s="1" t="str">
        <x:v>cmsbrqmhv000j04jp78i2n3gf</x:v>
      </x:c>
      <x:c r="C529" s="1" t="str">
        <x:v>cmsbrohcb000404jpvqnmrx27</x:v>
      </x:c>
      <x:c r="D529" s="1" t="str">
        <x:v>ca-2024-001951-ksy-juice-blends-uk-limited-v-skeleton</x:v>
      </x:c>
      <x:c r="E529" s="1" t="str">
        <x:v>real</x:v>
      </x:c>
      <x:c r="F529" s="15" t="str">
        <x:v>KSY Juice Blends UK Limited v Citrusuco GmbH</x:v>
      </x:c>
      <x:c r="G529" s="16" t="n">
        <x:v>46236.51429741898</x:v>
      </x:c>
      <x:c r="H529" s="15" t="str">
        <x:v>case</x:v>
      </x:c>
      <x:c r="I529" s="15" t="str">
        <x:v>case:2016 ewca civ 372</x:v>
      </x:c>
      <x:c r="J529" s="15" t="str">
        <x:v>Transocean Drilling U.K. Ltd v Providence Resources Plc</x:v>
      </x:c>
      <x:c r="K529" s="15" t="str">
        <x:v>[2016] EWCA Civ 372</x:v>
      </x:c>
      <x:c r="L529" s="15" t="str">
        <x:v>2f55d6fc-d021-46d3-babd-7424b10b0d23</x:v>
      </x:c>
      <x:c r="M529" s="15" t="str"/>
      <x:c r="N529" s="15" t="str">
        <x:v>factualFindings.contestedFacts[1].sourceCases[0]</x:v>
      </x:c>
      <x:c r="O529" s="15" t="str">
        <x:v>structured_json</x:v>
      </x:c>
      <x:c r="P529" s="15" t="str"/>
      <x:c r="Q529" s="15" t="str"/>
      <x:c r="R529" s="15" t="str">
        <x:v>The case involves reasonable pricing practices under uncertain contractual situations.</x:v>
      </x:c>
      <x:c r="S529" s="15" t="str"/>
    </x:row>
    <x:row r="530">
      <x:c r="A530" s="1" t="str">
        <x:v>O0529</x:v>
      </x:c>
      <x:c r="B530" s="1" t="str">
        <x:v>cmsbrqmhv000j04jp78i2n3gf</x:v>
      </x:c>
      <x:c r="C530" s="1" t="str">
        <x:v>cmsbrohcb000404jpvqnmrx27</x:v>
      </x:c>
      <x:c r="D530" s="1" t="str">
        <x:v>ca-2024-001951-ksy-juice-blends-uk-limited-v-skeleton</x:v>
      </x:c>
      <x:c r="E530" s="1" t="str">
        <x:v>real</x:v>
      </x:c>
      <x:c r="F530" s="15" t="str">
        <x:v>KSY Juice Blends UK Limited v Citrusuco GmbH</x:v>
      </x:c>
      <x:c r="G530" s="16" t="n">
        <x:v>46236.51429741898</x:v>
      </x:c>
      <x:c r="H530" s="15" t="str">
        <x:v>case</x:v>
      </x:c>
      <x:c r="I530" s="15" t="str">
        <x:v>case:2022 ewca civ 978</x:v>
      </x:c>
      <x:c r="J530" s="15" t="str">
        <x:v>Union of Shop, Distributive and Allied Workers &amp; Ors v Tesco Stores Ltd</x:v>
      </x:c>
      <x:c r="K530" s="15" t="str">
        <x:v>(2022) EWCA Civ 978</x:v>
      </x:c>
      <x:c r="L530" s="15" t="str">
        <x:v>54d149f2-2e02-477e-8541-b2bf222578d6</x:v>
      </x:c>
      <x:c r="M530" s="15" t="str"/>
      <x:c r="N530" s="15" t="str">
        <x:v>reasoningStructure[0].sourceCases[0]</x:v>
      </x:c>
      <x:c r="O530" s="15" t="str">
        <x:v>structured_json</x:v>
      </x:c>
      <x:c r="P530" s="15" t="str"/>
      <x:c r="Q530" s="15" t="str"/>
      <x:c r="R530" s="15" t="str">
        <x:v>Emphasizes the necessity of implied terms in commercial transactions and contractual pricing.</x:v>
      </x:c>
      <x:c r="S530" s="15" t="str"/>
    </x:row>
    <x:row r="531">
      <x:c r="A531" s="1" t="str">
        <x:v>O0530</x:v>
      </x:c>
      <x:c r="B531" s="1" t="str">
        <x:v>cmsbrqmhv000j04jp78i2n3gf</x:v>
      </x:c>
      <x:c r="C531" s="1" t="str">
        <x:v>cmsbrohcb000404jpvqnmrx27</x:v>
      </x:c>
      <x:c r="D531" s="1" t="str">
        <x:v>ca-2024-001951-ksy-juice-blends-uk-limited-v-skeleton</x:v>
      </x:c>
      <x:c r="E531" s="1" t="str">
        <x:v>real</x:v>
      </x:c>
      <x:c r="F531" s="15" t="str">
        <x:v>KSY Juice Blends UK Limited v Citrusuco GmbH</x:v>
      </x:c>
      <x:c r="G531" s="16" t="n">
        <x:v>46236.51429741898</x:v>
      </x:c>
      <x:c r="H531" s="15" t="str">
        <x:v>case</x:v>
      </x:c>
      <x:c r="I531" s="15" t="str">
        <x:v>case:2023 ewca civ 52</x:v>
      </x:c>
      <x:c r="J531" s="15" t="str">
        <x:v>Zymurgorium Ltd v Hammonds of Knutsford Plc</x:v>
      </x:c>
      <x:c r="K531" s="15" t="str">
        <x:v>[2023] EWCA Civ 52</x:v>
      </x:c>
      <x:c r="L531" s="15" t="str">
        <x:v>481bab6a-1b92-467d9838-15c341ee5a8c</x:v>
      </x:c>
      <x:c r="M531" s="15" t="str"/>
      <x:c r="N531" s="15" t="str">
        <x:v>reasoningStructure[1].sourceCases[0]</x:v>
      </x:c>
      <x:c r="O531" s="15" t="str">
        <x:v>structured_json</x:v>
      </x:c>
      <x:c r="P531" s="15" t="str"/>
      <x:c r="Q531" s="15" t="str"/>
      <x:c r="R531" s="15" t="str">
        <x:v>Clarifies the need for invoices to reflect reasonable market practices for enforceability.</x:v>
      </x:c>
      <x:c r="S531" s="15" t="str"/>
    </x:row>
    <x:row r="532">
      <x:c r="A532" s="1" t="str">
        <x:v>O0531</x:v>
      </x:c>
      <x:c r="B532" s="1" t="str">
        <x:v>cmsbrqmhv000j04jp78i2n3gf</x:v>
      </x:c>
      <x:c r="C532" s="1" t="str">
        <x:v>cmsbrohcb000404jpvqnmrx27</x:v>
      </x:c>
      <x:c r="D532" s="1" t="str">
        <x:v>ca-2024-001951-ksy-juice-blends-uk-limited-v-skeleton</x:v>
      </x:c>
      <x:c r="E532" s="1" t="str">
        <x:v>real</x:v>
      </x:c>
      <x:c r="F532" s="15" t="str">
        <x:v>KSY Juice Blends UK Limited v Citrusuco GmbH</x:v>
      </x:c>
      <x:c r="G532" s="16" t="n">
        <x:v>46236.51429741898</x:v>
      </x:c>
      <x:c r="H532" s="15" t="str">
        <x:v>case</x:v>
      </x:c>
      <x:c r="I532" s="15" t="str">
        <x:v>case:2022 ewca civ 978</x:v>
      </x:c>
      <x:c r="J532" s="15" t="str">
        <x:v>Union of Shop, Distributive and Allied Workers &amp; Ors v Tesco Stores Ltd</x:v>
      </x:c>
      <x:c r="K532" s="15" t="str">
        <x:v>(2022) EWCA Civ 978</x:v>
      </x:c>
      <x:c r="L532" s="15" t="str">
        <x:v>54d149f2-2e02-477e-8541-b2bf222578d6</x:v>
      </x:c>
      <x:c r="M532" s="15" t="str"/>
      <x:c r="N532" s="15" t="str">
        <x:v>issuesForDetermination.issueMatrix[0].sourceCases[0]</x:v>
      </x:c>
      <x:c r="O532" s="15" t="str">
        <x:v>structured_json</x:v>
      </x:c>
      <x:c r="P532" s="15" t="str"/>
      <x:c r="Q532" s="15" t="str"/>
      <x:c r="R532" s="15" t="str">
        <x:v>Addressed the implications of open price clauses and their enforceability in contract terms.</x:v>
      </x:c>
      <x:c r="S532" s="15" t="str"/>
    </x:row>
    <x:row r="533">
      <x:c r="A533" s="1" t="str">
        <x:v>O0532</x:v>
      </x:c>
      <x:c r="B533" s="1" t="str">
        <x:v>cmsbrqmhv000j04jp78i2n3gf</x:v>
      </x:c>
      <x:c r="C533" s="1" t="str">
        <x:v>cmsbrohcb000404jpvqnmrx27</x:v>
      </x:c>
      <x:c r="D533" s="1" t="str">
        <x:v>ca-2024-001951-ksy-juice-blends-uk-limited-v-skeleton</x:v>
      </x:c>
      <x:c r="E533" s="1" t="str">
        <x:v>real</x:v>
      </x:c>
      <x:c r="F533" s="15" t="str">
        <x:v>KSY Juice Blends UK Limited v Citrusuco GmbH</x:v>
      </x:c>
      <x:c r="G533" s="16" t="n">
        <x:v>46236.51429741898</x:v>
      </x:c>
      <x:c r="H533" s="15" t="str">
        <x:v>case</x:v>
      </x:c>
      <x:c r="I533" s="15" t="str">
        <x:v>case:2023 ewca civ 52</x:v>
      </x:c>
      <x:c r="J533" s="15" t="str">
        <x:v>Zymurgorium Ltd v Hammonds of Knutsford Plc</x:v>
      </x:c>
      <x:c r="K533" s="15" t="str">
        <x:v>[2023] EWCA Civ 52</x:v>
      </x:c>
      <x:c r="L533" s="15" t="str">
        <x:v>481bab6a-1b92-467d-9838-15c341ee5a8c</x:v>
      </x:c>
      <x:c r="M533" s="15" t="str"/>
      <x:c r="N533" s="15" t="str">
        <x:v>issuesForDetermination.issueMatrix[1].sourceCases[0]</x:v>
      </x:c>
      <x:c r="O533" s="15" t="str">
        <x:v>structured_json</x:v>
      </x:c>
      <x:c r="P533" s="15" t="str"/>
      <x:c r="Q533" s="15" t="str"/>
      <x:c r="R533" s="15" t="str">
        <x:v>Discussed how invoices can reflect reasonable market pricing in the event of ambiguous pricing terms.</x:v>
      </x:c>
      <x:c r="S533" s="15" t="str"/>
    </x:row>
    <x:row r="534">
      <x:c r="A534" s="1" t="str">
        <x:v>O0533</x:v>
      </x:c>
      <x:c r="B534" s="1" t="str">
        <x:v>cmsbrvtc4001304jp5e4691on</x:v>
      </x:c>
      <x:c r="C534" s="1" t="str">
        <x:v>cmsbru14c000o04jpyaa0uar7</x:v>
      </x:c>
      <x:c r="D534" s="1" t="str">
        <x:v>2023-002546-ryanair-dac-v-jason-lutz-appellant-skeleton</x:v>
      </x:c>
      <x:c r="E534" s="1" t="str">
        <x:v>real</x:v>
      </x:c>
      <x:c r="F534" s="15" t="str">
        <x:v>Ryanair DAC &amp; Storm Global Limited v Jason Lutz</x:v>
      </x:c>
      <x:c r="G534" s="16" t="n">
        <x:v>46236.517100034725</x:v>
      </x:c>
      <x:c r="H534" s="15" t="str">
        <x:v>case</x:v>
      </x:c>
      <x:c r="I534" s="15" t="str">
        <x:v>case:2002 ewca civ 605</x:v>
      </x:c>
      <x:c r="J534" s="15" t="str">
        <x:v>English v Emery Reimbold &amp; Strick Ltd [2002] EWCA Civ 605</x:v>
      </x:c>
      <x:c r="K534" s="15" t="str">
        <x:v>English v Emery Reimbold &amp; Strick Ltd [2002] EWCA Civ 605</x:v>
      </x:c>
      <x:c r="L534" s="15" t="str"/>
      <x:c r="M534" s="15" t="str"/>
      <x:c r="N534" s="15" t="str">
        <x:v>legalFramework.precedentCitations[0]</x:v>
      </x:c>
      <x:c r="O534" s="15" t="str">
        <x:v>structured_json</x:v>
      </x:c>
      <x:c r="P534" s="15" t="str">
        <x:v>binding</x:v>
      </x:c>
      <x:c r="Q534" s="15" t="str"/>
      <x:c r="R534" s="15" t="str">
        <x:v>Adequacy of reasons in judgments requires courts to provide sufficient reasoning in their decisions.</x:v>
      </x:c>
      <x:c r="S534" s="15" t="str"/>
    </x:row>
    <x:row r="535">
      <x:c r="A535" s="1" t="str">
        <x:v>O0534</x:v>
      </x:c>
      <x:c r="B535" s="1" t="str">
        <x:v>cmsbrvtc4001304jp5e4691on</x:v>
      </x:c>
      <x:c r="C535" s="1" t="str">
        <x:v>cmsbru14c000o04jpyaa0uar7</x:v>
      </x:c>
      <x:c r="D535" s="1" t="str">
        <x:v>2023-002546-ryanair-dac-v-jason-lutz-appellant-skeleton</x:v>
      </x:c>
      <x:c r="E535" s="1" t="str">
        <x:v>real</x:v>
      </x:c>
      <x:c r="F535" s="15" t="str">
        <x:v>Ryanair DAC &amp; Storm Global Limited v Jason Lutz</x:v>
      </x:c>
      <x:c r="G535" s="16" t="n">
        <x:v>46236.517100034725</x:v>
      </x:c>
      <x:c r="H535" s="15" t="str">
        <x:v>case</x:v>
      </x:c>
      <x:c r="I535" s="15" t="str">
        <x:v>case:2000 1 wlr 377</x:v>
      </x:c>
      <x:c r="J535" s="15" t="str">
        <x:v>Flannery v Halifax Estate Agencies Ltd [2000] 1 WLR 377</x:v>
      </x:c>
      <x:c r="K535" s="15" t="str">
        <x:v>Flannery v Halifax Estate Agencies Ltd [2000] 1 WLR 377</x:v>
      </x:c>
      <x:c r="L535" s="15" t="str"/>
      <x:c r="M535" s="15" t="str"/>
      <x:c r="N535" s="15" t="str">
        <x:v>legalFramework.precedentCitations[1]</x:v>
      </x:c>
      <x:c r="O535" s="15" t="str">
        <x:v>structured_json</x:v>
      </x:c>
      <x:c r="P535" s="15" t="str">
        <x:v>binding</x:v>
      </x:c>
      <x:c r="Q535" s="15" t="str"/>
      <x:c r="R535" s="15" t="str">
        <x:v>Duty to provide reasons is a fundamental aspect of a fair ruling.</x:v>
      </x:c>
      <x:c r="S535" s="15" t="str"/>
    </x:row>
    <x:row r="536">
      <x:c r="A536" s="1" t="str">
        <x:v>O0535</x:v>
      </x:c>
      <x:c r="B536" s="1" t="str">
        <x:v>cmsbrvtc4001304jp5e4691on</x:v>
      </x:c>
      <x:c r="C536" s="1" t="str">
        <x:v>cmsbru14c000o04jpyaa0uar7</x:v>
      </x:c>
      <x:c r="D536" s="1" t="str">
        <x:v>2023-002546-ryanair-dac-v-jason-lutz-appellant-skeleton</x:v>
      </x:c>
      <x:c r="E536" s="1" t="str">
        <x:v>real</x:v>
      </x:c>
      <x:c r="F536" s="15" t="str">
        <x:v>Ryanair DAC &amp; Storm Global Limited v Jason Lutz</x:v>
      </x:c>
      <x:c r="G536" s="16" t="n">
        <x:v>46236.517100034725</x:v>
      </x:c>
      <x:c r="H536" s="15" t="str">
        <x:v>legislation</x:v>
      </x:c>
      <x:c r="I536" s="15" t="str">
        <x:v>legislation:senior courts act 1981 s 35a</x:v>
      </x:c>
      <x:c r="J536" s="15" t="str">
        <x:v>Senior Courts Act 1981, s.35A</x:v>
      </x:c>
      <x:c r="K536" s="15" t="str">
        <x:v>Senior Courts Act 1981, s.35A</x:v>
      </x:c>
      <x:c r="L536" s="15" t="str"/>
      <x:c r="M536" s="15" t="str"/>
      <x:c r="N536" s="15" t="str">
        <x:v>legalFramework.precedentCitations[2]</x:v>
      </x:c>
      <x:c r="O536" s="15" t="str">
        <x:v>structured_json</x:v>
      </x:c>
      <x:c r="P536" s="15" t="str">
        <x:v>binding</x:v>
      </x:c>
      <x:c r="Q536" s="15" t="str"/>
      <x:c r="R536" s="15" t="str">
        <x:v>Statutory authority on awarding interest on debts awarded by courts.</x:v>
      </x:c>
      <x:c r="S536" s="15" t="str"/>
    </x:row>
    <x:row r="537">
      <x:c r="A537" s="1" t="str">
        <x:v>O0536</x:v>
      </x:c>
      <x:c r="B537" s="1" t="str">
        <x:v>cmsbrvtc4001304jp5e4691on</x:v>
      </x:c>
      <x:c r="C537" s="1" t="str">
        <x:v>cmsbru14c000o04jpyaa0uar7</x:v>
      </x:c>
      <x:c r="D537" s="1" t="str">
        <x:v>2023-002546-ryanair-dac-v-jason-lutz-appellant-skeleton</x:v>
      </x:c>
      <x:c r="E537" s="1" t="str">
        <x:v>real</x:v>
      </x:c>
      <x:c r="F537" s="15" t="str">
        <x:v>Ryanair DAC &amp; Storm Global Limited v Jason Lutz</x:v>
      </x:c>
      <x:c r="G537" s="16" t="n">
        <x:v>46236.517100034725</x:v>
      </x:c>
      <x:c r="H537" s="15" t="str">
        <x:v>legislation</x:v>
      </x:c>
      <x:c r="I537" s="15" t="str">
        <x:v>legislation:agency workers regulations 2010 8</x:v>
      </x:c>
      <x:c r="J537" s="15" t="str">
        <x:v>Agency Workers Regulations 2010</x:v>
      </x:c>
      <x:c r="K537" s="15" t="str">
        <x:v>Agency Workers Regulations 2010 8</x:v>
      </x:c>
      <x:c r="L537" s="15" t="str"/>
      <x:c r="M537" s="15" t="str">
        <x:v>8</x:v>
      </x:c>
      <x:c r="N537" s="15" t="str">
        <x:v>legalFramework.statutoryProvisions[0]</x:v>
      </x:c>
      <x:c r="O537" s="15" t="str">
        <x:v>structured_json</x:v>
      </x:c>
      <x:c r="P537" s="15" t="str"/>
      <x:c r="Q537" s="15" t="str"/>
      <x:c r="R537" s="15" t="str">
        <x:v>Defines the conditions under which workers may be classified as agency workers.</x:v>
      </x:c>
      <x:c r="S537" s="15" t="str"/>
    </x:row>
    <x:row r="538">
      <x:c r="A538" s="1" t="str">
        <x:v>O0537</x:v>
      </x:c>
      <x:c r="B538" s="1" t="str">
        <x:v>cmsbrvtc4001304jp5e4691on</x:v>
      </x:c>
      <x:c r="C538" s="1" t="str">
        <x:v>cmsbru14c000o04jpyaa0uar7</x:v>
      </x:c>
      <x:c r="D538" s="1" t="str">
        <x:v>2023-002546-ryanair-dac-v-jason-lutz-appellant-skeleton</x:v>
      </x:c>
      <x:c r="E538" s="1" t="str">
        <x:v>real</x:v>
      </x:c>
      <x:c r="F538" s="15" t="str">
        <x:v>Ryanair DAC &amp; Storm Global Limited v Jason Lutz</x:v>
      </x:c>
      <x:c r="G538" s="16" t="n">
        <x:v>46236.517100034725</x:v>
      </x:c>
      <x:c r="H538" s="15" t="str">
        <x:v>legislation</x:v>
      </x:c>
      <x:c r="I538" s="15" t="str">
        <x:v>legislation:senior courts act 1981 s 35a</x:v>
      </x:c>
      <x:c r="J538" s="15" t="str">
        <x:v>Senior Courts Act 1981, s.35A</x:v>
      </x:c>
      <x:c r="K538" s="15" t="str">
        <x:v>Senior Courts Act 1981, s.35A</x:v>
      </x:c>
      <x:c r="L538" s="15" t="str"/>
      <x:c r="M538" s="15" t="str"/>
      <x:c r="N538" s="15" t="str">
        <x:v>decisionAndDisposition.interest.statutoryBasis</x:v>
      </x:c>
      <x:c r="O538" s="15" t="str">
        <x:v>structured_json</x:v>
      </x:c>
      <x:c r="P538" s="15" t="str"/>
      <x:c r="Q538" s="15" t="str"/>
      <x:c r="R538" s="15" t="str"/>
      <x:c r="S538" s="15" t="str"/>
    </x:row>
    <x:row r="539">
      <x:c r="A539" s="1" t="str">
        <x:v>O0538</x:v>
      </x:c>
      <x:c r="B539" s="1" t="str">
        <x:v>cmsbrvtc4001304jp5e4691on</x:v>
      </x:c>
      <x:c r="C539" s="1" t="str">
        <x:v>cmsbru14c000o04jpyaa0uar7</x:v>
      </x:c>
      <x:c r="D539" s="1" t="str">
        <x:v>2023-002546-ryanair-dac-v-jason-lutz-appellant-skeleton</x:v>
      </x:c>
      <x:c r="E539" s="1" t="str">
        <x:v>real</x:v>
      </x:c>
      <x:c r="F539" s="15" t="str">
        <x:v>Ryanair DAC &amp; Storm Global Limited v Jason Lutz</x:v>
      </x:c>
      <x:c r="G539" s="16" t="n">
        <x:v>46236.517100034725</x:v>
      </x:c>
      <x:c r="H539" s="15" t="str">
        <x:v>case</x:v>
      </x:c>
      <x:c r="I539" s="15" t="str">
        <x:v>case:2022 ewca civ 189</x:v>
      </x:c>
      <x:c r="J539" s="15" t="str">
        <x:v>Kocur v Angard Staffing Solutions Limited &amp; Anor</x:v>
      </x:c>
      <x:c r="K539" s="15" t="str">
        <x:v>[2022] EWCA Civ 189</x:v>
      </x:c>
      <x:c r="L539" s="15" t="str">
        <x:v>f8755763-8d90-4b51-8a0a-d11efa528908</x:v>
      </x:c>
      <x:c r="M539" s="15" t="str"/>
      <x:c r="N539" s="15" t="str">
        <x:v>legalFramework.statutoryProvisions[0].sourceCases[0]</x:v>
      </x:c>
      <x:c r="O539" s="15" t="str">
        <x:v>structured_json</x:v>
      </x:c>
      <x:c r="P539" s="15" t="str"/>
      <x:c r="Q539" s="15" t="str">
        <x:v>same_proposition</x:v>
      </x:c>
      <x:c r="R539" s="15" t="str">
        <x:v>Clarifies application of AWR in determining agency worker status within fixed assignment contracts, pertinent to this case.</x:v>
      </x:c>
      <x:c r="S539" s="15" t="str"/>
    </x:row>
    <x:row r="540">
      <x:c r="A540" s="1" t="str">
        <x:v>O0539</x:v>
      </x:c>
      <x:c r="B540" s="1" t="str">
        <x:v>cmsbrvtc4001304jp5e4691on</x:v>
      </x:c>
      <x:c r="C540" s="1" t="str">
        <x:v>cmsbru14c000o04jpyaa0uar7</x:v>
      </x:c>
      <x:c r="D540" s="1" t="str">
        <x:v>2023-002546-ryanair-dac-v-jason-lutz-appellant-skeleton</x:v>
      </x:c>
      <x:c r="E540" s="1" t="str">
        <x:v>real</x:v>
      </x:c>
      <x:c r="F540" s="15" t="str">
        <x:v>Ryanair DAC &amp; Storm Global Limited v Jason Lutz</x:v>
      </x:c>
      <x:c r="G540" s="16" t="n">
        <x:v>46236.517100034725</x:v>
      </x:c>
      <x:c r="H540" s="15" t="str">
        <x:v>case</x:v>
      </x:c>
      <x:c r="I540" s="15" t="str">
        <x:v>case:2022 ewca civ 189</x:v>
      </x:c>
      <x:c r="J540" s="15" t="str">
        <x:v>Kocur v Angard Staffing Solutions Limited &amp; Anor</x:v>
      </x:c>
      <x:c r="K540" s="15" t="str">
        <x:v>[2022] EWCA Civ 189</x:v>
      </x:c>
      <x:c r="L540" s="15" t="str">
        <x:v>f8755763-8d90-4b51-8a0a-d11efa528908</x:v>
      </x:c>
      <x:c r="M540" s="15" t="str"/>
      <x:c r="N540" s="15" t="str">
        <x:v>factualFindings.contestedFacts[0].sourceCases[0]</x:v>
      </x:c>
      <x:c r="O540" s="15" t="str">
        <x:v>structured_json</x:v>
      </x:c>
      <x:c r="P540" s="15" t="str"/>
      <x:c r="Q540" s="15" t="str">
        <x:v>same_proposition</x:v>
      </x:c>
      <x:c r="R540" s="15" t="str">
        <x:v>This case addresses similar agency worker classification principles and interpretations of temporary work.</x:v>
      </x:c>
      <x:c r="S540" s="15" t="str"/>
    </x:row>
    <x:row r="541">
      <x:c r="A541" s="1" t="str">
        <x:v>O0540</x:v>
      </x:c>
      <x:c r="B541" s="1" t="str">
        <x:v>cmsbrvtc4001304jp5e4691on</x:v>
      </x:c>
      <x:c r="C541" s="1" t="str">
        <x:v>cmsbru14c000o04jpyaa0uar7</x:v>
      </x:c>
      <x:c r="D541" s="1" t="str">
        <x:v>2023-002546-ryanair-dac-v-jason-lutz-appellant-skeleton</x:v>
      </x:c>
      <x:c r="E541" s="1" t="str">
        <x:v>real</x:v>
      </x:c>
      <x:c r="F541" s="15" t="str">
        <x:v>Ryanair DAC &amp; Storm Global Limited v Jason Lutz</x:v>
      </x:c>
      <x:c r="G541" s="16" t="n">
        <x:v>46236.517100034725</x:v>
      </x:c>
      <x:c r="H541" s="15" t="str">
        <x:v>case</x:v>
      </x:c>
      <x:c r="I541" s="15" t="str">
        <x:v>case:2022 ewca civ 76</x:v>
      </x:c>
      <x:c r="J541" s="15" t="str">
        <x:v>The Civil Aviation Authority v Ryanair DAC</x:v>
      </x:c>
      <x:c r="K541" s="15" t="str">
        <x:v>[2022] EWCA Civ 76</x:v>
      </x:c>
      <x:c r="L541" s="15" t="str">
        <x:v>4f977444-ccac-4d7e-9884-b7b75680cfa6</x:v>
      </x:c>
      <x:c r="M541" s="15" t="str"/>
      <x:c r="N541" s="15" t="str">
        <x:v>factualFindings.contestedFacts[1].sourceCases[0]</x:v>
      </x:c>
      <x:c r="O541" s="15" t="str">
        <x:v>structured_json</x:v>
      </x:c>
      <x:c r="P541" s="15" t="str"/>
      <x:c r="Q541" s="15" t="str">
        <x:v>applied_differently</x:v>
      </x:c>
      <x:c r="R541" s="15" t="str">
        <x:v>Involves Ryanair and agency worker factors in employment contexts.</x:v>
      </x:c>
      <x:c r="S541" s="15" t="str"/>
    </x:row>
    <x:row r="542">
      <x:c r="A542" s="1" t="str">
        <x:v>O0541</x:v>
      </x:c>
      <x:c r="B542" s="1" t="str">
        <x:v>cmsbrvtc4001304jp5e4691on</x:v>
      </x:c>
      <x:c r="C542" s="1" t="str">
        <x:v>cmsbru14c000o04jpyaa0uar7</x:v>
      </x:c>
      <x:c r="D542" s="1" t="str">
        <x:v>2023-002546-ryanair-dac-v-jason-lutz-appellant-skeleton</x:v>
      </x:c>
      <x:c r="E542" s="1" t="str">
        <x:v>real</x:v>
      </x:c>
      <x:c r="F542" s="15" t="str">
        <x:v>Ryanair DAC &amp; Storm Global Limited v Jason Lutz</x:v>
      </x:c>
      <x:c r="G542" s="16" t="n">
        <x:v>46236.517100034725</x:v>
      </x:c>
      <x:c r="H542" s="15" t="str">
        <x:v>case</x:v>
      </x:c>
      <x:c r="I542" s="15" t="str">
        <x:v>case:2017 ewca civ 1054</x:v>
      </x:c>
      <x:c r="J542" s="15" t="str">
        <x:v>Tillman v Egon Zehnder Ltd</x:v>
      </x:c>
      <x:c r="K542" s="15" t="str">
        <x:v>[2017] EWCA Civ 1054</x:v>
      </x:c>
      <x:c r="L542" s="15" t="str">
        <x:v>b8de63a1-be7b-4764-8d72-2b529e7812b8</x:v>
      </x:c>
      <x:c r="M542" s="15" t="str"/>
      <x:c r="N542" s="15" t="str">
        <x:v>reasoningStructure[0].sourceCases[0]</x:v>
      </x:c>
      <x:c r="O542" s="15" t="str">
        <x:v>structured_json</x:v>
      </x:c>
      <x:c r="P542" s="15" t="str"/>
      <x:c r="Q542" s="15" t="str">
        <x:v>applied_differently</x:v>
      </x:c>
      <x:c r="R542" s="15" t="str">
        <x:v>Reinforces the broader interpretation of contractual definitions related to agency worker classifications.</x:v>
      </x:c>
      <x:c r="S542" s="15" t="str"/>
    </x:row>
    <x:row r="543">
      <x:c r="A543" s="1" t="str">
        <x:v>O0542</x:v>
      </x:c>
      <x:c r="B543" s="1" t="str">
        <x:v>cmsbrvtc4001304jp5e4691on</x:v>
      </x:c>
      <x:c r="C543" s="1" t="str">
        <x:v>cmsbru14c000o04jpyaa0uar7</x:v>
      </x:c>
      <x:c r="D543" s="1" t="str">
        <x:v>2023-002546-ryanair-dac-v-jason-lutz-appellant-skeleton</x:v>
      </x:c>
      <x:c r="E543" s="1" t="str">
        <x:v>real</x:v>
      </x:c>
      <x:c r="F543" s="15" t="str">
        <x:v>Ryanair DAC &amp; Storm Global Limited v Jason Lutz</x:v>
      </x:c>
      <x:c r="G543" s="16" t="n">
        <x:v>46236.517100034725</x:v>
      </x:c>
      <x:c r="H543" s="15" t="str">
        <x:v>case</x:v>
      </x:c>
      <x:c r="I543" s="15" t="str">
        <x:v>case:2014 ewca civ 410</x:v>
      </x:c>
      <x:c r="J543" s="15" t="str">
        <x:v>Ryanair Ltd v HM Revenue and Customs</x:v>
      </x:c>
      <x:c r="K543" s="15" t="str">
        <x:v>[2014] EWCA Civ 410</x:v>
      </x:c>
      <x:c r="L543" s="15" t="str">
        <x:v>75a20b14-f8c3-4078-b7f8-35b3a7d3864f</x:v>
      </x:c>
      <x:c r="M543" s="15" t="str"/>
      <x:c r="N543" s="15" t="str">
        <x:v>issuesForDetermination.issueMatrix[0].sourceCases[0]</x:v>
      </x:c>
      <x:c r="O543" s="15" t="str">
        <x:v>structured_json</x:v>
      </x:c>
      <x:c r="P543" s="15" t="str"/>
      <x:c r="Q543" s="15" t="str">
        <x:v>distinguished</x:v>
      </x:c>
      <x:c r="R543" s="15" t="str">
        <x:v>Illustrates important legal interpretations pertinent to Ryanair's operations and implications for agency workers.</x:v>
      </x:c>
      <x:c r="S543" s="15" t="str"/>
    </x:row>
    <x:row r="544">
      <x:c r="A544" s="1" t="str">
        <x:v>O0543</x:v>
      </x:c>
      <x:c r="B544" s="1" t="str">
        <x:v>cmsbskr86000h04ji5a4thcht</x:v>
      </x:c>
      <x:c r="C544" s="1" t="str">
        <x:v>cmsbsfl20000204jilg9k8ism</x:v>
      </x:c>
      <x:c r="D544" s="1" t="str">
        <x:v>ca-2023-002537-storm-global-limited-v-jason-lutz-appellant-skeleton</x:v>
      </x:c>
      <x:c r="E544" s="1" t="str">
        <x:v>real</x:v>
      </x:c>
      <x:c r="F544" s="15" t="str">
        <x:v>Storm Global Limited v Jason Lutz</x:v>
      </x:c>
      <x:c r="G544" s="16" t="n">
        <x:v>46236.53056837963</x:v>
      </x:c>
      <x:c r="H544" s="15" t="str">
        <x:v>case</x:v>
      </x:c>
      <x:c r="I544" s="15" t="str">
        <x:v>case:james v greenwich bc 2008 irlr 302</x:v>
      </x:c>
      <x:c r="J544" s="15" t="str">
        <x:v>James v Greenwich BC [2008] IRLR 302</x:v>
      </x:c>
      <x:c r="K544" s="15" t="str">
        <x:v>James v Greenwich BC [2008] IRLR 302</x:v>
      </x:c>
      <x:c r="L544" s="15" t="str"/>
      <x:c r="M544" s="15" t="str"/>
      <x:c r="N544" s="15" t="str">
        <x:v>legalFramework.precedentCitations[0]</x:v>
      </x:c>
      <x:c r="O544" s="15" t="str">
        <x:v>structured_json</x:v>
      </x:c>
      <x:c r="P544" s="15" t="str">
        <x:v>persuasive</x:v>
      </x:c>
      <x:c r="Q544" s="15" t="str"/>
      <x:c r="R544" s="15" t="str">
        <x:v>Agency worker definition and rights.</x:v>
      </x:c>
      <x:c r="S544" s="15" t="str"/>
    </x:row>
    <x:row r="545">
      <x:c r="A545" s="1" t="str">
        <x:v>O0544</x:v>
      </x:c>
      <x:c r="B545" s="1" t="str">
        <x:v>cmsbskr86000h04ji5a4thcht</x:v>
      </x:c>
      <x:c r="C545" s="1" t="str">
        <x:v>cmsbsfl20000204jilg9k8ism</x:v>
      </x:c>
      <x:c r="D545" s="1" t="str">
        <x:v>ca-2023-002537-storm-global-limited-v-jason-lutz-appellant-skeleton</x:v>
      </x:c>
      <x:c r="E545" s="1" t="str">
        <x:v>real</x:v>
      </x:c>
      <x:c r="F545" s="15" t="str">
        <x:v>Storm Global Limited v Jason Lutz</x:v>
      </x:c>
      <x:c r="G545" s="16" t="n">
        <x:v>46236.53056837963</x:v>
      </x:c>
      <x:c r="H545" s="15" t="str">
        <x:v>case</x:v>
      </x:c>
      <x:c r="I545" s="15" t="str">
        <x:v>case:uber bv v aslam 2021 icr 657</x:v>
      </x:c>
      <x:c r="J545" s="15" t="str">
        <x:v>Uber BV v Aslam [2021] ICR 657</x:v>
      </x:c>
      <x:c r="K545" s="15" t="str">
        <x:v>Uber BV v Aslam [2021] ICR 657</x:v>
      </x:c>
      <x:c r="L545" s="15" t="str"/>
      <x:c r="M545" s="15" t="str"/>
      <x:c r="N545" s="15" t="str">
        <x:v>legalFramework.precedentCitations[1]</x:v>
      </x:c>
      <x:c r="O545" s="15" t="str">
        <x:v>structured_json</x:v>
      </x:c>
      <x:c r="P545" s="15" t="str">
        <x:v>binding</x:v>
      </x:c>
      <x:c r="Q545" s="15" t="str"/>
      <x:c r="R545" s="15" t="str">
        <x:v>Determination of employment status in dynamic work relationships.</x:v>
      </x:c>
      <x:c r="S545" s="15" t="str"/>
    </x:row>
    <x:row r="546">
      <x:c r="A546" s="1" t="str">
        <x:v>O0545</x:v>
      </x:c>
      <x:c r="B546" s="1" t="str">
        <x:v>cmsbskr86000h04ji5a4thcht</x:v>
      </x:c>
      <x:c r="C546" s="1" t="str">
        <x:v>cmsbsfl20000204jilg9k8ism</x:v>
      </x:c>
      <x:c r="D546" s="1" t="str">
        <x:v>ca-2023-002537-storm-global-limited-v-jason-lutz-appellant-skeleton</x:v>
      </x:c>
      <x:c r="E546" s="1" t="str">
        <x:v>real</x:v>
      </x:c>
      <x:c r="F546" s="15" t="str">
        <x:v>Storm Global Limited v Jason Lutz</x:v>
      </x:c>
      <x:c r="G546" s="16" t="n">
        <x:v>46236.53056837963</x:v>
      </x:c>
      <x:c r="H546" s="15" t="str">
        <x:v>legislation</x:v>
      </x:c>
      <x:c r="I546" s="15" t="str">
        <x:v>legislation:civil aviation working time regulations 2004 regulation 2</x:v>
      </x:c>
      <x:c r="J546" s="15" t="str">
        <x:v>Civil Aviation (Working Time) Regulations 2004</x:v>
      </x:c>
      <x:c r="K546" s="15" t="str">
        <x:v>Civil Aviation (Working Time) Regulations 2004 Regulation 2</x:v>
      </x:c>
      <x:c r="L546" s="15" t="str"/>
      <x:c r="M546" s="15" t="str">
        <x:v>Regulation 2</x:v>
      </x:c>
      <x:c r="N546" s="15" t="str">
        <x:v>legalFramework.statutoryProvisions[0]</x:v>
      </x:c>
      <x:c r="O546" s="15" t="str">
        <x:v>structured_json</x:v>
      </x:c>
      <x:c r="P546" s="15" t="str"/>
      <x:c r="Q546" s="15" t="str"/>
      <x:c r="R546" s="15" t="str">
        <x:v>Defines 'crew member' and relevant employment rights.</x:v>
      </x:c>
      <x:c r="S546" s="15" t="str"/>
    </x:row>
    <x:row r="547">
      <x:c r="A547" s="1" t="str">
        <x:v>O0546</x:v>
      </x:c>
      <x:c r="B547" s="1" t="str">
        <x:v>cmsbskr86000h04ji5a4thcht</x:v>
      </x:c>
      <x:c r="C547" s="1" t="str">
        <x:v>cmsbsfl20000204jilg9k8ism</x:v>
      </x:c>
      <x:c r="D547" s="1" t="str">
        <x:v>ca-2023-002537-storm-global-limited-v-jason-lutz-appellant-skeleton</x:v>
      </x:c>
      <x:c r="E547" s="1" t="str">
        <x:v>real</x:v>
      </x:c>
      <x:c r="F547" s="15" t="str">
        <x:v>Storm Global Limited v Jason Lutz</x:v>
      </x:c>
      <x:c r="G547" s="16" t="n">
        <x:v>46236.53056837963</x:v>
      </x:c>
      <x:c r="H547" s="15" t="str">
        <x:v>legislation</x:v>
      </x:c>
      <x:c r="I547" s="15" t="str">
        <x:v>legislation:agency worker regulations 2010 regulation 3</x:v>
      </x:c>
      <x:c r="J547" s="15" t="str">
        <x:v>Agency Worker Regulations 2010</x:v>
      </x:c>
      <x:c r="K547" s="15" t="str">
        <x:v>Agency Worker Regulations 2010 Regulation 3</x:v>
      </x:c>
      <x:c r="L547" s="15" t="str"/>
      <x:c r="M547" s="15" t="str">
        <x:v>Regulation 3</x:v>
      </x:c>
      <x:c r="N547" s="15" t="str">
        <x:v>legalFramework.statutoryProvisions[1]</x:v>
      </x:c>
      <x:c r="O547" s="15" t="str">
        <x:v>structured_json</x:v>
      </x:c>
      <x:c r="P547" s="15" t="str"/>
      <x:c r="Q547" s="15" t="str"/>
      <x:c r="R547" s="15" t="str">
        <x:v>Clarifies the definition of 'agency worker.'</x:v>
      </x:c>
      <x:c r="S547" s="15" t="str"/>
    </x:row>
    <x:row r="548">
      <x:c r="A548" s="1" t="str">
        <x:v>O0547</x:v>
      </x:c>
      <x:c r="B548" s="1" t="str">
        <x:v>cmsbskr86000h04ji5a4thcht</x:v>
      </x:c>
      <x:c r="C548" s="1" t="str">
        <x:v>cmsbsfl20000204jilg9k8ism</x:v>
      </x:c>
      <x:c r="D548" s="1" t="str">
        <x:v>ca-2023-002537-storm-global-limited-v-jason-lutz-appellant-skeleton</x:v>
      </x:c>
      <x:c r="E548" s="1" t="str">
        <x:v>real</x:v>
      </x:c>
      <x:c r="F548" s="15" t="str">
        <x:v>Storm Global Limited v Jason Lutz</x:v>
      </x:c>
      <x:c r="G548" s="16" t="n">
        <x:v>46236.53056837963</x:v>
      </x:c>
      <x:c r="H548" s="15" t="str">
        <x:v>legislation</x:v>
      </x:c>
      <x:c r="I548" s="15" t="str">
        <x:v>legislation:senior courts act 1981 s 35a</x:v>
      </x:c>
      <x:c r="J548" s="15" t="str">
        <x:v>Senior Courts Act 1981, s.35A</x:v>
      </x:c>
      <x:c r="K548" s="15" t="str">
        <x:v>Senior Courts Act 1981, s.35A</x:v>
      </x:c>
      <x:c r="L548" s="15" t="str"/>
      <x:c r="M548" s="15" t="str"/>
      <x:c r="N548" s="15" t="str">
        <x:v>decisionAndDisposition.interest.statutoryBasis</x:v>
      </x:c>
      <x:c r="O548" s="15" t="str">
        <x:v>structured_json</x:v>
      </x:c>
      <x:c r="P548" s="15" t="str"/>
      <x:c r="Q548" s="15" t="str"/>
      <x:c r="R548" s="15" t="str"/>
      <x:c r="S548" s="15" t="str"/>
    </x:row>
    <x:row r="549">
      <x:c r="A549" s="1" t="str">
        <x:v>O0548</x:v>
      </x:c>
      <x:c r="B549" s="1" t="str">
        <x:v>cmsbskr86000h04ji5a4thcht</x:v>
      </x:c>
      <x:c r="C549" s="1" t="str">
        <x:v>cmsbsfl20000204jilg9k8ism</x:v>
      </x:c>
      <x:c r="D549" s="1" t="str">
        <x:v>ca-2023-002537-storm-global-limited-v-jason-lutz-appellant-skeleton</x:v>
      </x:c>
      <x:c r="E549" s="1" t="str">
        <x:v>real</x:v>
      </x:c>
      <x:c r="F549" s="15" t="str">
        <x:v>Storm Global Limited v Jason Lutz</x:v>
      </x:c>
      <x:c r="G549" s="16" t="n">
        <x:v>46236.53056837963</x:v>
      </x:c>
      <x:c r="H549" s="15" t="str">
        <x:v>legislation</x:v>
      </x:c>
      <x:c r="I549" s="15" t="str">
        <x:v>legislation:agency worker regulations 2010</x:v>
      </x:c>
      <x:c r="J549" s="15" t="str">
        <x:v>Agency Worker Regulations 2010</x:v>
      </x:c>
      <x:c r="K549" s="15" t="str">
        <x:v>Agency Worker Regulations 2010</x:v>
      </x:c>
      <x:c r="L549" s="15" t="str"/>
      <x:c r="M549" s="15" t="str"/>
      <x:c r="N549" s="15" t="str">
        <x:v>legalFramework.legalTestSummaries[0].sourceAuthority</x:v>
      </x:c>
      <x:c r="O549" s="15" t="str">
        <x:v>structured_json</x:v>
      </x:c>
      <x:c r="P549" s="15" t="str"/>
      <x:c r="Q549" s="15" t="str"/>
      <x:c r="R549" s="15" t="str"/>
      <x:c r="S549" s="15" t="str"/>
    </x:row>
    <x:row r="550">
      <x:c r="A550" s="1" t="str">
        <x:v>O0549</x:v>
      </x:c>
      <x:c r="B550" s="1" t="str">
        <x:v>cmsbskr86000h04ji5a4thcht</x:v>
      </x:c>
      <x:c r="C550" s="1" t="str">
        <x:v>cmsbsfl20000204jilg9k8ism</x:v>
      </x:c>
      <x:c r="D550" s="1" t="str">
        <x:v>ca-2023-002537-storm-global-limited-v-jason-lutz-appellant-skeleton</x:v>
      </x:c>
      <x:c r="E550" s="1" t="str">
        <x:v>real</x:v>
      </x:c>
      <x:c r="F550" s="15" t="str">
        <x:v>Storm Global Limited v Jason Lutz</x:v>
      </x:c>
      <x:c r="G550" s="16" t="n">
        <x:v>46236.53056837963</x:v>
      </x:c>
      <x:c r="H550" s="15" t="str">
        <x:v>case</x:v>
      </x:c>
      <x:c r="I550" s="15" t="str">
        <x:v>case:2022 ewca civ 229</x:v>
      </x:c>
      <x:c r="J550" s="15" t="str">
        <x:v>Nursing and Midwifery Council v Somerville</x:v>
      </x:c>
      <x:c r="K550" s="15" t="str">
        <x:v>[2022] EWCA Civ 229</x:v>
      </x:c>
      <x:c r="L550" s="15" t="str">
        <x:v>4a6e3c60-f40d-4a95-bd57-d62150508e45</x:v>
      </x:c>
      <x:c r="M550" s="15" t="str"/>
      <x:c r="N550" s="15" t="str">
        <x:v>factualFindings.contestedFacts[0].sourceCases[0]</x:v>
      </x:c>
      <x:c r="O550" s="15" t="str">
        <x:v>structured_json</x:v>
      </x:c>
      <x:c r="P550" s="15" t="str"/>
      <x:c r="Q550" s="15" t="str">
        <x:v>same_proposition</x:v>
      </x:c>
      <x:c r="R550" s="15" t="str">
        <x:v>This case addresses similar agency worker definitions and employment status, which is crucial for understanding the context of Lutz's employment classification.</x:v>
      </x:c>
      <x:c r="S550" s="15" t="str"/>
    </x:row>
    <x:row r="551">
      <x:c r="A551" s="1" t="str">
        <x:v>O0550</x:v>
      </x:c>
      <x:c r="B551" s="1" t="str">
        <x:v>cmsbskr86000h04ji5a4thcht</x:v>
      </x:c>
      <x:c r="C551" s="1" t="str">
        <x:v>cmsbsfl20000204jilg9k8ism</x:v>
      </x:c>
      <x:c r="D551" s="1" t="str">
        <x:v>ca-2023-002537-storm-global-limited-v-jason-lutz-appellant-skeleton</x:v>
      </x:c>
      <x:c r="E551" s="1" t="str">
        <x:v>real</x:v>
      </x:c>
      <x:c r="F551" s="15" t="str">
        <x:v>Storm Global Limited v Jason Lutz</x:v>
      </x:c>
      <x:c r="G551" s="16" t="n">
        <x:v>46236.53056837963</x:v>
      </x:c>
      <x:c r="H551" s="15" t="str">
        <x:v>case</x:v>
      </x:c>
      <x:c r="I551" s="15" t="str">
        <x:v>case:2022 ewca civ 189</x:v>
      </x:c>
      <x:c r="J551" s="15" t="str">
        <x:v>Kocur v Angard Staffing Solutions Limited &amp; Anor</x:v>
      </x:c>
      <x:c r="K551" s="15" t="str">
        <x:v>[2022] EWCA Civ 189</x:v>
      </x:c>
      <x:c r="L551" s="15" t="str">
        <x:v>f8755763-8d90-4b51-8a0a-d11efa528908</x:v>
      </x:c>
      <x:c r="M551" s="15" t="str"/>
      <x:c r="N551" s="15" t="str">
        <x:v>factualFindings.contestedFacts[0].sourceCases[1]</x:v>
      </x:c>
      <x:c r="O551" s="15" t="str">
        <x:v>structured_json</x:v>
      </x:c>
      <x:c r="P551" s="15" t="str"/>
      <x:c r="Q551" s="15" t="str">
        <x:v>applied_differently</x:v>
      </x:c>
      <x:c r="R551" s="15" t="str">
        <x:v>This case interprets agency workers regulations and their application, paralleling Lutz's claims regarding his employment status.</x:v>
      </x:c>
      <x:c r="S551" s="15" t="str"/>
    </x:row>
    <x:row r="552">
      <x:c r="A552" s="1" t="str">
        <x:v>O0551</x:v>
      </x:c>
      <x:c r="B552" s="1" t="str">
        <x:v>cmsbskr86000h04ji5a4thcht</x:v>
      </x:c>
      <x:c r="C552" s="1" t="str">
        <x:v>cmsbsfl20000204jilg9k8ism</x:v>
      </x:c>
      <x:c r="D552" s="1" t="str">
        <x:v>ca-2023-002537-storm-global-limited-v-jason-lutz-appellant-skeleton</x:v>
      </x:c>
      <x:c r="E552" s="1" t="str">
        <x:v>real</x:v>
      </x:c>
      <x:c r="F552" s="15" t="str">
        <x:v>Storm Global Limited v Jason Lutz</x:v>
      </x:c>
      <x:c r="G552" s="16" t="n">
        <x:v>46236.53056837963</x:v>
      </x:c>
      <x:c r="H552" s="15" t="str">
        <x:v>case</x:v>
      </x:c>
      <x:c r="I552" s="15" t="str">
        <x:v>case:2022 ewca civ 229</x:v>
      </x:c>
      <x:c r="J552" s="15" t="str">
        <x:v>Nursing and Midwifery Council v Somerville</x:v>
      </x:c>
      <x:c r="K552" s="15" t="str">
        <x:v>[2022] EWCA Civ 229</x:v>
      </x:c>
      <x:c r="L552" s="15" t="str">
        <x:v>4a6e3c60-f40d-4a95-bd57-d62150508e45</x:v>
      </x:c>
      <x:c r="M552" s="15" t="str"/>
      <x:c r="N552" s="15" t="str">
        <x:v>reasoningStructure[0].sourceCases[0]</x:v>
      </x:c>
      <x:c r="O552" s="15" t="str">
        <x:v>structured_json</x:v>
      </x:c>
      <x:c r="P552" s="15" t="str"/>
      <x:c r="Q552" s="15" t="str">
        <x:v>applied_differently</x:v>
      </x:c>
      <x:c r="R552" s="15" t="str">
        <x:v>Analyzed similar jurisdictional implications concerning agency worker definitions and employment classifications.</x:v>
      </x:c>
      <x:c r="S552" s="15" t="str"/>
    </x:row>
    <x:row r="553">
      <x:c r="A553" s="1" t="str">
        <x:v>O0552</x:v>
      </x:c>
      <x:c r="B553" s="1" t="str">
        <x:v>cmsbskr86000h04ji5a4thcht</x:v>
      </x:c>
      <x:c r="C553" s="1" t="str">
        <x:v>cmsbsfl20000204jilg9k8ism</x:v>
      </x:c>
      <x:c r="D553" s="1" t="str">
        <x:v>ca-2023-002537-storm-global-limited-v-jason-lutz-appellant-skeleton</x:v>
      </x:c>
      <x:c r="E553" s="1" t="str">
        <x:v>real</x:v>
      </x:c>
      <x:c r="F553" s="15" t="str">
        <x:v>Storm Global Limited v Jason Lutz</x:v>
      </x:c>
      <x:c r="G553" s="16" t="n">
        <x:v>46236.53056837963</x:v>
      </x:c>
      <x:c r="H553" s="15" t="str">
        <x:v>case</x:v>
      </x:c>
      <x:c r="I553" s="15" t="str">
        <x:v>case:2022 ewca civ 189</x:v>
      </x:c>
      <x:c r="J553" s="15" t="str">
        <x:v>Kocur v Angard Staffing Solutions Limited &amp; Anor</x:v>
      </x:c>
      <x:c r="K553" s="15" t="str">
        <x:v>[2022] EWCA Civ 189</x:v>
      </x:c>
      <x:c r="L553" s="15" t="str">
        <x:v>f8755763-8d90-4b51-8a0a-d11efa528908</x:v>
      </x:c>
      <x:c r="M553" s="15" t="str"/>
      <x:c r="N553" s="15" t="str">
        <x:v>reasoningStructure[0].sourceCases[1]</x:v>
      </x:c>
      <x:c r="O553" s="15" t="str">
        <x:v>structured_json</x:v>
      </x:c>
      <x:c r="P553" s="15" t="str"/>
      <x:c r="Q553" s="15" t="str">
        <x:v>applied_differently</x:v>
      </x:c>
      <x:c r="R553" s="15" t="str">
        <x:v>Evaluated akin agency worker statuses and their legal implications under employment frameworks.</x:v>
      </x:c>
      <x:c r="S553" s="15" t="str"/>
    </x:row>
    <x:row r="554">
      <x:c r="A554" s="1" t="str">
        <x:v>O0553</x:v>
      </x:c>
      <x:c r="B554" s="1" t="str">
        <x:v>cmsbskr86000h04ji5a4thcht</x:v>
      </x:c>
      <x:c r="C554" s="1" t="str">
        <x:v>cmsbsfl20000204jilg9k8ism</x:v>
      </x:c>
      <x:c r="D554" s="1" t="str">
        <x:v>ca-2023-002537-storm-global-limited-v-jason-lutz-appellant-skeleton</x:v>
      </x:c>
      <x:c r="E554" s="1" t="str">
        <x:v>real</x:v>
      </x:c>
      <x:c r="F554" s="15" t="str">
        <x:v>Storm Global Limited v Jason Lutz</x:v>
      </x:c>
      <x:c r="G554" s="16" t="n">
        <x:v>46236.53056837963</x:v>
      </x:c>
      <x:c r="H554" s="15" t="str">
        <x:v>case</x:v>
      </x:c>
      <x:c r="I554" s="15" t="str">
        <x:v>case:2022 ewca civ 189</x:v>
      </x:c>
      <x:c r="J554" s="15" t="str">
        <x:v>Kocur v Angard Staffing Solutions Limited &amp; Anor</x:v>
      </x:c>
      <x:c r="K554" s="15" t="str">
        <x:v>[2022] EWCA Civ 189</x:v>
      </x:c>
      <x:c r="L554" s="15" t="str">
        <x:v>f8755763-8d90-4b51-8a0a-d11efa528908</x:v>
      </x:c>
      <x:c r="M554" s="15" t="str"/>
      <x:c r="N554" s="15" t="str">
        <x:v>issuesForDetermination.issueMatrix[0].sourceCases[0]</x:v>
      </x:c>
      <x:c r="O554" s="15" t="str">
        <x:v>structured_json</x:v>
      </x:c>
      <x:c r="P554" s="15" t="str"/>
      <x:c r="Q554" s="15" t="str">
        <x:v>same_proposition</x:v>
      </x:c>
      <x:c r="R554" s="15" t="str">
        <x:v>This case involves definitions relevant to agency workers and employment status, aiding in underlying theme and consistency of interpretation.</x:v>
      </x:c>
      <x:c r="S554" s="15" t="str"/>
    </x:row>
    <x:row r="555">
      <x:c r="A555" s="1" t="str">
        <x:v>O0554</x:v>
      </x:c>
      <x:c r="B555" s="1" t="str">
        <x:v>cmsbsp3em001104ji2u62id7q</x:v>
      </x:c>
      <x:c r="C555" s="1" t="str">
        <x:v>cmsbsln8v000m04jihjbo4vud</x:v>
      </x:c>
      <x:c r="D555" s="1" t="str">
        <x:v>ca-2024-000624 and ca-2024-000625-the-royal-embassy-of-saudi-arabia-appellant-skeleton</x:v>
      </x:c>
      <x:c r="E555" s="1" t="str">
        <x:v>real</x:v>
      </x:c>
      <x:c r="F555" s="15" t="str">
        <x:v>The Royal Embassy of Saudi Arabia (Cultural Bureau) v Abir Alhayali</x:v>
      </x:c>
      <x:c r="G555" s="16" t="n">
        <x:v>46236.53291107639</x:v>
      </x:c>
      <x:c r="H555" s="15" t="str">
        <x:v>case</x:v>
      </x:c>
      <x:c r="I555" s="15" t="str">
        <x:v>case:2002 ewca civ 605</x:v>
      </x:c>
      <x:c r="J555" s="15" t="str">
        <x:v>[2002] EWCA Civ 605</x:v>
      </x:c>
      <x:c r="K555" s="15" t="str">
        <x:v>[2002] EWCA Civ 605</x:v>
      </x:c>
      <x:c r="L555" s="15" t="str"/>
      <x:c r="M555" s="15" t="str"/>
      <x:c r="N555" s="15" t="str">
        <x:v>legalFramework.precedentCitations[0]</x:v>
      </x:c>
      <x:c r="O555" s="15" t="str">
        <x:v>structured_json</x:v>
      </x:c>
      <x:c r="P555" s="15" t="str">
        <x:v>binding</x:v>
      </x:c>
      <x:c r="Q555" s="15" t="str"/>
      <x:c r="R555" s="15" t="str">
        <x:v>Adequacy of reasons in judgments are essential for meaningful appellate review.</x:v>
      </x:c>
      <x:c r="S555" s="15" t="str"/>
    </x:row>
    <x:row r="556">
      <x:c r="A556" s="1" t="str">
        <x:v>O0555</x:v>
      </x:c>
      <x:c r="B556" s="1" t="str">
        <x:v>cmsbsp3em001104ji2u62id7q</x:v>
      </x:c>
      <x:c r="C556" s="1" t="str">
        <x:v>cmsbsln8v000m04jihjbo4vud</x:v>
      </x:c>
      <x:c r="D556" s="1" t="str">
        <x:v>ca-2024-000624 and ca-2024-000625-the-royal-embassy-of-saudi-arabia-appellant-skeleton</x:v>
      </x:c>
      <x:c r="E556" s="1" t="str">
        <x:v>real</x:v>
      </x:c>
      <x:c r="F556" s="15" t="str">
        <x:v>The Royal Embassy of Saudi Arabia (Cultural Bureau) v Abir Alhayali</x:v>
      </x:c>
      <x:c r="G556" s="16" t="n">
        <x:v>46236.53291107639</x:v>
      </x:c>
      <x:c r="H556" s="15" t="str">
        <x:v>other</x:v>
      </x:c>
      <x:c r="I556" s="15" t="str">
        <x:v>other:2000 1 wlr 377</x:v>
      </x:c>
      <x:c r="J556" s="15" t="str">
        <x:v>[2000] 1 WLR 377</x:v>
      </x:c>
      <x:c r="K556" s="15" t="str">
        <x:v>[2000] 1 WLR 377</x:v>
      </x:c>
      <x:c r="L556" s="15" t="str"/>
      <x:c r="M556" s="15" t="str"/>
      <x:c r="N556" s="15" t="str">
        <x:v>legalFramework.precedentCitations[1]</x:v>
      </x:c>
      <x:c r="O556" s="15" t="str">
        <x:v>structured_json</x:v>
      </x:c>
      <x:c r="P556" s="15" t="str">
        <x:v>binding</x:v>
      </x:c>
      <x:c r="Q556" s="15" t="str"/>
      <x:c r="R556" s="15" t="str">
        <x:v>Expectations on judges to provide adequate reasons under general accident and common law principles.</x:v>
      </x:c>
      <x:c r="S556" s="15" t="str"/>
    </x:row>
    <x:row r="557">
      <x:c r="A557" s="1" t="str">
        <x:v>O0556</x:v>
      </x:c>
      <x:c r="B557" s="1" t="str">
        <x:v>cmsbsp3em001104ji2u62id7q</x:v>
      </x:c>
      <x:c r="C557" s="1" t="str">
        <x:v>cmsbsln8v000m04jihjbo4vud</x:v>
      </x:c>
      <x:c r="D557" s="1" t="str">
        <x:v>ca-2024-000624 and ca-2024-000625-the-royal-embassy-of-saudi-arabia-appellant-skeleton</x:v>
      </x:c>
      <x:c r="E557" s="1" t="str">
        <x:v>real</x:v>
      </x:c>
      <x:c r="F557" s="15" t="str">
        <x:v>The Royal Embassy of Saudi Arabia (Cultural Bureau) v Abir Alhayali</x:v>
      </x:c>
      <x:c r="G557" s="16" t="n">
        <x:v>46236.53291107639</x:v>
      </x:c>
      <x:c r="H557" s="15" t="str">
        <x:v>legislation</x:v>
      </x:c>
      <x:c r="I557" s="15" t="str">
        <x:v>legislation:state immunity act 1978 sections 4 and 5</x:v>
      </x:c>
      <x:c r="J557" s="15" t="str">
        <x:v>State Immunity Act 1978</x:v>
      </x:c>
      <x:c r="K557" s="15" t="str">
        <x:v>State Immunity Act 1978 Sections 4 and 5</x:v>
      </x:c>
      <x:c r="L557" s="15" t="str"/>
      <x:c r="M557" s="15" t="str">
        <x:v>Sections 4 and 5</x:v>
      </x:c>
      <x:c r="N557" s="15" t="str">
        <x:v>legalFramework.statutoryProvisions[0]</x:v>
      </x:c>
      <x:c r="O557" s="15" t="str">
        <x:v>structured_json</x:v>
      </x:c>
      <x:c r="P557" s="15" t="str"/>
      <x:c r="Q557" s="15" t="str"/>
      <x:c r="R557" s="15" t="str">
        <x:v>These sections outline exceptions to state immunity, particularly concerning personal injury claims, which are pivotal in this case.</x:v>
      </x:c>
      <x:c r="S557" s="15" t="str"/>
    </x:row>
    <x:row r="558">
      <x:c r="A558" s="1" t="str">
        <x:v>O0557</x:v>
      </x:c>
      <x:c r="B558" s="1" t="str">
        <x:v>cmsbsp3em001104ji2u62id7q</x:v>
      </x:c>
      <x:c r="C558" s="1" t="str">
        <x:v>cmsbsln8v000m04jihjbo4vud</x:v>
      </x:c>
      <x:c r="D558" s="1" t="str">
        <x:v>ca-2024-000624 and ca-2024-000625-the-royal-embassy-of-saudi-arabia-appellant-skeleton</x:v>
      </x:c>
      <x:c r="E558" s="1" t="str">
        <x:v>real</x:v>
      </x:c>
      <x:c r="F558" s="15" t="str">
        <x:v>The Royal Embassy of Saudi Arabia (Cultural Bureau) v Abir Alhayali</x:v>
      </x:c>
      <x:c r="G558" s="16" t="n">
        <x:v>46236.53291107639</x:v>
      </x:c>
      <x:c r="H558" s="15" t="str">
        <x:v>legislation</x:v>
      </x:c>
      <x:c r="I558" s="15" t="str">
        <x:v>legislation:equality act 2010 s 57</x:v>
      </x:c>
      <x:c r="J558" s="15" t="str">
        <x:v>Equality Act 2010</x:v>
      </x:c>
      <x:c r="K558" s="15" t="str">
        <x:v>Equality Act 2010 Section 57</x:v>
      </x:c>
      <x:c r="L558" s="15" t="str"/>
      <x:c r="M558" s="15" t="str">
        <x:v>Section 57</x:v>
      </x:c>
      <x:c r="N558" s="15" t="str">
        <x:v>legalFramework.statutoryProvisions[1]</x:v>
      </x:c>
      <x:c r="O558" s="15" t="str">
        <x:v>structured_json</x:v>
      </x:c>
      <x:c r="P558" s="15" t="str"/>
      <x:c r="Q558" s="15" t="str"/>
      <x:c r="R558" s="15" t="str">
        <x:v>It outlines definitions of discrimination, especially in employing environments, crucial for analyzing the Claimant's case.</x:v>
      </x:c>
      <x:c r="S558" s="15" t="str"/>
    </x:row>
    <x:row r="559">
      <x:c r="A559" s="1" t="str">
        <x:v>O0558</x:v>
      </x:c>
      <x:c r="B559" s="1" t="str">
        <x:v>cmsbsp3em001104ji2u62id7q</x:v>
      </x:c>
      <x:c r="C559" s="1" t="str">
        <x:v>cmsbsln8v000m04jihjbo4vud</x:v>
      </x:c>
      <x:c r="D559" s="1" t="str">
        <x:v>ca-2024-000624 and ca-2024-000625-the-royal-embassy-of-saudi-arabia-appellant-skeleton</x:v>
      </x:c>
      <x:c r="E559" s="1" t="str">
        <x:v>real</x:v>
      </x:c>
      <x:c r="F559" s="15" t="str">
        <x:v>The Royal Embassy of Saudi Arabia (Cultural Bureau) v Abir Alhayali</x:v>
      </x:c>
      <x:c r="G559" s="16" t="n">
        <x:v>46236.53291107639</x:v>
      </x:c>
      <x:c r="H559" s="15" t="str">
        <x:v>legislation</x:v>
      </x:c>
      <x:c r="I559" s="15" t="str">
        <x:v>legislation:senior courts act 1981 s 35a</x:v>
      </x:c>
      <x:c r="J559" s="15" t="str">
        <x:v>Senior Courts Act 1981, s.35A</x:v>
      </x:c>
      <x:c r="K559" s="15" t="str">
        <x:v>Senior Courts Act 1981, s.35A</x:v>
      </x:c>
      <x:c r="L559" s="15" t="str"/>
      <x:c r="M559" s="15" t="str"/>
      <x:c r="N559" s="15" t="str">
        <x:v>decisionAndDisposition.interest.statutoryBasis</x:v>
      </x:c>
      <x:c r="O559" s="15" t="str">
        <x:v>structured_json</x:v>
      </x:c>
      <x:c r="P559" s="15" t="str"/>
      <x:c r="Q559" s="15" t="str"/>
      <x:c r="R559" s="15" t="str"/>
      <x:c r="S559" s="15" t="str"/>
    </x:row>
    <x:row r="560">
      <x:c r="A560" s="1" t="str">
        <x:v>O0559</x:v>
      </x:c>
      <x:c r="B560" s="1" t="str">
        <x:v>cmsbsp3em001104ji2u62id7q</x:v>
      </x:c>
      <x:c r="C560" s="1" t="str">
        <x:v>cmsbsln8v000m04jihjbo4vud</x:v>
      </x:c>
      <x:c r="D560" s="1" t="str">
        <x:v>ca-2024-000624 and ca-2024-000625-the-royal-embassy-of-saudi-arabia-appellant-skeleton</x:v>
      </x:c>
      <x:c r="E560" s="1" t="str">
        <x:v>real</x:v>
      </x:c>
      <x:c r="F560" s="15" t="str">
        <x:v>The Royal Embassy of Saudi Arabia (Cultural Bureau) v Abir Alhayali</x:v>
      </x:c>
      <x:c r="G560" s="16" t="n">
        <x:v>46236.53291107639</x:v>
      </x:c>
      <x:c r="H560" s="15" t="str">
        <x:v>legislation</x:v>
      </x:c>
      <x:c r="I560" s="15" t="str">
        <x:v>legislation:state immunity act 1978</x:v>
      </x:c>
      <x:c r="J560" s="15" t="str">
        <x:v>State Immunity Act 1978</x:v>
      </x:c>
      <x:c r="K560" s="15" t="str">
        <x:v>State Immunity Act 1978</x:v>
      </x:c>
      <x:c r="L560" s="15" t="str"/>
      <x:c r="M560" s="15" t="str"/>
      <x:c r="N560" s="15" t="str">
        <x:v>legalFramework.legalTestSummaries[0].sourceAuthority</x:v>
      </x:c>
      <x:c r="O560" s="15" t="str">
        <x:v>structured_json</x:v>
      </x:c>
      <x:c r="P560" s="15" t="str"/>
      <x:c r="Q560" s="15" t="str"/>
      <x:c r="R560" s="15" t="str"/>
      <x:c r="S560" s="15" t="str"/>
    </x:row>
    <x:row r="561">
      <x:c r="A561" s="1" t="str">
        <x:v>O0560</x:v>
      </x:c>
      <x:c r="B561" s="1" t="str">
        <x:v>cmsbsp3em001104ji2u62id7q</x:v>
      </x:c>
      <x:c r="C561" s="1" t="str">
        <x:v>cmsbsln8v000m04jihjbo4vud</x:v>
      </x:c>
      <x:c r="D561" s="1" t="str">
        <x:v>ca-2024-000624 and ca-2024-000625-the-royal-embassy-of-saudi-arabia-appellant-skeleton</x:v>
      </x:c>
      <x:c r="E561" s="1" t="str">
        <x:v>real</x:v>
      </x:c>
      <x:c r="F561" s="15" t="str">
        <x:v>The Royal Embassy of Saudi Arabia (Cultural Bureau) v Abir Alhayali</x:v>
      </x:c>
      <x:c r="G561" s="16" t="n">
        <x:v>46236.53291107639</x:v>
      </x:c>
      <x:c r="H561" s="15" t="str">
        <x:v>legislation</x:v>
      </x:c>
      <x:c r="I561" s="15" t="str">
        <x:v>legislation:state immunity act 1978</x:v>
      </x:c>
      <x:c r="J561" s="15" t="str">
        <x:v>State Immunity Act 1978</x:v>
      </x:c>
      <x:c r="K561" s="15" t="str">
        <x:v>State Immunity Act 1978</x:v>
      </x:c>
      <x:c r="L561" s="15" t="str"/>
      <x:c r="M561" s="15" t="str"/>
      <x:c r="N561" s="15" t="str">
        <x:v>legalFramework.legalTestSummaries[1].sourceAuthority</x:v>
      </x:c>
      <x:c r="O561" s="15" t="str">
        <x:v>structured_json</x:v>
      </x:c>
      <x:c r="P561" s="15" t="str"/>
      <x:c r="Q561" s="15" t="str"/>
      <x:c r="R561" s="15" t="str"/>
      <x:c r="S561" s="15" t="str"/>
    </x:row>
    <x:row r="562">
      <x:c r="A562" s="1" t="str">
        <x:v>O0561</x:v>
      </x:c>
      <x:c r="B562" s="1" t="str">
        <x:v>cmsbsp3em001104ji2u62id7q</x:v>
      </x:c>
      <x:c r="C562" s="1" t="str">
        <x:v>cmsbsln8v000m04jihjbo4vud</x:v>
      </x:c>
      <x:c r="D562" s="1" t="str">
        <x:v>ca-2024-000624 and ca-2024-000625-the-royal-embassy-of-saudi-arabia-appellant-skeleton</x:v>
      </x:c>
      <x:c r="E562" s="1" t="str">
        <x:v>real</x:v>
      </x:c>
      <x:c r="F562" s="15" t="str">
        <x:v>The Royal Embassy of Saudi Arabia (Cultural Bureau) v Abir Alhayali</x:v>
      </x:c>
      <x:c r="G562" s="16" t="n">
        <x:v>46236.53291107639</x:v>
      </x:c>
      <x:c r="H562" s="15" t="str">
        <x:v>legislation</x:v>
      </x:c>
      <x:c r="I562" s="15" t="str">
        <x:v>legislation:equality act 2010</x:v>
      </x:c>
      <x:c r="J562" s="15" t="str">
        <x:v>Equality Act 2010</x:v>
      </x:c>
      <x:c r="K562" s="15" t="str">
        <x:v>Equality Act 2010</x:v>
      </x:c>
      <x:c r="L562" s="15" t="str"/>
      <x:c r="M562" s="15" t="str"/>
      <x:c r="N562" s="15" t="str">
        <x:v>legalFramework.legalTestSummaries[2].sourceAuthority</x:v>
      </x:c>
      <x:c r="O562" s="15" t="str">
        <x:v>structured_json</x:v>
      </x:c>
      <x:c r="P562" s="15" t="str"/>
      <x:c r="Q562" s="15" t="str"/>
      <x:c r="R562" s="15" t="str"/>
      <x:c r="S562" s="15" t="str"/>
    </x:row>
    <x:row r="563">
      <x:c r="A563" s="1" t="str">
        <x:v>O0562</x:v>
      </x:c>
      <x:c r="B563" s="1" t="str">
        <x:v>cmsbsp3em001104ji2u62id7q</x:v>
      </x:c>
      <x:c r="C563" s="1" t="str">
        <x:v>cmsbsln8v000m04jihjbo4vud</x:v>
      </x:c>
      <x:c r="D563" s="1" t="str">
        <x:v>ca-2024-000624 and ca-2024-000625-the-royal-embassy-of-saudi-arabia-appellant-skeleton</x:v>
      </x:c>
      <x:c r="E563" s="1" t="str">
        <x:v>real</x:v>
      </x:c>
      <x:c r="F563" s="15" t="str">
        <x:v>The Royal Embassy of Saudi Arabia (Cultural Bureau) v Abir Alhayali</x:v>
      </x:c>
      <x:c r="G563" s="16" t="n">
        <x:v>46236.53291107639</x:v>
      </x:c>
      <x:c r="H563" s="15" t="str">
        <x:v>case</x:v>
      </x:c>
      <x:c r="I563" s="15" t="str">
        <x:v>case:benkharbouche &amp; anor v embassy of the republic of sudan</x:v>
      </x:c>
      <x:c r="J563" s="15" t="str">
        <x:v>Benkharbouche &amp; Anor v Embassy of the Republic of Sudan</x:v>
      </x:c>
      <x:c r="K563" s="15" t="str">
        <x:v>N/A</x:v>
      </x:c>
      <x:c r="L563" s="15" t="str">
        <x:v>48a6c9aa-6aaf-46f0-a0a1-db486992f637</x:v>
      </x:c>
      <x:c r="M563" s="15" t="str"/>
      <x:c r="N563" s="15" t="str">
        <x:v>legalFramework.statutoryProvisions[0].sourceCases[0]</x:v>
      </x:c>
      <x:c r="O563" s="15" t="str">
        <x:v>structured_json</x:v>
      </x:c>
      <x:c r="P563" s="15" t="str"/>
      <x:c r="Q563" s="15" t="str">
        <x:v>applied_differently</x:v>
      </x:c>
      <x:c r="R563" s="15" t="str">
        <x:v>Highlighted discussions around the SIA and the definition of personal injury with a focus on psychological claims.</x:v>
      </x:c>
      <x:c r="S563" s="15" t="str"/>
    </x:row>
    <x:row r="564">
      <x:c r="A564" s="1" t="str">
        <x:v>O0563</x:v>
      </x:c>
      <x:c r="B564" s="1" t="str">
        <x:v>cmsbsp3em001104ji2u62id7q</x:v>
      </x:c>
      <x:c r="C564" s="1" t="str">
        <x:v>cmsbsln8v000m04jihjbo4vud</x:v>
      </x:c>
      <x:c r="D564" s="1" t="str">
        <x:v>ca-2024-000624 and ca-2024-000625-the-royal-embassy-of-saudi-arabia-appellant-skeleton</x:v>
      </x:c>
      <x:c r="E564" s="1" t="str">
        <x:v>real</x:v>
      </x:c>
      <x:c r="F564" s="15" t="str">
        <x:v>The Royal Embassy of Saudi Arabia (Cultural Bureau) v Abir Alhayali</x:v>
      </x:c>
      <x:c r="G564" s="16" t="n">
        <x:v>46236.53291107639</x:v>
      </x:c>
      <x:c r="H564" s="15" t="str">
        <x:v>case</x:v>
      </x:c>
      <x:c r="I564" s="15" t="str">
        <x:v>case:benkharbouche &amp; anor v embassy of the republic of sudan</x:v>
      </x:c>
      <x:c r="J564" s="15" t="str">
        <x:v>Benkharbouche &amp; Anor v Embassy of the Republic of Sudan</x:v>
      </x:c>
      <x:c r="K564" s="15" t="str">
        <x:v>N/A</x:v>
      </x:c>
      <x:c r="L564" s="15" t="str">
        <x:v>48a6c9aa-6aaf-46f0-a0a1-db486992f637</x:v>
      </x:c>
      <x:c r="M564" s="15" t="str"/>
      <x:c r="N564" s="15" t="str">
        <x:v>factualFindings.contestedFacts[1].sourceCases[0]</x:v>
      </x:c>
      <x:c r="O564" s="15" t="str">
        <x:v>structured_json</x:v>
      </x:c>
      <x:c r="P564" s="15" t="str"/>
      <x:c r="Q564" s="15" t="str">
        <x:v>same_proposition</x:v>
      </x:c>
      <x:c r="R564" s="15" t="str">
        <x:v>This case discusses the intersection of state immunity and employment-related personal injuries.</x:v>
      </x:c>
      <x:c r="S564" s="15" t="str"/>
    </x:row>
    <x:row r="565">
      <x:c r="A565" s="1" t="str">
        <x:v>O0564</x:v>
      </x:c>
      <x:c r="B565" s="1" t="str">
        <x:v>cmsbsp3em001104ji2u62id7q</x:v>
      </x:c>
      <x:c r="C565" s="1" t="str">
        <x:v>cmsbsln8v000m04jihjbo4vud</x:v>
      </x:c>
      <x:c r="D565" s="1" t="str">
        <x:v>ca-2024-000624 and ca-2024-000625-the-royal-embassy-of-saudi-arabia-appellant-skeleton</x:v>
      </x:c>
      <x:c r="E565" s="1" t="str">
        <x:v>real</x:v>
      </x:c>
      <x:c r="F565" s="15" t="str">
        <x:v>The Royal Embassy of Saudi Arabia (Cultural Bureau) v Abir Alhayali</x:v>
      </x:c>
      <x:c r="G565" s="16" t="n">
        <x:v>46236.53291107639</x:v>
      </x:c>
      <x:c r="H565" s="15" t="str">
        <x:v>case</x:v>
      </x:c>
      <x:c r="I565" s="15" t="str">
        <x:v>case:2014 ewca civ 1394</x:v>
      </x:c>
      <x:c r="J565" s="15" t="str">
        <x:v>Belhaj &amp; Anor v Straw &amp; Ors</x:v>
      </x:c>
      <x:c r="K565" s="15" t="str">
        <x:v>[2014] EWCA Civ 1394</x:v>
      </x:c>
      <x:c r="L565" s="15" t="str">
        <x:v>47b7ca59-4dae-4e38-9b19-66a4d28a1d9e</x:v>
      </x:c>
      <x:c r="M565" s="15" t="str"/>
      <x:c r="N565" s="15" t="str">
        <x:v>factualFindings.contestedFacts[2].sourceCases[0]</x:v>
      </x:c>
      <x:c r="O565" s="15" t="str">
        <x:v>structured_json</x:v>
      </x:c>
      <x:c r="P565" s="15" t="str"/>
      <x:c r="Q565" s="15" t="str">
        <x:v>applied_differently</x:v>
      </x:c>
      <x:c r="R565" s="15" t="str">
        <x:v>This case addresses the applicability of discrimination allegations in the context of state immunity.</x:v>
      </x:c>
      <x:c r="S565" s="15" t="str"/>
    </x:row>
    <x:row r="566">
      <x:c r="A566" s="1" t="str">
        <x:v>O0565</x:v>
      </x:c>
      <x:c r="B566" s="1" t="str">
        <x:v>cmsbsp3em001104ji2u62id7q</x:v>
      </x:c>
      <x:c r="C566" s="1" t="str">
        <x:v>cmsbsln8v000m04jihjbo4vud</x:v>
      </x:c>
      <x:c r="D566" s="1" t="str">
        <x:v>ca-2024-000624 and ca-2024-000625-the-royal-embassy-of-saudi-arabia-appellant-skeleton</x:v>
      </x:c>
      <x:c r="E566" s="1" t="str">
        <x:v>real</x:v>
      </x:c>
      <x:c r="F566" s="15" t="str">
        <x:v>The Royal Embassy of Saudi Arabia (Cultural Bureau) v Abir Alhayali</x:v>
      </x:c>
      <x:c r="G566" s="16" t="n">
        <x:v>46236.53291107639</x:v>
      </x:c>
      <x:c r="H566" s="15" t="str">
        <x:v>case</x:v>
      </x:c>
      <x:c r="I566" s="15" t="str">
        <x:v>case:benkharbouche &amp; anor v embassy of the republic of sudan</x:v>
      </x:c>
      <x:c r="J566" s="15" t="str">
        <x:v>Benkharbouche &amp; Anor v Embassy of the Republic of Sudan</x:v>
      </x:c>
      <x:c r="K566" s="15" t="str">
        <x:v>N/A</x:v>
      </x:c>
      <x:c r="L566" s="15" t="str">
        <x:v>48a6c9aa-6aaf-46f0-a0a1-db486992f637</x:v>
      </x:c>
      <x:c r="M566" s="15" t="str"/>
      <x:c r="N566" s="15" t="str">
        <x:v>reasoningStructure[0].sourceCases[0]</x:v>
      </x:c>
      <x:c r="O566" s="15" t="str">
        <x:v>structured_json</x:v>
      </x:c>
      <x:c r="P566" s="15" t="str"/>
      <x:c r="Q566" s="15" t="str">
        <x:v>same_proposition</x:v>
      </x:c>
      <x:c r="R566" s="15" t="str">
        <x:v>This case aids understanding the definitions surrounding governmental work and state immunity.</x:v>
      </x:c>
      <x:c r="S566" s="15" t="str"/>
    </x:row>
    <x:row r="567">
      <x:c r="A567" s="1" t="str">
        <x:v>O0566</x:v>
      </x:c>
      <x:c r="B567" s="1" t="str">
        <x:v>cmsbsp3em001104ji2u62id7q</x:v>
      </x:c>
      <x:c r="C567" s="1" t="str">
        <x:v>cmsbsln8v000m04jihjbo4vud</x:v>
      </x:c>
      <x:c r="D567" s="1" t="str">
        <x:v>ca-2024-000624 and ca-2024-000625-the-royal-embassy-of-saudi-arabia-appellant-skeleton</x:v>
      </x:c>
      <x:c r="E567" s="1" t="str">
        <x:v>real</x:v>
      </x:c>
      <x:c r="F567" s="15" t="str">
        <x:v>The Royal Embassy of Saudi Arabia (Cultural Bureau) v Abir Alhayali</x:v>
      </x:c>
      <x:c r="G567" s="16" t="n">
        <x:v>46236.53291107639</x:v>
      </x:c>
      <x:c r="H567" s="15" t="str">
        <x:v>case</x:v>
      </x:c>
      <x:c r="I567" s="15" t="str">
        <x:v>case:2014 ewca civ 1394</x:v>
      </x:c>
      <x:c r="J567" s="15" t="str">
        <x:v>Belhaj &amp; Anor v Straw &amp; Ors</x:v>
      </x:c>
      <x:c r="K567" s="15" t="str">
        <x:v>[2014] EWCA Civ 1394</x:v>
      </x:c>
      <x:c r="L567" s="15" t="str">
        <x:v>47b7ca59-4dae-4e38-9b19-66a4d28a1d9e</x:v>
      </x:c>
      <x:c r="M567" s="15" t="str"/>
      <x:c r="N567" s="15" t="str">
        <x:v>reasoningStructure[1].sourceCases[0]</x:v>
      </x:c>
      <x:c r="O567" s="15" t="str">
        <x:v>structured_json</x:v>
      </x:c>
      <x:c r="P567" s="15" t="str"/>
      <x:c r="Q567" s="15" t="str">
        <x:v>applied_differently</x:v>
      </x:c>
      <x:c r="R567" s="15" t="str">
        <x:v>Examines psychological claims in state contexts, providing comparative analysis to the current claims.</x:v>
      </x:c>
      <x:c r="S567" s="15" t="str"/>
    </x:row>
    <x:row r="568">
      <x:c r="A568" s="1" t="str">
        <x:v>O0567</x:v>
      </x:c>
      <x:c r="B568" s="1" t="str">
        <x:v>cmsbsp3em001104ji2u62id7q</x:v>
      </x:c>
      <x:c r="C568" s="1" t="str">
        <x:v>cmsbsln8v000m04jihjbo4vud</x:v>
      </x:c>
      <x:c r="D568" s="1" t="str">
        <x:v>ca-2024-000624 and ca-2024-000625-the-royal-embassy-of-saudi-arabia-appellant-skeleton</x:v>
      </x:c>
      <x:c r="E568" s="1" t="str">
        <x:v>real</x:v>
      </x:c>
      <x:c r="F568" s="15" t="str">
        <x:v>The Royal Embassy of Saudi Arabia (Cultural Bureau) v Abir Alhayali</x:v>
      </x:c>
      <x:c r="G568" s="16" t="n">
        <x:v>46236.53291107639</x:v>
      </x:c>
      <x:c r="H568" s="15" t="str">
        <x:v>case</x:v>
      </x:c>
      <x:c r="I568" s="15" t="str">
        <x:v>case:sayn wittgenstein sayn v hm juan carlos alfonso victor mari a de borbo n y borbo n rev1</x:v>
      </x:c>
      <x:c r="J568" s="15" t="str">
        <x:v>Sayn-Wittgenstein-Sayn v HM Juan Carlos Alfonso Victor María de Borbón y Borbón (Rev1)</x:v>
      </x:c>
      <x:c r="K568" s="15" t="str">
        <x:v>N/A</x:v>
      </x:c>
      <x:c r="L568" s="15" t="str">
        <x:v>2e88bc46-6293-4125-beac-79bb041f2d4c</x:v>
      </x:c>
      <x:c r="M568" s="15" t="str"/>
      <x:c r="N568" s="15" t="str">
        <x:v>reasoningStructure[2].sourceCases[0]</x:v>
      </x:c>
      <x:c r="O568" s="15" t="str">
        <x:v>structured_json</x:v>
      </x:c>
      <x:c r="P568" s="15" t="str"/>
      <x:c r="Q568" s="15" t="str">
        <x:v>same_proposition</x:v>
      </x:c>
      <x:c r="R568" s="15" t="str">
        <x:v>Relevant case emphasizes judicial scrutiny of employee claims against sovereign entities.</x:v>
      </x:c>
      <x:c r="S568" s="15" t="str"/>
    </x:row>
    <x:row r="569">
      <x:c r="A569" s="1" t="str">
        <x:v>O0568</x:v>
      </x:c>
      <x:c r="B569" s="1" t="str">
        <x:v>cmsbsp3em001104ji2u62id7q</x:v>
      </x:c>
      <x:c r="C569" s="1" t="str">
        <x:v>cmsbsln8v000m04jihjbo4vud</x:v>
      </x:c>
      <x:c r="D569" s="1" t="str">
        <x:v>ca-2024-000624 and ca-2024-000625-the-royal-embassy-of-saudi-arabia-appellant-skeleton</x:v>
      </x:c>
      <x:c r="E569" s="1" t="str">
        <x:v>real</x:v>
      </x:c>
      <x:c r="F569" s="15" t="str">
        <x:v>The Royal Embassy of Saudi Arabia (Cultural Bureau) v Abir Alhayali</x:v>
      </x:c>
      <x:c r="G569" s="16" t="n">
        <x:v>46236.53291107639</x:v>
      </x:c>
      <x:c r="H569" s="15" t="str">
        <x:v>case</x:v>
      </x:c>
      <x:c r="I569" s="15" t="str">
        <x:v>case:benkharbouche &amp; anor v embassy of the republic of sudan</x:v>
      </x:c>
      <x:c r="J569" s="15" t="str">
        <x:v>Benkharbouche &amp; Anor v Embassy of the Republic of Sudan</x:v>
      </x:c>
      <x:c r="K569" s="15" t="str">
        <x:v>N/A</x:v>
      </x:c>
      <x:c r="L569" s="15" t="str">
        <x:v>48a6c9aa-6aaf-46f0-a0a1-db486992f637</x:v>
      </x:c>
      <x:c r="M569" s="15" t="str"/>
      <x:c r="N569" s="15" t="str">
        <x:v>issuesForDetermination.issueMatrix[0].sourceCases[0]</x:v>
      </x:c>
      <x:c r="O569" s="15" t="str">
        <x:v>structured_json</x:v>
      </x:c>
      <x:c r="P569" s="15" t="str"/>
      <x:c r="Q569" s="15" t="str">
        <x:v>same_proposition</x:v>
      </x:c>
      <x:c r="R569" s="15" t="str">
        <x:v>This precedent discusses the gradual distinctions in recognizing state immunity and raises similar issues of governmental roles.</x:v>
      </x:c>
      <x:c r="S569" s="15" t="str"/>
    </x:row>
    <x:row r="570">
      <x:c r="A570" s="1" t="str">
        <x:v>O0569</x:v>
      </x:c>
      <x:c r="B570" s="1" t="str">
        <x:v>cmsbsp3em001104ji2u62id7q</x:v>
      </x:c>
      <x:c r="C570" s="1" t="str">
        <x:v>cmsbsln8v000m04jihjbo4vud</x:v>
      </x:c>
      <x:c r="D570" s="1" t="str">
        <x:v>ca-2024-000624 and ca-2024-000625-the-royal-embassy-of-saudi-arabia-appellant-skeleton</x:v>
      </x:c>
      <x:c r="E570" s="1" t="str">
        <x:v>real</x:v>
      </x:c>
      <x:c r="F570" s="15" t="str">
        <x:v>The Royal Embassy of Saudi Arabia (Cultural Bureau) v Abir Alhayali</x:v>
      </x:c>
      <x:c r="G570" s="16" t="n">
        <x:v>46236.53291107639</x:v>
      </x:c>
      <x:c r="H570" s="15" t="str">
        <x:v>case</x:v>
      </x:c>
      <x:c r="I570" s="15" t="str">
        <x:v>case:2014 ewca civ 1394</x:v>
      </x:c>
      <x:c r="J570" s="15" t="str">
        <x:v>Belhaj &amp; Anor v Straw &amp; Ors</x:v>
      </x:c>
      <x:c r="K570" s="15" t="str">
        <x:v>[2014] EWCA Civ 1394</x:v>
      </x:c>
      <x:c r="L570" s="15" t="str">
        <x:v>47b7ca59-4dae-4e38-9b19-66a4d28a1d9e</x:v>
      </x:c>
      <x:c r="M570" s="15" t="str"/>
      <x:c r="N570" s="15" t="str">
        <x:v>issuesForDetermination.issueMatrix[1].sourceCases[0]</x:v>
      </x:c>
      <x:c r="O570" s="15" t="str">
        <x:v>structured_json</x:v>
      </x:c>
      <x:c r="P570" s="15" t="str"/>
      <x:c r="Q570" s="15" t="str">
        <x:v>applied_differently</x:v>
      </x:c>
      <x:c r="R570" s="15" t="str">
        <x:v>This case engages with aspects of state immunity and personal injury, providing parallels with the current Claimant’s allegations.</x:v>
      </x:c>
      <x:c r="S570" s="15" t="str"/>
    </x:row>
    <x:row r="571">
      <x:c r="A571" s="1" t="str">
        <x:v>O0570</x:v>
      </x:c>
      <x:c r="B571" s="1" t="str">
        <x:v>cmsbsp3em001104ji2u62id7q</x:v>
      </x:c>
      <x:c r="C571" s="1" t="str">
        <x:v>cmsbsln8v000m04jihjbo4vud</x:v>
      </x:c>
      <x:c r="D571" s="1" t="str">
        <x:v>ca-2024-000624 and ca-2024-000625-the-royal-embassy-of-saudi-arabia-appellant-skeleton</x:v>
      </x:c>
      <x:c r="E571" s="1" t="str">
        <x:v>real</x:v>
      </x:c>
      <x:c r="F571" s="15" t="str">
        <x:v>The Royal Embassy of Saudi Arabia (Cultural Bureau) v Abir Alhayali</x:v>
      </x:c>
      <x:c r="G571" s="16" t="n">
        <x:v>46236.53291107639</x:v>
      </x:c>
      <x:c r="H571" s="15" t="str">
        <x:v>case</x:v>
      </x:c>
      <x:c r="I571" s="15" t="str">
        <x:v>case:sayn wittgenstein sayn v hm juan carlos alfonso victor mari a de borbo n y borbo n rev1</x:v>
      </x:c>
      <x:c r="J571" s="15" t="str">
        <x:v>Sayn-Wittgenstein-Sayn v HM Juan Carlos Alfonso Victor María de Borbón y Borbón (Rev1)</x:v>
      </x:c>
      <x:c r="K571" s="15" t="str">
        <x:v>N/A</x:v>
      </x:c>
      <x:c r="L571" s="15" t="str">
        <x:v>2e88bc46-6293-4125-beac-79bb041f2d4c</x:v>
      </x:c>
      <x:c r="M571" s="15" t="str"/>
      <x:c r="N571" s="15" t="str">
        <x:v>issuesForDetermination.issueMatrix[2].sourceCases[0]</x:v>
      </x:c>
      <x:c r="O571" s="15" t="str">
        <x:v>structured_json</x:v>
      </x:c>
      <x:c r="P571" s="15" t="str"/>
      <x:c r="Q571" s="15" t="str">
        <x:v>same_proposition</x:v>
      </x:c>
      <x:c r="R571" s="15" t="str">
        <x:v>This case parallels the discrimination claims, showing the necessity of examining personal claims against broader immunity arguments.</x:v>
      </x:c>
      <x:c r="S571" s="15" t="str"/>
    </x:row>
    <x:row r="572">
      <x:c r="A572" s="1" t="str">
        <x:v>O0571</x:v>
      </x:c>
      <x:c r="B572" s="1" t="str">
        <x:v>cmsbsqcqm001d04ji3ses9ih9</x:v>
      </x:c>
      <x:c r="C572" s="1" t="str">
        <x:v>cmsbsln8v000m04jihjbo4vud</x:v>
      </x:c>
      <x:c r="D572" s="1" t="str">
        <x:v>ca-2024-000624 and ca-2024-000625-the-royal-embassy-of-saudi-arabia-appellant-skeleton</x:v>
      </x:c>
      <x:c r="E572" s="1" t="str">
        <x:v>real</x:v>
      </x:c>
      <x:c r="F572" s="15" t="str">
        <x:v>The Royal Embassy of Saudi Arabia (Cultural Bureau) v Abir Alhayali</x:v>
      </x:c>
      <x:c r="G572" s="16" t="n">
        <x:v>46236.53359107639</x:v>
      </x:c>
      <x:c r="H572" s="15" t="str">
        <x:v>case</x:v>
      </x:c>
      <x:c r="I572" s="15" t="str">
        <x:v>case:benkharbouche v embassy of the republic of sudan 2017 icr 1327</x:v>
      </x:c>
      <x:c r="J572" s="15" t="str">
        <x:v>Benkharbouche v Embassy of the Republic of Sudan [2017] ICR 1327</x:v>
      </x:c>
      <x:c r="K572" s="15" t="str">
        <x:v>Benkharbouche v Embassy of the Republic of Sudan [2017] ICR 1327</x:v>
      </x:c>
      <x:c r="L572" s="15" t="str"/>
      <x:c r="M572" s="15" t="str"/>
      <x:c r="N572" s="15" t="str">
        <x:v>legalFramework.precedentCitations[0]</x:v>
      </x:c>
      <x:c r="O572" s="15" t="str">
        <x:v>structured_json</x:v>
      </x:c>
      <x:c r="P572" s="15" t="str">
        <x:v>binding</x:v>
      </x:c>
      <x:c r="Q572" s="15" t="str"/>
      <x:c r="R572" s="15" t="str">
        <x:v>Distinction between governmental and non-governmental functions relevant to claims against foreign entities.</x:v>
      </x:c>
      <x:c r="S572" s="15" t="str"/>
    </x:row>
    <x:row r="573">
      <x:c r="A573" s="1" t="str">
        <x:v>O0572</x:v>
      </x:c>
      <x:c r="B573" s="1" t="str">
        <x:v>cmsbsqcqm001d04ji3ses9ih9</x:v>
      </x:c>
      <x:c r="C573" s="1" t="str">
        <x:v>cmsbsln8v000m04jihjbo4vud</x:v>
      </x:c>
      <x:c r="D573" s="1" t="str">
        <x:v>ca-2024-000624 and ca-2024-000625-the-royal-embassy-of-saudi-arabia-appellant-skeleton</x:v>
      </x:c>
      <x:c r="E573" s="1" t="str">
        <x:v>real</x:v>
      </x:c>
      <x:c r="F573" s="15" t="str">
        <x:v>The Royal Embassy of Saudi Arabia (Cultural Bureau) v Abir Alhayali</x:v>
      </x:c>
      <x:c r="G573" s="16" t="n">
        <x:v>46236.53359107639</x:v>
      </x:c>
      <x:c r="H573" s="15" t="str">
        <x:v>legislation</x:v>
      </x:c>
      <x:c r="I573" s="15" t="str">
        <x:v>legislation:state immunity act 1978 ss 4 5</x:v>
      </x:c>
      <x:c r="J573" s="15" t="str">
        <x:v>State Immunity Act 1978</x:v>
      </x:c>
      <x:c r="K573" s="15" t="str">
        <x:v>State Immunity Act 1978 ss. 4-5</x:v>
      </x:c>
      <x:c r="L573" s="15" t="str"/>
      <x:c r="M573" s="15" t="str">
        <x:v>ss. 4-5</x:v>
      </x:c>
      <x:c r="N573" s="15" t="str">
        <x:v>legalFramework.statutoryProvisions[0]</x:v>
      </x:c>
      <x:c r="O573" s="15" t="str">
        <x:v>structured_json</x:v>
      </x:c>
      <x:c r="P573" s="15" t="str"/>
      <x:c r="Q573" s="15" t="str"/>
      <x:c r="R573" s="15" t="str">
        <x:v>These sections outline exceptions to state immunity, particularly in relation to personal injury claims, which may be applicable to the Claimant's allegations.</x:v>
      </x:c>
      <x:c r="S573" s="15" t="str">
        <x:v>https://www.legislation.gov.uk/ukpga/1978/33/contents</x:v>
      </x:c>
    </x:row>
    <x:row r="574">
      <x:c r="A574" s="1" t="str">
        <x:v>O0573</x:v>
      </x:c>
      <x:c r="B574" s="1" t="str">
        <x:v>cmsbsqcqm001d04ji3ses9ih9</x:v>
      </x:c>
      <x:c r="C574" s="1" t="str">
        <x:v>cmsbsln8v000m04jihjbo4vud</x:v>
      </x:c>
      <x:c r="D574" s="1" t="str">
        <x:v>ca-2024-000624 and ca-2024-000625-the-royal-embassy-of-saudi-arabia-appellant-skeleton</x:v>
      </x:c>
      <x:c r="E574" s="1" t="str">
        <x:v>real</x:v>
      </x:c>
      <x:c r="F574" s="15" t="str">
        <x:v>The Royal Embassy of Saudi Arabia (Cultural Bureau) v Abir Alhayali</x:v>
      </x:c>
      <x:c r="G574" s="16" t="n">
        <x:v>46236.53359107639</x:v>
      </x:c>
      <x:c r="H574" s="15" t="str">
        <x:v>legislation</x:v>
      </x:c>
      <x:c r="I574" s="15" t="str">
        <x:v>legislation:senior courts act 1981 s 35a</x:v>
      </x:c>
      <x:c r="J574" s="15" t="str">
        <x:v>Senior Courts Act 1981</x:v>
      </x:c>
      <x:c r="K574" s="15" t="str">
        <x:v>Senior Courts Act 1981 s.35A</x:v>
      </x:c>
      <x:c r="L574" s="15" t="str"/>
      <x:c r="M574" s="15" t="str">
        <x:v>s.35A</x:v>
      </x:c>
      <x:c r="N574" s="15" t="str">
        <x:v>legalFramework.statutoryProvisions[1]</x:v>
      </x:c>
      <x:c r="O574" s="15" t="str">
        <x:v>structured_json</x:v>
      </x:c>
      <x:c r="P574" s="15" t="str"/>
      <x:c r="Q574" s="15" t="str"/>
      <x:c r="R574" s="15" t="str">
        <x:v>Addresses the provision for interest on damages and debts.</x:v>
      </x:c>
      <x:c r="S574" s="15" t="str">
        <x:v>https://www.legislation.gov.uk/ukpga/1981/54/section/35A</x:v>
      </x:c>
    </x:row>
    <x:row r="575">
      <x:c r="A575" s="1" t="str">
        <x:v>O0574</x:v>
      </x:c>
      <x:c r="B575" s="1" t="str">
        <x:v>cmsbsqcqm001d04ji3ses9ih9</x:v>
      </x:c>
      <x:c r="C575" s="1" t="str">
        <x:v>cmsbsln8v000m04jihjbo4vud</x:v>
      </x:c>
      <x:c r="D575" s="1" t="str">
        <x:v>ca-2024-000624 and ca-2024-000625-the-royal-embassy-of-saudi-arabia-appellant-skeleton</x:v>
      </x:c>
      <x:c r="E575" s="1" t="str">
        <x:v>real</x:v>
      </x:c>
      <x:c r="F575" s="15" t="str">
        <x:v>The Royal Embassy of Saudi Arabia (Cultural Bureau) v Abir Alhayali</x:v>
      </x:c>
      <x:c r="G575" s="16" t="n">
        <x:v>46236.53359107639</x:v>
      </x:c>
      <x:c r="H575" s="15" t="str">
        <x:v>legislation</x:v>
      </x:c>
      <x:c r="I575" s="15" t="str">
        <x:v>legislation:pursuant to the senior courts act 1981 s 35a</x:v>
      </x:c>
      <x:c r="J575" s="15" t="str">
        <x:v>pursuant to the Senior Courts Act 1981, s.35A.</x:v>
      </x:c>
      <x:c r="K575" s="15" t="str">
        <x:v>pursuant to the Senior Courts Act 1981, s.35A.</x:v>
      </x:c>
      <x:c r="L575" s="15" t="str"/>
      <x:c r="M575" s="15" t="str"/>
      <x:c r="N575" s="15" t="str">
        <x:v>decisionAndDisposition.interest.statutoryBasis</x:v>
      </x:c>
      <x:c r="O575" s="15" t="str">
        <x:v>structured_json</x:v>
      </x:c>
      <x:c r="P575" s="15" t="str"/>
      <x:c r="Q575" s="15" t="str"/>
      <x:c r="R575" s="15" t="str"/>
      <x:c r="S575" s="15" t="str"/>
    </x:row>
    <x:row r="576">
      <x:c r="A576" s="1" t="str">
        <x:v>O0575</x:v>
      </x:c>
      <x:c r="B576" s="1" t="str">
        <x:v>cmsbsqcqm001d04ji3ses9ih9</x:v>
      </x:c>
      <x:c r="C576" s="1" t="str">
        <x:v>cmsbsln8v000m04jihjbo4vud</x:v>
      </x:c>
      <x:c r="D576" s="1" t="str">
        <x:v>ca-2024-000624 and ca-2024-000625-the-royal-embassy-of-saudi-arabia-appellant-skeleton</x:v>
      </x:c>
      <x:c r="E576" s="1" t="str">
        <x:v>real</x:v>
      </x:c>
      <x:c r="F576" s="15" t="str">
        <x:v>The Royal Embassy of Saudi Arabia (Cultural Bureau) v Abir Alhayali</x:v>
      </x:c>
      <x:c r="G576" s="16" t="n">
        <x:v>46236.53359107639</x:v>
      </x:c>
      <x:c r="H576" s="15" t="str">
        <x:v>case</x:v>
      </x:c>
      <x:c r="I576" s="15" t="str">
        <x:v>case:benkharbouche v embassy of the republic of sudan</x:v>
      </x:c>
      <x:c r="J576" s="15" t="str">
        <x:v>Benkharbouche v Embassy of the Republic of Sudan</x:v>
      </x:c>
      <x:c r="K576" s="15" t="str">
        <x:v>Benkharbouche v Embassy of the Republic of Sudan</x:v>
      </x:c>
      <x:c r="L576" s="15" t="str"/>
      <x:c r="M576" s="15" t="str"/>
      <x:c r="N576" s="15" t="str">
        <x:v>legalFramework.legalTestSummaries[0].sourceAuthority</x:v>
      </x:c>
      <x:c r="O576" s="15" t="str">
        <x:v>structured_json</x:v>
      </x:c>
      <x:c r="P576" s="15" t="str"/>
      <x:c r="Q576" s="15" t="str"/>
      <x:c r="R576" s="15" t="str"/>
      <x:c r="S576" s="15" t="str"/>
    </x:row>
    <x:row r="577">
      <x:c r="A577" s="1" t="str">
        <x:v>O0576</x:v>
      </x:c>
      <x:c r="B577" s="1" t="str">
        <x:v>cmsbsqcqm001d04ji3ses9ih9</x:v>
      </x:c>
      <x:c r="C577" s="1" t="str">
        <x:v>cmsbsln8v000m04jihjbo4vud</x:v>
      </x:c>
      <x:c r="D577" s="1" t="str">
        <x:v>ca-2024-000624 and ca-2024-000625-the-royal-embassy-of-saudi-arabia-appellant-skeleton</x:v>
      </x:c>
      <x:c r="E577" s="1" t="str">
        <x:v>real</x:v>
      </x:c>
      <x:c r="F577" s="15" t="str">
        <x:v>The Royal Embassy of Saudi Arabia (Cultural Bureau) v Abir Alhayali</x:v>
      </x:c>
      <x:c r="G577" s="16" t="n">
        <x:v>46236.53359107639</x:v>
      </x:c>
      <x:c r="H577" s="15" t="str">
        <x:v>case</x:v>
      </x:c>
      <x:c r="I577" s="15" t="str">
        <x:v>case:the united states of america v nolan</x:v>
      </x:c>
      <x:c r="J577" s="15" t="str">
        <x:v>The United States of America v Nolan</x:v>
      </x:c>
      <x:c r="K577" s="15" t="str">
        <x:v>The United States of America v Nolan</x:v>
      </x:c>
      <x:c r="L577" s="15" t="str"/>
      <x:c r="M577" s="15" t="str"/>
      <x:c r="N577" s="15" t="str">
        <x:v>legalFramework.legalTestSummaries[1].sourceAuthority</x:v>
      </x:c>
      <x:c r="O577" s="15" t="str">
        <x:v>structured_json</x:v>
      </x:c>
      <x:c r="P577" s="15" t="str"/>
      <x:c r="Q577" s="15" t="str"/>
      <x:c r="R577" s="15" t="str"/>
      <x:c r="S577" s="15" t="str"/>
    </x:row>
    <x:row r="578">
      <x:c r="A578" s="1" t="str">
        <x:v>O0577</x:v>
      </x:c>
      <x:c r="B578" s="1" t="str">
        <x:v>cmsbsqcqm001d04ji3ses9ih9</x:v>
      </x:c>
      <x:c r="C578" s="1" t="str">
        <x:v>cmsbsln8v000m04jihjbo4vud</x:v>
      </x:c>
      <x:c r="D578" s="1" t="str">
        <x:v>ca-2024-000624 and ca-2024-000625-the-royal-embassy-of-saudi-arabia-appellant-skeleton</x:v>
      </x:c>
      <x:c r="E578" s="1" t="str">
        <x:v>real</x:v>
      </x:c>
      <x:c r="F578" s="15" t="str">
        <x:v>The Royal Embassy of Saudi Arabia (Cultural Bureau) v Abir Alhayali</x:v>
      </x:c>
      <x:c r="G578" s="16" t="n">
        <x:v>46236.53359107639</x:v>
      </x:c>
      <x:c r="H578" s="15" t="str">
        <x:v>case</x:v>
      </x:c>
      <x:c r="I578" s="15" t="str">
        <x:v>case:2016 ewca civ 1099</x:v>
      </x:c>
      <x:c r="J578" s="15" t="str">
        <x:v>Bestfort Developments LLP &amp; Ors v Ras Al Khaimah Investment Authority &amp; Ors</x:v>
      </x:c>
      <x:c r="K578" s="15" t="str">
        <x:v>[2016] EWCA Civ 1099</x:v>
      </x:c>
      <x:c r="L578" s="15" t="str">
        <x:v>95a09909-d350-4cc6-8e33-4153cfe28a7f</x:v>
      </x:c>
      <x:c r="M578" s="15" t="str"/>
      <x:c r="N578" s="15" t="str">
        <x:v>factualFindings.chronology[2].sourceCases[0]</x:v>
      </x:c>
      <x:c r="O578" s="15" t="str">
        <x:v>structured_json</x:v>
      </x:c>
      <x:c r="P578" s="15" t="str"/>
      <x:c r="Q578" s="15" t="str">
        <x:v>applied_differently</x:v>
      </x:c>
      <x:c r="R578" s="15" t="str">
        <x:v>Examines implications of jurisdictional acceptance on state immunity, relevant to Claimant's position.</x:v>
      </x:c>
      <x:c r="S578" s="15" t="str"/>
    </x:row>
    <x:row r="579">
      <x:c r="A579" s="1" t="str">
        <x:v>O0578</x:v>
      </x:c>
      <x:c r="B579" s="1" t="str">
        <x:v>cmsbsqcqm001d04ji3ses9ih9</x:v>
      </x:c>
      <x:c r="C579" s="1" t="str">
        <x:v>cmsbsln8v000m04jihjbo4vud</x:v>
      </x:c>
      <x:c r="D579" s="1" t="str">
        <x:v>ca-2024-000624 and ca-2024-000625-the-royal-embassy-of-saudi-arabia-appellant-skeleton</x:v>
      </x:c>
      <x:c r="E579" s="1" t="str">
        <x:v>real</x:v>
      </x:c>
      <x:c r="F579" s="15" t="str">
        <x:v>The Royal Embassy of Saudi Arabia (Cultural Bureau) v Abir Alhayali</x:v>
      </x:c>
      <x:c r="G579" s="16" t="n">
        <x:v>46236.53359107639</x:v>
      </x:c>
      <x:c r="H579" s="15" t="str">
        <x:v>case</x:v>
      </x:c>
      <x:c r="I579" s="15" t="str">
        <x:v>case:hrh prince abdul aziz bin fahd bin abdul aziz v harb</x:v>
      </x:c>
      <x:c r="J579" s="15" t="str">
        <x:v>HRH Prince Abdul Aziz Bin Fahd Bin Abdul Aziz v Harb</x:v>
      </x:c>
      <x:c r="K579" s="15" t="str">
        <x:v>N/A</x:v>
      </x:c>
      <x:c r="L579" s="15" t="str">
        <x:v>d2d218fb-5cb2-4d42-9835-3e293c334cd3</x:v>
      </x:c>
      <x:c r="M579" s="15" t="str"/>
      <x:c r="N579" s="15" t="str">
        <x:v>factualFindings.contestedFacts[0].sourceCases[0]</x:v>
      </x:c>
      <x:c r="O579" s="15" t="str">
        <x:v>structured_json</x:v>
      </x:c>
      <x:c r="P579" s="15" t="str"/>
      <x:c r="Q579" s="15" t="str">
        <x:v>same_proposition</x:v>
      </x:c>
      <x:c r="R579" s="15" t="str">
        <x:v>Explores the delineation between governmental and non-governmental duties relevant to state immunity.</x:v>
      </x:c>
      <x:c r="S579" s="15" t="str"/>
    </x:row>
    <x:row r="580">
      <x:c r="A580" s="1" t="str">
        <x:v>O0579</x:v>
      </x:c>
      <x:c r="B580" s="1" t="str">
        <x:v>cmsbsqcqm001d04ji3ses9ih9</x:v>
      </x:c>
      <x:c r="C580" s="1" t="str">
        <x:v>cmsbsln8v000m04jihjbo4vud</x:v>
      </x:c>
      <x:c r="D580" s="1" t="str">
        <x:v>ca-2024-000624 and ca-2024-000625-the-royal-embassy-of-saudi-arabia-appellant-skeleton</x:v>
      </x:c>
      <x:c r="E580" s="1" t="str">
        <x:v>real</x:v>
      </x:c>
      <x:c r="F580" s="15" t="str">
        <x:v>The Royal Embassy of Saudi Arabia (Cultural Bureau) v Abir Alhayali</x:v>
      </x:c>
      <x:c r="G580" s="16" t="n">
        <x:v>46236.53359107639</x:v>
      </x:c>
      <x:c r="H580" s="15" t="str">
        <x:v>case</x:v>
      </x:c>
      <x:c r="I580" s="15" t="str">
        <x:v>case:the united states of america v nolan</x:v>
      </x:c>
      <x:c r="J580" s="15" t="str">
        <x:v>The United States of America v Nolan</x:v>
      </x:c>
      <x:c r="K580" s="15" t="str">
        <x:v>N/A</x:v>
      </x:c>
      <x:c r="L580" s="15" t="str">
        <x:v>ee5ed42e-d552-49f7-ae34-ee6ddf99593b</x:v>
      </x:c>
      <x:c r="M580" s="15" t="str"/>
      <x:c r="N580" s="15" t="str">
        <x:v>factualFindings.contestedFacts[1].sourceCases[0]</x:v>
      </x:c>
      <x:c r="O580" s="15" t="str">
        <x:v>structured_json</x:v>
      </x:c>
      <x:c r="P580" s="15" t="str"/>
      <x:c r="Q580" s="15" t="str">
        <x:v>extended</x:v>
      </x:c>
      <x:c r="R580" s="15" t="str">
        <x:v>Discusses prior acceptance of jurisdiction in relation to state immunity, bearing implications for the current case.</x:v>
      </x:c>
      <x:c r="S580" s="15" t="str"/>
    </x:row>
    <x:row r="581">
      <x:c r="A581" s="1" t="str">
        <x:v>O0580</x:v>
      </x:c>
      <x:c r="B581" s="1" t="str">
        <x:v>cmsbsqcqm001d04ji3ses9ih9</x:v>
      </x:c>
      <x:c r="C581" s="1" t="str">
        <x:v>cmsbsln8v000m04jihjbo4vud</x:v>
      </x:c>
      <x:c r="D581" s="1" t="str">
        <x:v>ca-2024-000624 and ca-2024-000625-the-royal-embassy-of-saudi-arabia-appellant-skeleton</x:v>
      </x:c>
      <x:c r="E581" s="1" t="str">
        <x:v>real</x:v>
      </x:c>
      <x:c r="F581" s="15" t="str">
        <x:v>The Royal Embassy of Saudi Arabia (Cultural Bureau) v Abir Alhayali</x:v>
      </x:c>
      <x:c r="G581" s="16" t="n">
        <x:v>46236.53359107639</x:v>
      </x:c>
      <x:c r="H581" s="15" t="str">
        <x:v>case</x:v>
      </x:c>
      <x:c r="I581" s="15" t="str">
        <x:v>case:hrh prince abdul aziz bin fahd bin abdul aziz v harb</x:v>
      </x:c>
      <x:c r="J581" s="15" t="str">
        <x:v>HRH Prince Abdul Aziz Bin Fahd Bin Abdul Aziz v Harb</x:v>
      </x:c>
      <x:c r="K581" s="15" t="str">
        <x:v>N/A</x:v>
      </x:c>
      <x:c r="L581" s="15" t="str">
        <x:v>d2d218fb-5cb2-4d42-9835-3e293c334cd3</x:v>
      </x:c>
      <x:c r="M581" s="15" t="str"/>
      <x:c r="N581" s="15" t="str">
        <x:v>reasoningStructure[0].sourceCases[0]</x:v>
      </x:c>
      <x:c r="O581" s="15" t="str">
        <x:v>structured_json</x:v>
      </x:c>
      <x:c r="P581" s="15" t="str"/>
      <x:c r="Q581" s="15" t="str">
        <x:v>distinguished</x:v>
      </x:c>
      <x:c r="R581" s="15" t="str">
        <x:v>Clarifies distinctions between governmental duties and non-state functions impacting immunity determination.</x:v>
      </x:c>
      <x:c r="S581" s="15" t="str"/>
    </x:row>
    <x:row r="582">
      <x:c r="A582" s="1" t="str">
        <x:v>O0581</x:v>
      </x:c>
      <x:c r="B582" s="1" t="str">
        <x:v>cmsbsqcqm001d04ji3ses9ih9</x:v>
      </x:c>
      <x:c r="C582" s="1" t="str">
        <x:v>cmsbsln8v000m04jihjbo4vud</x:v>
      </x:c>
      <x:c r="D582" s="1" t="str">
        <x:v>ca-2024-000624 and ca-2024-000625-the-royal-embassy-of-saudi-arabia-appellant-skeleton</x:v>
      </x:c>
      <x:c r="E582" s="1" t="str">
        <x:v>real</x:v>
      </x:c>
      <x:c r="F582" s="15" t="str">
        <x:v>The Royal Embassy of Saudi Arabia (Cultural Bureau) v Abir Alhayali</x:v>
      </x:c>
      <x:c r="G582" s="16" t="n">
        <x:v>46236.53359107639</x:v>
      </x:c>
      <x:c r="H582" s="15" t="str">
        <x:v>case</x:v>
      </x:c>
      <x:c r="I582" s="15" t="str">
        <x:v>case:the united states of america v nolan</x:v>
      </x:c>
      <x:c r="J582" s="15" t="str">
        <x:v>The United States of America v Nolan</x:v>
      </x:c>
      <x:c r="K582" s="15" t="str">
        <x:v>N/A</x:v>
      </x:c>
      <x:c r="L582" s="15" t="str">
        <x:v>ee5ed42e-d552-49f7-ae34-ee6ddf99593b</x:v>
      </x:c>
      <x:c r="M582" s="15" t="str"/>
      <x:c r="N582" s="15" t="str">
        <x:v>reasoningStructure[1].sourceCases[0]</x:v>
      </x:c>
      <x:c r="O582" s="15" t="str">
        <x:v>structured_json</x:v>
      </x:c>
      <x:c r="P582" s="15" t="str"/>
      <x:c r="Q582" s="15" t="str">
        <x:v>applied_differently</x:v>
      </x:c>
      <x:c r="R582" s="15" t="str">
        <x:v>Illustrates the impact of jurisdictional acceptance on immunity claims, supporting the Claimant's argument.</x:v>
      </x:c>
      <x:c r="S582" s="15" t="str"/>
    </x:row>
    <x:row r="583">
      <x:c r="A583" s="1" t="str">
        <x:v>O0582</x:v>
      </x:c>
      <x:c r="B583" s="1" t="str">
        <x:v>cmsbsqcqm001d04ji3ses9ih9</x:v>
      </x:c>
      <x:c r="C583" s="1" t="str">
        <x:v>cmsbsln8v000m04jihjbo4vud</x:v>
      </x:c>
      <x:c r="D583" s="1" t="str">
        <x:v>ca-2024-000624 and ca-2024-000625-the-royal-embassy-of-saudi-arabia-appellant-skeleton</x:v>
      </x:c>
      <x:c r="E583" s="1" t="str">
        <x:v>real</x:v>
      </x:c>
      <x:c r="F583" s="15" t="str">
        <x:v>The Royal Embassy of Saudi Arabia (Cultural Bureau) v Abir Alhayali</x:v>
      </x:c>
      <x:c r="G583" s="16" t="n">
        <x:v>46236.53359107639</x:v>
      </x:c>
      <x:c r="H583" s="15" t="str">
        <x:v>case</x:v>
      </x:c>
      <x:c r="I583" s="15" t="str">
        <x:v>case:hrh prince abdul aziz bin fahd bin abdul aziz v harb</x:v>
      </x:c>
      <x:c r="J583" s="15" t="str">
        <x:v>HRH Prince Abdul Aziz Bin Fahd Bin Abdul Aziz v Harb</x:v>
      </x:c>
      <x:c r="K583" s="15" t="str">
        <x:v>N/A</x:v>
      </x:c>
      <x:c r="L583" s="15" t="str">
        <x:v>d2d218fb-5cb2-4d42-9835-3e293c334cd3</x:v>
      </x:c>
      <x:c r="M583" s="15" t="str"/>
      <x:c r="N583" s="15" t="str">
        <x:v>issuesForDetermination.issueMatrix[0].sourceCases[0]</x:v>
      </x:c>
      <x:c r="O583" s="15" t="str">
        <x:v>structured_json</x:v>
      </x:c>
      <x:c r="P583" s="15" t="str"/>
      <x:c r="Q583" s="15" t="str">
        <x:v>distinguished</x:v>
      </x:c>
      <x:c r="R583" s="15" t="str">
        <x:v>Case helps define the boundary of state versus non-state functions, directly applicable to determining immunity.</x:v>
      </x:c>
      <x:c r="S583" s="15" t="str"/>
    </x:row>
    <x:row r="584">
      <x:c r="A584" s="1" t="str">
        <x:v>O0583</x:v>
      </x:c>
      <x:c r="B584" s="1" t="str">
        <x:v>cmsbsqcqm001d04ji3ses9ih9</x:v>
      </x:c>
      <x:c r="C584" s="1" t="str">
        <x:v>cmsbsln8v000m04jihjbo4vud</x:v>
      </x:c>
      <x:c r="D584" s="1" t="str">
        <x:v>ca-2024-000624 and ca-2024-000625-the-royal-embassy-of-saudi-arabia-appellant-skeleton</x:v>
      </x:c>
      <x:c r="E584" s="1" t="str">
        <x:v>real</x:v>
      </x:c>
      <x:c r="F584" s="15" t="str">
        <x:v>The Royal Embassy of Saudi Arabia (Cultural Bureau) v Abir Alhayali</x:v>
      </x:c>
      <x:c r="G584" s="16" t="n">
        <x:v>46236.53359107639</x:v>
      </x:c>
      <x:c r="H584" s="15" t="str">
        <x:v>case</x:v>
      </x:c>
      <x:c r="I584" s="15" t="str">
        <x:v>case:the united states of america v nolan</x:v>
      </x:c>
      <x:c r="J584" s="15" t="str">
        <x:v>The United States of America v Nolan</x:v>
      </x:c>
      <x:c r="K584" s="15" t="str">
        <x:v>N/A</x:v>
      </x:c>
      <x:c r="L584" s="15" t="str">
        <x:v>ee5ed42e-d552-49f7-ae34-ee6ddf99593b</x:v>
      </x:c>
      <x:c r="M584" s="15" t="str"/>
      <x:c r="N584" s="15" t="str">
        <x:v>issuesForDetermination.issueMatrix[1].sourceCases[0]</x:v>
      </x:c>
      <x:c r="O584" s="15" t="str">
        <x:v>structured_json</x:v>
      </x:c>
      <x:c r="P584" s="15" t="str"/>
      <x:c r="Q584" s="15" t="str">
        <x:v>applied_differently</x:v>
      </x:c>
      <x:c r="R584" s="15" t="str">
        <x:v>Informs on jurisdiction acceptance implications within the context of state immunity, supporting the Claimant’s position.</x:v>
      </x:c>
      <x:c r="S584" s="15" t="str"/>
    </x:row>
    <x:row r="585">
      <x:c r="A585" s="1" t="str">
        <x:v>O0584</x:v>
      </x:c>
      <x:c r="B585" s="1" t="str">
        <x:v>cmsbsvvmu001x04jittsrlhz0</x:v>
      </x:c>
      <x:c r="C585" s="1" t="str">
        <x:v>cmsbsrsen001i04jiiqlepl3x</x:v>
      </x:c>
      <x:c r="D585" s="1" t="str">
        <x:v>ca-2024-0023525 &amp; ca-2024-002295-modernatx-inc-v-pfizer-limited-others-respondent-skeleton</x:v>
      </x:c>
      <x:c r="E585" s="1" t="str">
        <x:v>real</x:v>
      </x:c>
      <x:c r="F585" s="15" t="str">
        <x:v>Modernatx, Inc. v Pfizer Limited &amp; Others</x:v>
      </x:c>
      <x:c r="G585" s="16" t="n">
        <x:v>46236.536574502315</x:v>
      </x:c>
      <x:c r="H585" s="15" t="str">
        <x:v>case</x:v>
      </x:c>
      <x:c r="I585" s="15" t="str">
        <x:v>case:2002 ewca civ 605</x:v>
      </x:c>
      <x:c r="J585" s="15" t="str">
        <x:v>[2002] EWCA Civ 605</x:v>
      </x:c>
      <x:c r="K585" s="15" t="str">
        <x:v>[2002] EWCA Civ 605</x:v>
      </x:c>
      <x:c r="L585" s="15" t="str"/>
      <x:c r="M585" s="15" t="str"/>
      <x:c r="N585" s="15" t="str">
        <x:v>legalFramework.precedentCitations[0]</x:v>
      </x:c>
      <x:c r="O585" s="15" t="str">
        <x:v>structured_json</x:v>
      </x:c>
      <x:c r="P585" s="15" t="str">
        <x:v>binding</x:v>
      </x:c>
      <x:c r="Q585" s="15" t="str"/>
      <x:c r="R585" s="15" t="str">
        <x:v>Judges must provide adequate reasons in their judgments.</x:v>
      </x:c>
      <x:c r="S585" s="15" t="str"/>
    </x:row>
    <x:row r="586">
      <x:c r="A586" s="1" t="str">
        <x:v>O0585</x:v>
      </x:c>
      <x:c r="B586" s="1" t="str">
        <x:v>cmsbsvvmu001x04jittsrlhz0</x:v>
      </x:c>
      <x:c r="C586" s="1" t="str">
        <x:v>cmsbsrsen001i04jiiqlepl3x</x:v>
      </x:c>
      <x:c r="D586" s="1" t="str">
        <x:v>ca-2024-0023525 &amp; ca-2024-002295-modernatx-inc-v-pfizer-limited-others-respondent-skeleton</x:v>
      </x:c>
      <x:c r="E586" s="1" t="str">
        <x:v>real</x:v>
      </x:c>
      <x:c r="F586" s="15" t="str">
        <x:v>Modernatx, Inc. v Pfizer Limited &amp; Others</x:v>
      </x:c>
      <x:c r="G586" s="16" t="n">
        <x:v>46236.536574502315</x:v>
      </x:c>
      <x:c r="H586" s="15" t="str">
        <x:v>legislation</x:v>
      </x:c>
      <x:c r="I586" s="15" t="str">
        <x:v>legislation:senior courts act 1981 s 35a</x:v>
      </x:c>
      <x:c r="J586" s="15" t="str">
        <x:v>Senior Courts Act 1981</x:v>
      </x:c>
      <x:c r="K586" s="15" t="str">
        <x:v>Senior Courts Act 1981 s.35A</x:v>
      </x:c>
      <x:c r="L586" s="15" t="str"/>
      <x:c r="M586" s="15" t="str">
        <x:v>s.35A</x:v>
      </x:c>
      <x:c r="N586" s="15" t="str">
        <x:v>legalFramework.statutoryProvisions[0]</x:v>
      </x:c>
      <x:c r="O586" s="15" t="str">
        <x:v>structured_json</x:v>
      </x:c>
      <x:c r="P586" s="15" t="str"/>
      <x:c r="Q586" s="15" t="str"/>
      <x:c r="R586" s="15" t="str">
        <x:v>Provides for the calculation of interest on debts and damages.</x:v>
      </x:c>
      <x:c r="S586" s="15" t="str"/>
    </x:row>
    <x:row r="587">
      <x:c r="A587" s="1" t="str">
        <x:v>O0586</x:v>
      </x:c>
      <x:c r="B587" s="1" t="str">
        <x:v>cmsbsvvmu001x04jittsrlhz0</x:v>
      </x:c>
      <x:c r="C587" s="1" t="str">
        <x:v>cmsbsrsen001i04jiiqlepl3x</x:v>
      </x:c>
      <x:c r="D587" s="1" t="str">
        <x:v>ca-2024-0023525 &amp; ca-2024-002295-modernatx-inc-v-pfizer-limited-others-respondent-skeleton</x:v>
      </x:c>
      <x:c r="E587" s="1" t="str">
        <x:v>real</x:v>
      </x:c>
      <x:c r="F587" s="15" t="str">
        <x:v>Modernatx, Inc. v Pfizer Limited &amp; Others</x:v>
      </x:c>
      <x:c r="G587" s="16" t="n">
        <x:v>46236.536574502315</x:v>
      </x:c>
      <x:c r="H587" s="15" t="str">
        <x:v>legislation</x:v>
      </x:c>
      <x:c r="I587" s="15" t="str">
        <x:v>legislation:senior courts act 1981 s 35a</x:v>
      </x:c>
      <x:c r="J587" s="15" t="str">
        <x:v>Senior Courts Act 1981, s.35A</x:v>
      </x:c>
      <x:c r="K587" s="15" t="str">
        <x:v>Senior Courts Act 1981, s.35A</x:v>
      </x:c>
      <x:c r="L587" s="15" t="str"/>
      <x:c r="M587" s="15" t="str"/>
      <x:c r="N587" s="15" t="str">
        <x:v>decisionAndDisposition.interest.statutoryBasis</x:v>
      </x:c>
      <x:c r="O587" s="15" t="str">
        <x:v>structured_json</x:v>
      </x:c>
      <x:c r="P587" s="15" t="str"/>
      <x:c r="Q587" s="15" t="str"/>
      <x:c r="R587" s="15" t="str"/>
      <x:c r="S587" s="15" t="str"/>
    </x:row>
    <x:row r="588">
      <x:c r="A588" s="1" t="str">
        <x:v>O0587</x:v>
      </x:c>
      <x:c r="B588" s="1" t="str">
        <x:v>cmsbsvvmu001x04jittsrlhz0</x:v>
      </x:c>
      <x:c r="C588" s="1" t="str">
        <x:v>cmsbsrsen001i04jiiqlepl3x</x:v>
      </x:c>
      <x:c r="D588" s="1" t="str">
        <x:v>ca-2024-0023525 &amp; ca-2024-002295-modernatx-inc-v-pfizer-limited-others-respondent-skeleton</x:v>
      </x:c>
      <x:c r="E588" s="1" t="str">
        <x:v>real</x:v>
      </x:c>
      <x:c r="F588" s="15" t="str">
        <x:v>Modernatx, Inc. v Pfizer Limited &amp; Others</x:v>
      </x:c>
      <x:c r="G588" s="16" t="n">
        <x:v>46236.536574502315</x:v>
      </x:c>
      <x:c r="H588" s="15" t="str">
        <x:v>case</x:v>
      </x:c>
      <x:c r="I588" s="15" t="str">
        <x:v>case:2016 ewca civ 1185</x:v>
      </x:c>
      <x:c r="J588" s="15" t="str">
        <x:v>Hospira UK Limited v Genentech, Inc.</x:v>
      </x:c>
      <x:c r="K588" s="15" t="str">
        <x:v>[2016] EWCA Civ 1185</x:v>
      </x:c>
      <x:c r="L588" s="15" t="str">
        <x:v>71033cf6-55d5-450b-8f5c-b4e0192b644a</x:v>
      </x:c>
      <x:c r="M588" s="15" t="str"/>
      <x:c r="N588" s="15" t="str">
        <x:v>factualFindings.chronology[1].sourceCases[0]</x:v>
      </x:c>
      <x:c r="O588" s="15" t="str">
        <x:v>structured_json</x:v>
      </x:c>
      <x:c r="P588" s="15" t="str"/>
      <x:c r="Q588" s="15" t="str"/>
      <x:c r="R588" s="15" t="str">
        <x:v>Examines expert testimony standards relevant to chemical patents, similar to the current disclosures under scrutiny.</x:v>
      </x:c>
      <x:c r="S588" s="15" t="str"/>
    </x:row>
    <x:row r="589">
      <x:c r="A589" s="1" t="str">
        <x:v>O0588</x:v>
      </x:c>
      <x:c r="B589" s="1" t="str">
        <x:v>cmsbsvvmu001x04jittsrlhz0</x:v>
      </x:c>
      <x:c r="C589" s="1" t="str">
        <x:v>cmsbsrsen001i04jiiqlepl3x</x:v>
      </x:c>
      <x:c r="D589" s="1" t="str">
        <x:v>ca-2024-0023525 &amp; ca-2024-002295-modernatx-inc-v-pfizer-limited-others-respondent-skeleton</x:v>
      </x:c>
      <x:c r="E589" s="1" t="str">
        <x:v>real</x:v>
      </x:c>
      <x:c r="F589" s="15" t="str">
        <x:v>Modernatx, Inc. v Pfizer Limited &amp; Others</x:v>
      </x:c>
      <x:c r="G589" s="16" t="n">
        <x:v>46236.536574502315</x:v>
      </x:c>
      <x:c r="H589" s="15" t="str">
        <x:v>case</x:v>
      </x:c>
      <x:c r="I589" s="15" t="str">
        <x:v>case:2022 ewca civ 1638</x:v>
      </x:c>
      <x:c r="J589" s="15" t="str">
        <x:v>Philip Morris Products, S.A. v Nicoventures Trading Limited &amp; Anor (Re Invalidity of Patents)</x:v>
      </x:c>
      <x:c r="K589" s="15" t="str">
        <x:v>[2022] EWCA Civ 1638</x:v>
      </x:c>
      <x:c r="L589" s="15" t="str">
        <x:v>9c4e33c9-91d3-464b-b025-a46e5f3673af</x:v>
      </x:c>
      <x:c r="M589" s="15" t="str"/>
      <x:c r="N589" s="15" t="str">
        <x:v>factualFindings.contestedFacts[0].sourceCases[0]</x:v>
      </x:c>
      <x:c r="O589" s="15" t="str">
        <x:v>structured_json</x:v>
      </x:c>
      <x:c r="P589" s="15" t="str"/>
      <x:c r="Q589" s="15" t="str"/>
      <x:c r="R589" s="15" t="str">
        <x:v>The similar analysis of scientific disclosures underscores the necessity for clarity in demonstrating novelty.</x:v>
      </x:c>
      <x:c r="S589" s="15" t="str"/>
    </x:row>
    <x:row r="590">
      <x:c r="A590" s="1" t="str">
        <x:v>O0589</x:v>
      </x:c>
      <x:c r="B590" s="1" t="str">
        <x:v>cmsbsvvmu001x04jittsrlhz0</x:v>
      </x:c>
      <x:c r="C590" s="1" t="str">
        <x:v>cmsbsrsen001i04jiiqlepl3x</x:v>
      </x:c>
      <x:c r="D590" s="1" t="str">
        <x:v>ca-2024-0023525 &amp; ca-2024-002295-modernatx-inc-v-pfizer-limited-others-respondent-skeleton</x:v>
      </x:c>
      <x:c r="E590" s="1" t="str">
        <x:v>real</x:v>
      </x:c>
      <x:c r="F590" s="15" t="str">
        <x:v>Modernatx, Inc. v Pfizer Limited &amp; Others</x:v>
      </x:c>
      <x:c r="G590" s="16" t="n">
        <x:v>46236.536574502315</x:v>
      </x:c>
      <x:c r="H590" s="15" t="str">
        <x:v>case</x:v>
      </x:c>
      <x:c r="I590" s="15" t="str">
        <x:v>case:2016 ewca civ 1089</x:v>
      </x:c>
      <x:c r="J590" s="15" t="str">
        <x:v>Idenix Pharmaceuticals Inc v Gilead Sciences Inc &amp; Ors</x:v>
      </x:c>
      <x:c r="K590" s="15" t="str">
        <x:v>[2016] EWCA Civ 1089</x:v>
      </x:c>
      <x:c r="L590" s="15" t="str">
        <x:v>1c816bf0-70b4-46bd-9a31-9d036faff956</x:v>
      </x:c>
      <x:c r="M590" s="15" t="str"/>
      <x:c r="N590" s="15" t="str">
        <x:v>factualFindings.contestedFacts[1].sourceCases[0]</x:v>
      </x:c>
      <x:c r="O590" s="15" t="str">
        <x:v>structured_json</x:v>
      </x:c>
      <x:c r="P590" s="15" t="str"/>
      <x:c r="Q590" s="15" t="str"/>
      <x:c r="R590" s="15" t="str">
        <x:v>Addresses common general knowledge and its role in the assessment of obviousness, relevant to evaluating Dr. Enright's contributions and insights.</x:v>
      </x:c>
      <x:c r="S590" s="15" t="str"/>
    </x:row>
    <x:row r="591">
      <x:c r="A591" s="1" t="str">
        <x:v>O0590</x:v>
      </x:c>
      <x:c r="B591" s="1" t="str">
        <x:v>cmsbsvvmu001x04jittsrlhz0</x:v>
      </x:c>
      <x:c r="C591" s="1" t="str">
        <x:v>cmsbsrsen001i04jiiqlepl3x</x:v>
      </x:c>
      <x:c r="D591" s="1" t="str">
        <x:v>ca-2024-0023525 &amp; ca-2024-002295-modernatx-inc-v-pfizer-limited-others-respondent-skeleton</x:v>
      </x:c>
      <x:c r="E591" s="1" t="str">
        <x:v>real</x:v>
      </x:c>
      <x:c r="F591" s="15" t="str">
        <x:v>Modernatx, Inc. v Pfizer Limited &amp; Others</x:v>
      </x:c>
      <x:c r="G591" s="16" t="n">
        <x:v>46236.536574502315</x:v>
      </x:c>
      <x:c r="H591" s="15" t="str">
        <x:v>case</x:v>
      </x:c>
      <x:c r="I591" s="15" t="str">
        <x:v>case:2022 ewca civ 1638</x:v>
      </x:c>
      <x:c r="J591" s="15" t="str">
        <x:v>Philip Morris Products, S.A. v Nicoventures Trading Limited &amp; Anor (Re Invalidity of Patents)</x:v>
      </x:c>
      <x:c r="K591" s="15" t="str">
        <x:v>[2022] EWCA Civ 1638</x:v>
      </x:c>
      <x:c r="L591" s="15" t="str">
        <x:v>9c4e33c9-91d3-464b-b025-a46e5f3673af</x:v>
      </x:c>
      <x:c r="M591" s="15" t="str"/>
      <x:c r="N591" s="15" t="str">
        <x:v>reasoningStructure[0].sourceCases[0]</x:v>
      </x:c>
      <x:c r="O591" s="15" t="str">
        <x:v>structured_json</x:v>
      </x:c>
      <x:c r="P591" s="15" t="str"/>
      <x:c r="Q591" s="15" t="str"/>
      <x:c r="R591" s="15" t="str">
        <x:v>Reiterates the importance of clarity in patent disclosures in regard to anticipation.</x:v>
      </x:c>
      <x:c r="S591" s="15" t="str"/>
    </x:row>
    <x:row r="592">
      <x:c r="A592" s="1" t="str">
        <x:v>O0591</x:v>
      </x:c>
      <x:c r="B592" s="1" t="str">
        <x:v>cmsbsvvmu001x04jittsrlhz0</x:v>
      </x:c>
      <x:c r="C592" s="1" t="str">
        <x:v>cmsbsrsen001i04jiiqlepl3x</x:v>
      </x:c>
      <x:c r="D592" s="1" t="str">
        <x:v>ca-2024-0023525 &amp; ca-2024-002295-modernatx-inc-v-pfizer-limited-others-respondent-skeleton</x:v>
      </x:c>
      <x:c r="E592" s="1" t="str">
        <x:v>real</x:v>
      </x:c>
      <x:c r="F592" s="15" t="str">
        <x:v>Modernatx, Inc. v Pfizer Limited &amp; Others</x:v>
      </x:c>
      <x:c r="G592" s="16" t="n">
        <x:v>46236.536574502315</x:v>
      </x:c>
      <x:c r="H592" s="15" t="str">
        <x:v>case</x:v>
      </x:c>
      <x:c r="I592" s="15" t="str">
        <x:v>case:2016 ewca civ 1089</x:v>
      </x:c>
      <x:c r="J592" s="15" t="str">
        <x:v>Idenix Pharmaceuticals Inc v Gilead Sciences Inc &amp; Ors</x:v>
      </x:c>
      <x:c r="K592" s="15" t="str">
        <x:v>[2016] EWCA Civ 1089</x:v>
      </x:c>
      <x:c r="L592" s="15" t="str">
        <x:v>1c816bf0-70b4-46bd-9a31-9d036faff956</x:v>
      </x:c>
      <x:c r="M592" s="15" t="str"/>
      <x:c r="N592" s="15" t="str">
        <x:v>reasoningStructure[1].sourceCases[0]</x:v>
      </x:c>
      <x:c r="O592" s="15" t="str">
        <x:v>structured_json</x:v>
      </x:c>
      <x:c r="P592" s="15" t="str"/>
      <x:c r="Q592" s="15" t="str"/>
      <x:c r="R592" s="15" t="str">
        <x:v>Provides clarity on evaluating common general knowledge in relation to obviousness.</x:v>
      </x:c>
      <x:c r="S592" s="15" t="str"/>
    </x:row>
    <x:row r="593">
      <x:c r="A593" s="1" t="str">
        <x:v>O0592</x:v>
      </x:c>
      <x:c r="B593" s="1" t="str">
        <x:v>cmsbsvvmu001x04jittsrlhz0</x:v>
      </x:c>
      <x:c r="C593" s="1" t="str">
        <x:v>cmsbsrsen001i04jiiqlepl3x</x:v>
      </x:c>
      <x:c r="D593" s="1" t="str">
        <x:v>ca-2024-0023525 &amp; ca-2024-002295-modernatx-inc-v-pfizer-limited-others-respondent-skeleton</x:v>
      </x:c>
      <x:c r="E593" s="1" t="str">
        <x:v>real</x:v>
      </x:c>
      <x:c r="F593" s="15" t="str">
        <x:v>Modernatx, Inc. v Pfizer Limited &amp; Others</x:v>
      </x:c>
      <x:c r="G593" s="16" t="n">
        <x:v>46236.536574502315</x:v>
      </x:c>
      <x:c r="H593" s="15" t="str">
        <x:v>case</x:v>
      </x:c>
      <x:c r="I593" s="15" t="str">
        <x:v>case:2022 ewca civ 1638</x:v>
      </x:c>
      <x:c r="J593" s="15" t="str">
        <x:v>Philip Morris Products, S.A. v Nicoventures Trading Limited &amp; Anor (Re Invalidity of Patents)</x:v>
      </x:c>
      <x:c r="K593" s="15" t="str">
        <x:v>[2022] EWCA Civ 1638</x:v>
      </x:c>
      <x:c r="L593" s="15" t="str">
        <x:v>9c4e33c9-91d3-464b-b025-a46e5f3673af</x:v>
      </x:c>
      <x:c r="M593" s="15" t="str"/>
      <x:c r="N593" s="15" t="str">
        <x:v>issuesForDetermination.issueMatrix[0].sourceCases[0]</x:v>
      </x:c>
      <x:c r="O593" s="15" t="str">
        <x:v>structured_json</x:v>
      </x:c>
      <x:c r="P593" s="15" t="str"/>
      <x:c r="Q593" s="15" t="str"/>
      <x:c r="R593" s="15" t="str">
        <x:v>Similar analyses of anticipation in scientific disclosures establish the necessity of clarity in demonstrating novelty.</x:v>
      </x:c>
      <x:c r="S593" s="15" t="str"/>
    </x:row>
    <x:row r="594">
      <x:c r="A594" s="1" t="str">
        <x:v>O0593</x:v>
      </x:c>
      <x:c r="B594" s="1" t="str">
        <x:v>cmsbsvvmu001x04jittsrlhz0</x:v>
      </x:c>
      <x:c r="C594" s="1" t="str">
        <x:v>cmsbsrsen001i04jiiqlepl3x</x:v>
      </x:c>
      <x:c r="D594" s="1" t="str">
        <x:v>ca-2024-0023525 &amp; ca-2024-002295-modernatx-inc-v-pfizer-limited-others-respondent-skeleton</x:v>
      </x:c>
      <x:c r="E594" s="1" t="str">
        <x:v>real</x:v>
      </x:c>
      <x:c r="F594" s="15" t="str">
        <x:v>Modernatx, Inc. v Pfizer Limited &amp; Others</x:v>
      </x:c>
      <x:c r="G594" s="16" t="n">
        <x:v>46236.536574502315</x:v>
      </x:c>
      <x:c r="H594" s="15" t="str">
        <x:v>case</x:v>
      </x:c>
      <x:c r="I594" s="15" t="str">
        <x:v>case:2016 ewca civ 1089</x:v>
      </x:c>
      <x:c r="J594" s="15" t="str">
        <x:v>Idenix Pharmaceuticals Inc v Gilead Sciences Inc &amp; Ors</x:v>
      </x:c>
      <x:c r="K594" s="15" t="str">
        <x:v>[2016] EWCA Civ 1089</x:v>
      </x:c>
      <x:c r="L594" s="15" t="str">
        <x:v>1c816bf0-70b4-46bd-9a31-9d036faff956</x:v>
      </x:c>
      <x:c r="M594" s="15" t="str"/>
      <x:c r="N594" s="15" t="str">
        <x:v>issuesForDetermination.issueMatrix[1].sourceCases[0]</x:v>
      </x:c>
      <x:c r="O594" s="15" t="str">
        <x:v>structured_json</x:v>
      </x:c>
      <x:c r="P594" s="15" t="str"/>
      <x:c r="Q594" s="15" t="str"/>
      <x:c r="R594" s="15" t="str">
        <x:v>Addresses the role of common general knowledge and motivation in the context of assessing obviousness in pharmaceutical patents.</x:v>
      </x:c>
      <x:c r="S594" s="15" t="str"/>
    </x:row>
    <x:row r="595">
      <x:c r="A595" s="1" t="str">
        <x:v>O0594</x:v>
      </x:c>
      <x:c r="B595" s="1" t="str">
        <x:v>cmsbszs77002304ji6ldkbjce</x:v>
      </x:c>
      <x:c r="C595" s="1" t="str">
        <x:v>cmsbsrsen001i04jiiqlepl3x</x:v>
      </x:c>
      <x:c r="D595" s="1" t="str">
        <x:v>ca-2024-0023525 &amp; ca-2024-002295-modernatx-inc-v-pfizer-limited-others-respondent-skeleton</x:v>
      </x:c>
      <x:c r="E595" s="1" t="str">
        <x:v>real</x:v>
      </x:c>
      <x:c r="F595" s="15" t="str">
        <x:v>Modernatx, Inc. v Pfizer Limited &amp; Others</x:v>
      </x:c>
      <x:c r="G595" s="16" t="n">
        <x:v>46236.53868298611</x:v>
      </x:c>
      <x:c r="H595" s="15" t="str">
        <x:v>case</x:v>
      </x:c>
      <x:c r="I595" s="15" t="str">
        <x:v>case:2002 ewca civ 605</x:v>
      </x:c>
      <x:c r="J595" s="15" t="str">
        <x:v>English v Emery Reimbold &amp; Strick Ltd [2002] EWCA Civ 605</x:v>
      </x:c>
      <x:c r="K595" s="15" t="str">
        <x:v>English v Emery Reimbold &amp; Strick Ltd [2002] EWCA Civ 605</x:v>
      </x:c>
      <x:c r="L595" s="15" t="str"/>
      <x:c r="M595" s="15" t="str"/>
      <x:c r="N595" s="15" t="str">
        <x:v>legalFramework.precedentCitations[0]</x:v>
      </x:c>
      <x:c r="O595" s="15" t="str">
        <x:v>structured_json</x:v>
      </x:c>
      <x:c r="P595" s="15" t="str">
        <x:v>binding</x:v>
      </x:c>
      <x:c r="Q595" s="15" t="str"/>
      <x:c r="R595" s="15" t="str">
        <x:v>Adequacy of reasons in judgments is critical to ensure fair proceedings and proper appeals.</x:v>
      </x:c>
      <x:c r="S595" s="15" t="str"/>
    </x:row>
    <x:row r="596">
      <x:c r="A596" s="1" t="str">
        <x:v>O0595</x:v>
      </x:c>
      <x:c r="B596" s="1" t="str">
        <x:v>cmsbszs77002304ji6ldkbjce</x:v>
      </x:c>
      <x:c r="C596" s="1" t="str">
        <x:v>cmsbsrsen001i04jiiqlepl3x</x:v>
      </x:c>
      <x:c r="D596" s="1" t="str">
        <x:v>ca-2024-0023525 &amp; ca-2024-002295-modernatx-inc-v-pfizer-limited-others-respondent-skeleton</x:v>
      </x:c>
      <x:c r="E596" s="1" t="str">
        <x:v>real</x:v>
      </x:c>
      <x:c r="F596" s="15" t="str">
        <x:v>Modernatx, Inc. v Pfizer Limited &amp; Others</x:v>
      </x:c>
      <x:c r="G596" s="16" t="n">
        <x:v>46236.53868298611</x:v>
      </x:c>
      <x:c r="H596" s="15" t="str">
        <x:v>case</x:v>
      </x:c>
      <x:c r="I596" s="15" t="str">
        <x:v>case:2000 1 wlr 377</x:v>
      </x:c>
      <x:c r="J596" s="15" t="str">
        <x:v>Flannery v Halifax Estate Agencies Ltd [2000] 1 WLR 377</x:v>
      </x:c>
      <x:c r="K596" s="15" t="str">
        <x:v>Flannery v Halifax Estate Agencies Ltd [2000] 1 WLR 377</x:v>
      </x:c>
      <x:c r="L596" s="15" t="str"/>
      <x:c r="M596" s="15" t="str"/>
      <x:c r="N596" s="15" t="str">
        <x:v>legalFramework.precedentCitations[1]</x:v>
      </x:c>
      <x:c r="O596" s="15" t="str">
        <x:v>structured_json</x:v>
      </x:c>
      <x:c r="P596" s="15" t="str">
        <x:v>binding</x:v>
      </x:c>
      <x:c r="Q596" s="15" t="str"/>
      <x:c r="R596" s="15" t="str">
        <x:v>Duty to give reasons for decisions.</x:v>
      </x:c>
      <x:c r="S596" s="15" t="str"/>
    </x:row>
    <x:row r="597">
      <x:c r="A597" s="1" t="str">
        <x:v>O0596</x:v>
      </x:c>
      <x:c r="B597" s="1" t="str">
        <x:v>cmsbszs77002304ji6ldkbjce</x:v>
      </x:c>
      <x:c r="C597" s="1" t="str">
        <x:v>cmsbsrsen001i04jiiqlepl3x</x:v>
      </x:c>
      <x:c r="D597" s="1" t="str">
        <x:v>ca-2024-0023525 &amp; ca-2024-002295-modernatx-inc-v-pfizer-limited-others-respondent-skeleton</x:v>
      </x:c>
      <x:c r="E597" s="1" t="str">
        <x:v>real</x:v>
      </x:c>
      <x:c r="F597" s="15" t="str">
        <x:v>Modernatx, Inc. v Pfizer Limited &amp; Others</x:v>
      </x:c>
      <x:c r="G597" s="16" t="n">
        <x:v>46236.53868298611</x:v>
      </x:c>
      <x:c r="H597" s="15" t="str">
        <x:v>legislation</x:v>
      </x:c>
      <x:c r="I597" s="15" t="str">
        <x:v>legislation:senior courts act 1981 s 35a</x:v>
      </x:c>
      <x:c r="J597" s="15" t="str">
        <x:v>Senior Courts Act 1981</x:v>
      </x:c>
      <x:c r="K597" s="15" t="str">
        <x:v>Senior Courts Act 1981 s.35A</x:v>
      </x:c>
      <x:c r="L597" s="15" t="str"/>
      <x:c r="M597" s="15" t="str">
        <x:v>s.35A</x:v>
      </x:c>
      <x:c r="N597" s="15" t="str">
        <x:v>legalFramework.statutoryProvisions[0]</x:v>
      </x:c>
      <x:c r="O597" s="15" t="str">
        <x:v>structured_json</x:v>
      </x:c>
      <x:c r="P597" s="15" t="str"/>
      <x:c r="Q597" s="15" t="str"/>
      <x:c r="R597" s="15" t="str">
        <x:v>Applicable for determining interest on debts and damages arising from successful patent claims.</x:v>
      </x:c>
      <x:c r="S597" s="15" t="str"/>
    </x:row>
    <x:row r="598">
      <x:c r="A598" s="1" t="str">
        <x:v>O0597</x:v>
      </x:c>
      <x:c r="B598" s="1" t="str">
        <x:v>cmsbszs77002304ji6ldkbjce</x:v>
      </x:c>
      <x:c r="C598" s="1" t="str">
        <x:v>cmsbsrsen001i04jiiqlepl3x</x:v>
      </x:c>
      <x:c r="D598" s="1" t="str">
        <x:v>ca-2024-0023525 &amp; ca-2024-002295-modernatx-inc-v-pfizer-limited-others-respondent-skeleton</x:v>
      </x:c>
      <x:c r="E598" s="1" t="str">
        <x:v>real</x:v>
      </x:c>
      <x:c r="F598" s="15" t="str">
        <x:v>Modernatx, Inc. v Pfizer Limited &amp; Others</x:v>
      </x:c>
      <x:c r="G598" s="16" t="n">
        <x:v>46236.53868298611</x:v>
      </x:c>
      <x:c r="H598" s="15" t="str">
        <x:v>legislation</x:v>
      </x:c>
      <x:c r="I598" s="15" t="str">
        <x:v>legislation:n a n a</x:v>
      </x:c>
      <x:c r="J598" s="15" t="str">
        <x:v>N/A</x:v>
      </x:c>
      <x:c r="K598" s="15" t="str">
        <x:v>N/A N/A</x:v>
      </x:c>
      <x:c r="L598" s="15" t="str"/>
      <x:c r="M598" s="15" t="str">
        <x:v>N/A</x:v>
      </x:c>
      <x:c r="N598" s="15" t="str">
        <x:v>legalFramework.statutoryProvisions[1]</x:v>
      </x:c>
      <x:c r="O598" s="15" t="str">
        <x:v>structured_json</x:v>
      </x:c>
      <x:c r="P598" s="15" t="str"/>
      <x:c r="Q598" s="15" t="str"/>
      <x:c r="R598" s="15" t="str">
        <x:v>N/A</x:v>
      </x:c>
      <x:c r="S598" s="15" t="str"/>
    </x:row>
    <x:row r="599">
      <x:c r="A599" s="1" t="str">
        <x:v>O0598</x:v>
      </x:c>
      <x:c r="B599" s="1" t="str">
        <x:v>cmsbszs77002304ji6ldkbjce</x:v>
      </x:c>
      <x:c r="C599" s="1" t="str">
        <x:v>cmsbsrsen001i04jiiqlepl3x</x:v>
      </x:c>
      <x:c r="D599" s="1" t="str">
        <x:v>ca-2024-0023525 &amp; ca-2024-002295-modernatx-inc-v-pfizer-limited-others-respondent-skeleton</x:v>
      </x:c>
      <x:c r="E599" s="1" t="str">
        <x:v>real</x:v>
      </x:c>
      <x:c r="F599" s="15" t="str">
        <x:v>Modernatx, Inc. v Pfizer Limited &amp; Others</x:v>
      </x:c>
      <x:c r="G599" s="16" t="n">
        <x:v>46236.53868298611</x:v>
      </x:c>
      <x:c r="H599" s="15" t="str">
        <x:v>legislation</x:v>
      </x:c>
      <x:c r="I599" s="15" t="str">
        <x:v>legislation:senior courts act 1981 s 35a</x:v>
      </x:c>
      <x:c r="J599" s="15" t="str">
        <x:v>Senior Courts Act 1981, s.35A</x:v>
      </x:c>
      <x:c r="K599" s="15" t="str">
        <x:v>Senior Courts Act 1981, s.35A</x:v>
      </x:c>
      <x:c r="L599" s="15" t="str"/>
      <x:c r="M599" s="15" t="str"/>
      <x:c r="N599" s="15" t="str">
        <x:v>decisionAndDisposition.interest.statutoryBasis</x:v>
      </x:c>
      <x:c r="O599" s="15" t="str">
        <x:v>structured_json</x:v>
      </x:c>
      <x:c r="P599" s="15" t="str"/>
      <x:c r="Q599" s="15" t="str"/>
      <x:c r="R599" s="15" t="str"/>
      <x:c r="S599" s="15" t="str"/>
    </x:row>
    <x:row r="600">
      <x:c r="A600" s="1" t="str">
        <x:v>O0599</x:v>
      </x:c>
      <x:c r="B600" s="1" t="str">
        <x:v>cmsbszs77002304ji6ldkbjce</x:v>
      </x:c>
      <x:c r="C600" s="1" t="str">
        <x:v>cmsbsrsen001i04jiiqlepl3x</x:v>
      </x:c>
      <x:c r="D600" s="1" t="str">
        <x:v>ca-2024-0023525 &amp; ca-2024-002295-modernatx-inc-v-pfizer-limited-others-respondent-skeleton</x:v>
      </x:c>
      <x:c r="E600" s="1" t="str">
        <x:v>real</x:v>
      </x:c>
      <x:c r="F600" s="15" t="str">
        <x:v>Modernatx, Inc. v Pfizer Limited &amp; Others</x:v>
      </x:c>
      <x:c r="G600" s="16" t="n">
        <x:v>46236.53868298611</x:v>
      </x:c>
      <x:c r="H600" s="15" t="str">
        <x:v>case</x:v>
      </x:c>
      <x:c r="I600" s="15" t="str">
        <x:v>case:synthon bv v teva pharmaceutical industries ltd</x:v>
      </x:c>
      <x:c r="J600" s="15" t="str">
        <x:v>Synthon BV v Teva Pharmaceutical Industries Ltd</x:v>
      </x:c>
      <x:c r="K600" s="15" t="str">
        <x:v>N/A</x:v>
      </x:c>
      <x:c r="L600" s="15" t="str">
        <x:v>a1a08eab-f66f-48ea-a2b4-e885be7c07df</x:v>
      </x:c>
      <x:c r="M600" s="15" t="str"/>
      <x:c r="N600" s="15" t="str">
        <x:v>factualFindings.contestedFacts[0].sourceCases[0]</x:v>
      </x:c>
      <x:c r="O600" s="15" t="str">
        <x:v>structured_json</x:v>
      </x:c>
      <x:c r="P600" s="15" t="str"/>
      <x:c r="Q600" s="15" t="str"/>
      <x:c r="R600" s="15" t="str">
        <x:v>Discusses the need for clarity in disclosures related to patent anticipation.</x:v>
      </x:c>
      <x:c r="S600" s="15" t="str"/>
    </x:row>
    <x:row r="601">
      <x:c r="A601" s="1" t="str">
        <x:v>O0600</x:v>
      </x:c>
      <x:c r="B601" s="1" t="str">
        <x:v>cmsbszs77002304ji6ldkbjce</x:v>
      </x:c>
      <x:c r="C601" s="1" t="str">
        <x:v>cmsbsrsen001i04jiiqlepl3x</x:v>
      </x:c>
      <x:c r="D601" s="1" t="str">
        <x:v>ca-2024-0023525 &amp; ca-2024-002295-modernatx-inc-v-pfizer-limited-others-respondent-skeleton</x:v>
      </x:c>
      <x:c r="E601" s="1" t="str">
        <x:v>real</x:v>
      </x:c>
      <x:c r="F601" s="15" t="str">
        <x:v>Modernatx, Inc. v Pfizer Limited &amp; Others</x:v>
      </x:c>
      <x:c r="G601" s="16" t="n">
        <x:v>46236.53868298611</x:v>
      </x:c>
      <x:c r="H601" s="15" t="str">
        <x:v>case</x:v>
      </x:c>
      <x:c r="I601" s="15" t="str">
        <x:v>case:synthon bv v teva pharmaceutical industries ltd</x:v>
      </x:c>
      <x:c r="J601" s="15" t="str">
        <x:v>Synthon BV v Teva Pharmaceutical Industries Ltd</x:v>
      </x:c>
      <x:c r="K601" s="15" t="str">
        <x:v>N/A</x:v>
      </x:c>
      <x:c r="L601" s="15" t="str">
        <x:v>a1a08eab-f66f-48ea-a2b4-e885be7c07df</x:v>
      </x:c>
      <x:c r="M601" s="15" t="str"/>
      <x:c r="N601" s="15" t="str">
        <x:v>reasoningStructure[0].sourceCases[0]</x:v>
      </x:c>
      <x:c r="O601" s="15" t="str">
        <x:v>structured_json</x:v>
      </x:c>
      <x:c r="P601" s="15" t="str"/>
      <x:c r="Q601" s="15" t="str"/>
      <x:c r="R601" s="15" t="str">
        <x:v>Establishes necessary criteria for anticipation that are not met in the current case.</x:v>
      </x:c>
      <x:c r="S601" s="15" t="str"/>
    </x:row>
    <x:row r="602">
      <x:c r="A602" s="1" t="str">
        <x:v>O0601</x:v>
      </x:c>
      <x:c r="B602" s="1" t="str">
        <x:v>cmsbszs77002304ji6ldkbjce</x:v>
      </x:c>
      <x:c r="C602" s="1" t="str">
        <x:v>cmsbsrsen001i04jiiqlepl3x</x:v>
      </x:c>
      <x:c r="D602" s="1" t="str">
        <x:v>ca-2024-0023525 &amp; ca-2024-002295-modernatx-inc-v-pfizer-limited-others-respondent-skeleton</x:v>
      </x:c>
      <x:c r="E602" s="1" t="str">
        <x:v>real</x:v>
      </x:c>
      <x:c r="F602" s="15" t="str">
        <x:v>Modernatx, Inc. v Pfizer Limited &amp; Others</x:v>
      </x:c>
      <x:c r="G602" s="16" t="n">
        <x:v>46236.53868298611</x:v>
      </x:c>
      <x:c r="H602" s="15" t="str">
        <x:v>case</x:v>
      </x:c>
      <x:c r="I602" s="15" t="str">
        <x:v>case:synthon bv v teva pharmaceutical industries ltd</x:v>
      </x:c>
      <x:c r="J602" s="15" t="str">
        <x:v>Synthon BV v Teva Pharmaceutical Industries Ltd</x:v>
      </x:c>
      <x:c r="K602" s="15" t="str">
        <x:v>N/A</x:v>
      </x:c>
      <x:c r="L602" s="15" t="str">
        <x:v>a1a08eab-f66f-48ea-a2b4-e885be7c07df</x:v>
      </x:c>
      <x:c r="M602" s="15" t="str"/>
      <x:c r="N602" s="15" t="str">
        <x:v>issuesForDetermination.issueMatrix[0].sourceCases[0]</x:v>
      </x:c>
      <x:c r="O602" s="15" t="str">
        <x:v>structured_json</x:v>
      </x:c>
      <x:c r="P602" s="15" t="str"/>
      <x:c r="Q602" s="15" t="str"/>
      <x:c r="R602" s="15" t="str">
        <x:v>Addresses the standards for patentability in relation to prior art and clarity.</x:v>
      </x:c>
      <x:c r="S602" s="15" t="str"/>
    </x:row>
    <x:row r="603">
      <x:c r="A603" s="1" t="str">
        <x:v>O0602</x:v>
      </x:c>
      <x:c r="B603" s="1" t="str">
        <x:v>cmsbt3hfa002904ji8k6b026n</x:v>
      </x:c>
      <x:c r="C603" s="1" t="str">
        <x:v>cmsbsrsen001i04jiiqlepl3x</x:v>
      </x:c>
      <x:c r="D603" s="1" t="str">
        <x:v>ca-2024-0023525 &amp; ca-2024-002295-modernatx-inc-v-pfizer-limited-others-respondent-skeleton</x:v>
      </x:c>
      <x:c r="E603" s="1" t="str">
        <x:v>real</x:v>
      </x:c>
      <x:c r="F603" s="15" t="str">
        <x:v>Modernatx, Inc. v Pfizer Limited &amp; Others</x:v>
      </x:c>
      <x:c r="G603" s="16" t="n">
        <x:v>46236.54068135416</x:v>
      </x:c>
      <x:c r="H603" s="15" t="str">
        <x:v>case</x:v>
      </x:c>
      <x:c r="I603" s="15" t="str">
        <x:v>case:2002 ewca civ 605</x:v>
      </x:c>
      <x:c r="J603" s="15" t="str">
        <x:v>English v Emery Reimbold &amp; Strick Ltd [2002] EWCA Civ 605</x:v>
      </x:c>
      <x:c r="K603" s="15" t="str">
        <x:v>English v Emery Reimbold &amp; Strick Ltd [2002] EWCA Civ 605</x:v>
      </x:c>
      <x:c r="L603" s="15" t="str"/>
      <x:c r="M603" s="15" t="str"/>
      <x:c r="N603" s="15" t="str">
        <x:v>legalFramework.precedentCitations[0]</x:v>
      </x:c>
      <x:c r="O603" s="15" t="str">
        <x:v>structured_json</x:v>
      </x:c>
      <x:c r="P603" s="15" t="str">
        <x:v>binding</x:v>
      </x:c>
      <x:c r="Q603" s="15" t="str"/>
      <x:c r="R603" s="15" t="str">
        <x:v>Adequacy of reasons in judgments</x:v>
      </x:c>
      <x:c r="S603" s="15" t="str"/>
    </x:row>
    <x:row r="604">
      <x:c r="A604" s="1" t="str">
        <x:v>O0603</x:v>
      </x:c>
      <x:c r="B604" s="1" t="str">
        <x:v>cmsbt3hfa002904ji8k6b026n</x:v>
      </x:c>
      <x:c r="C604" s="1" t="str">
        <x:v>cmsbsrsen001i04jiiqlepl3x</x:v>
      </x:c>
      <x:c r="D604" s="1" t="str">
        <x:v>ca-2024-0023525 &amp; ca-2024-002295-modernatx-inc-v-pfizer-limited-others-respondent-skeleton</x:v>
      </x:c>
      <x:c r="E604" s="1" t="str">
        <x:v>real</x:v>
      </x:c>
      <x:c r="F604" s="15" t="str">
        <x:v>Modernatx, Inc. v Pfizer Limited &amp; Others</x:v>
      </x:c>
      <x:c r="G604" s="16" t="n">
        <x:v>46236.54068135416</x:v>
      </x:c>
      <x:c r="H604" s="15" t="str">
        <x:v>case</x:v>
      </x:c>
      <x:c r="I604" s="15" t="str">
        <x:v>case:2000 1 wlr 377</x:v>
      </x:c>
      <x:c r="J604" s="15" t="str">
        <x:v>Flannery v Halifax Estate Agencies Ltd [2000] 1 WLR 377</x:v>
      </x:c>
      <x:c r="K604" s="15" t="str">
        <x:v>Flannery v Halifax Estate Agencies Ltd [2000] 1 WLR 377</x:v>
      </x:c>
      <x:c r="L604" s="15" t="str"/>
      <x:c r="M604" s="15" t="str"/>
      <x:c r="N604" s="15" t="str">
        <x:v>legalFramework.precedentCitations[1]</x:v>
      </x:c>
      <x:c r="O604" s="15" t="str">
        <x:v>structured_json</x:v>
      </x:c>
      <x:c r="P604" s="15" t="str">
        <x:v>binding</x:v>
      </x:c>
      <x:c r="Q604" s="15" t="str"/>
      <x:c r="R604" s="15" t="str">
        <x:v>Duty to give reasons</x:v>
      </x:c>
      <x:c r="S604" s="15" t="str"/>
    </x:row>
    <x:row r="605">
      <x:c r="A605" s="1" t="str">
        <x:v>O0604</x:v>
      </x:c>
      <x:c r="B605" s="1" t="str">
        <x:v>cmsbt3hfa002904ji8k6b026n</x:v>
      </x:c>
      <x:c r="C605" s="1" t="str">
        <x:v>cmsbsrsen001i04jiiqlepl3x</x:v>
      </x:c>
      <x:c r="D605" s="1" t="str">
        <x:v>ca-2024-0023525 &amp; ca-2024-002295-modernatx-inc-v-pfizer-limited-others-respondent-skeleton</x:v>
      </x:c>
      <x:c r="E605" s="1" t="str">
        <x:v>real</x:v>
      </x:c>
      <x:c r="F605" s="15" t="str">
        <x:v>Modernatx, Inc. v Pfizer Limited &amp; Others</x:v>
      </x:c>
      <x:c r="G605" s="16" t="n">
        <x:v>46236.54068135416</x:v>
      </x:c>
      <x:c r="H605" s="15" t="str">
        <x:v>legislation</x:v>
      </x:c>
      <x:c r="I605" s="15" t="str">
        <x:v>legislation:senior courts act 1981 s 35a</x:v>
      </x:c>
      <x:c r="J605" s="15" t="str">
        <x:v>Senior Courts Act 1981</x:v>
      </x:c>
      <x:c r="K605" s="15" t="str">
        <x:v>Senior Courts Act 1981 s.35A</x:v>
      </x:c>
      <x:c r="L605" s="15" t="str"/>
      <x:c r="M605" s="15" t="str">
        <x:v>s.35A</x:v>
      </x:c>
      <x:c r="N605" s="15" t="str">
        <x:v>legalFramework.statutoryProvisions[0]</x:v>
      </x:c>
      <x:c r="O605" s="15" t="str">
        <x:v>structured_json</x:v>
      </x:c>
      <x:c r="P605" s="15" t="str"/>
      <x:c r="Q605" s="15" t="str"/>
      <x:c r="R605" s="15" t="str">
        <x:v>Governs the applicability of interest on debts and damages.</x:v>
      </x:c>
      <x:c r="S605" s="15" t="str">
        <x:v>N/A</x:v>
      </x:c>
    </x:row>
    <x:row r="606">
      <x:c r="A606" s="1" t="str">
        <x:v>O0605</x:v>
      </x:c>
      <x:c r="B606" s="1" t="str">
        <x:v>cmsbt3hfa002904ji8k6b026n</x:v>
      </x:c>
      <x:c r="C606" s="1" t="str">
        <x:v>cmsbsrsen001i04jiiqlepl3x</x:v>
      </x:c>
      <x:c r="D606" s="1" t="str">
        <x:v>ca-2024-0023525 &amp; ca-2024-002295-modernatx-inc-v-pfizer-limited-others-respondent-skeleton</x:v>
      </x:c>
      <x:c r="E606" s="1" t="str">
        <x:v>real</x:v>
      </x:c>
      <x:c r="F606" s="15" t="str">
        <x:v>Modernatx, Inc. v Pfizer Limited &amp; Others</x:v>
      </x:c>
      <x:c r="G606" s="16" t="n">
        <x:v>46236.54068135416</x:v>
      </x:c>
      <x:c r="H606" s="15" t="str">
        <x:v>legislation</x:v>
      </x:c>
      <x:c r="I606" s="15" t="str">
        <x:v>legislation:cpr practice direction citation of authorities</x:v>
      </x:c>
      <x:c r="J606" s="15" t="str">
        <x:v>CPR Practice Direction</x:v>
      </x:c>
      <x:c r="K606" s="15" t="str">
        <x:v>CPR Practice Direction Citation of Authorities</x:v>
      </x:c>
      <x:c r="L606" s="15" t="str"/>
      <x:c r="M606" s="15" t="str">
        <x:v>Citation of Authorities</x:v>
      </x:c>
      <x:c r="N606" s="15" t="str">
        <x:v>legalFramework.statutoryProvisions[1]</x:v>
      </x:c>
      <x:c r="O606" s="15" t="str">
        <x:v>structured_json</x:v>
      </x:c>
      <x:c r="P606" s="15" t="str"/>
      <x:c r="Q606" s="15" t="str"/>
      <x:c r="R606" s="15" t="str">
        <x:v>Sets standards for proper citation in legal documents.</x:v>
      </x:c>
      <x:c r="S606" s="15" t="str">
        <x:v>N/A</x:v>
      </x:c>
    </x:row>
    <x:row r="607">
      <x:c r="A607" s="1" t="str">
        <x:v>O0606</x:v>
      </x:c>
      <x:c r="B607" s="1" t="str">
        <x:v>cmsbt3hfa002904ji8k6b026n</x:v>
      </x:c>
      <x:c r="C607" s="1" t="str">
        <x:v>cmsbsrsen001i04jiiqlepl3x</x:v>
      </x:c>
      <x:c r="D607" s="1" t="str">
        <x:v>ca-2024-0023525 &amp; ca-2024-002295-modernatx-inc-v-pfizer-limited-others-respondent-skeleton</x:v>
      </x:c>
      <x:c r="E607" s="1" t="str">
        <x:v>real</x:v>
      </x:c>
      <x:c r="F607" s="15" t="str">
        <x:v>Modernatx, Inc. v Pfizer Limited &amp; Others</x:v>
      </x:c>
      <x:c r="G607" s="16" t="n">
        <x:v>46236.54068135416</x:v>
      </x:c>
      <x:c r="H607" s="15" t="str">
        <x:v>legislation</x:v>
      </x:c>
      <x:c r="I607" s="15" t="str">
        <x:v>legislation:senior courts act 1981 s 35a</x:v>
      </x:c>
      <x:c r="J607" s="15" t="str">
        <x:v>Senior Courts Act 1981, s.35A</x:v>
      </x:c>
      <x:c r="K607" s="15" t="str">
        <x:v>Senior Courts Act 1981, s.35A</x:v>
      </x:c>
      <x:c r="L607" s="15" t="str"/>
      <x:c r="M607" s="15" t="str"/>
      <x:c r="N607" s="15" t="str">
        <x:v>decisionAndDisposition.interest.statutoryBasis</x:v>
      </x:c>
      <x:c r="O607" s="15" t="str">
        <x:v>structured_json</x:v>
      </x:c>
      <x:c r="P607" s="15" t="str"/>
      <x:c r="Q607" s="15" t="str"/>
      <x:c r="R607" s="15" t="str"/>
      <x:c r="S607" s="15" t="str"/>
    </x:row>
    <x:row r="608">
      <x:c r="A608" s="1" t="str">
        <x:v>O0607</x:v>
      </x:c>
      <x:c r="B608" s="1" t="str">
        <x:v>cmsbt3hfa002904ji8k6b026n</x:v>
      </x:c>
      <x:c r="C608" s="1" t="str">
        <x:v>cmsbsrsen001i04jiiqlepl3x</x:v>
      </x:c>
      <x:c r="D608" s="1" t="str">
        <x:v>ca-2024-0023525 &amp; ca-2024-002295-modernatx-inc-v-pfizer-limited-others-respondent-skeleton</x:v>
      </x:c>
      <x:c r="E608" s="1" t="str">
        <x:v>real</x:v>
      </x:c>
      <x:c r="F608" s="15" t="str">
        <x:v>Modernatx, Inc. v Pfizer Limited &amp; Others</x:v>
      </x:c>
      <x:c r="G608" s="16" t="n">
        <x:v>46236.54068135416</x:v>
      </x:c>
      <x:c r="H608" s="15" t="str">
        <x:v>case</x:v>
      </x:c>
      <x:c r="I608" s="15" t="str">
        <x:v>case:synthon v smithkline beecham plc no 2</x:v>
      </x:c>
      <x:c r="J608" s="15" t="str">
        <x:v>Synthon v SmithKline Beecham Plc (No.2)</x:v>
      </x:c>
      <x:c r="K608" s="15" t="str">
        <x:v>Synthon v SmithKline Beecham Plc (No.2)</x:v>
      </x:c>
      <x:c r="L608" s="15" t="str"/>
      <x:c r="M608" s="15" t="str"/>
      <x:c r="N608" s="15" t="str">
        <x:v>legalFramework.legalTestSummaries[0].sourceAuthority</x:v>
      </x:c>
      <x:c r="O608" s="15" t="str">
        <x:v>structured_json</x:v>
      </x:c>
      <x:c r="P608" s="15" t="str"/>
      <x:c r="Q608" s="15" t="str"/>
      <x:c r="R608" s="15" t="str"/>
      <x:c r="S608" s="15" t="str"/>
    </x:row>
    <x:row r="609">
      <x:c r="A609" s="1" t="str">
        <x:v>O0608</x:v>
      </x:c>
      <x:c r="B609" s="1" t="str">
        <x:v>cmsbt3hfa002904ji8k6b026n</x:v>
      </x:c>
      <x:c r="C609" s="1" t="str">
        <x:v>cmsbsrsen001i04jiiqlepl3x</x:v>
      </x:c>
      <x:c r="D609" s="1" t="str">
        <x:v>ca-2024-0023525 &amp; ca-2024-002295-modernatx-inc-v-pfizer-limited-others-respondent-skeleton</x:v>
      </x:c>
      <x:c r="E609" s="1" t="str">
        <x:v>real</x:v>
      </x:c>
      <x:c r="F609" s="15" t="str">
        <x:v>Modernatx, Inc. v Pfizer Limited &amp; Others</x:v>
      </x:c>
      <x:c r="G609" s="16" t="n">
        <x:v>46236.54068135416</x:v>
      </x:c>
      <x:c r="H609" s="15" t="str">
        <x:v>case</x:v>
      </x:c>
      <x:c r="I609" s="15" t="str">
        <x:v>case:synthon bv v teva pharmaceutical industries ltd</x:v>
      </x:c>
      <x:c r="J609" s="15" t="str">
        <x:v>Synthon BV v Teva Pharmaceutical Industries Ltd</x:v>
      </x:c>
      <x:c r="K609" s="15" t="str">
        <x:v>N/A</x:v>
      </x:c>
      <x:c r="L609" s="15" t="str">
        <x:v>a1a08eab-f66f-48ea-a2b4-e885be7c07df</x:v>
      </x:c>
      <x:c r="M609" s="15" t="str"/>
      <x:c r="N609" s="15" t="str">
        <x:v>factualFindings.contestedFacts[0].sourceCases[0]</x:v>
      </x:c>
      <x:c r="O609" s="15" t="str">
        <x:v>structured_json</x:v>
      </x:c>
      <x:c r="P609" s="15" t="str"/>
      <x:c r="Q609" s="15" t="str">
        <x:v>same_proposition</x:v>
      </x:c>
      <x:c r="R609" s="15" t="str">
        <x:v>This case discusses the interpretation of prior art in relation to anticipation and is significant in clarifying the expectations of what constitutes adequate disclosure.</x:v>
      </x:c>
      <x:c r="S609" s="15" t="str"/>
    </x:row>
    <x:row r="610">
      <x:c r="A610" s="1" t="str">
        <x:v>O0609</x:v>
      </x:c>
      <x:c r="B610" s="1" t="str">
        <x:v>cmsbt3hfa002904ji8k6b026n</x:v>
      </x:c>
      <x:c r="C610" s="1" t="str">
        <x:v>cmsbsrsen001i04jiiqlepl3x</x:v>
      </x:c>
      <x:c r="D610" s="1" t="str">
        <x:v>ca-2024-0023525 &amp; ca-2024-002295-modernatx-inc-v-pfizer-limited-others-respondent-skeleton</x:v>
      </x:c>
      <x:c r="E610" s="1" t="str">
        <x:v>real</x:v>
      </x:c>
      <x:c r="F610" s="15" t="str">
        <x:v>Modernatx, Inc. v Pfizer Limited &amp; Others</x:v>
      </x:c>
      <x:c r="G610" s="16" t="n">
        <x:v>46236.54068135416</x:v>
      </x:c>
      <x:c r="H610" s="15" t="str">
        <x:v>case</x:v>
      </x:c>
      <x:c r="I610" s="15" t="str">
        <x:v>case:synthon bv v teva pharmaceutical industries ltd</x:v>
      </x:c>
      <x:c r="J610" s="15" t="str">
        <x:v>Synthon BV v Teva Pharmaceutical Industries Ltd</x:v>
      </x:c>
      <x:c r="K610" s="15" t="str">
        <x:v>N/A</x:v>
      </x:c>
      <x:c r="L610" s="15" t="str">
        <x:v>a1a08eab-f66f-48ea-a2b4-e885be7c07df</x:v>
      </x:c>
      <x:c r="M610" s="15" t="str"/>
      <x:c r="N610" s="15" t="str">
        <x:v>reasoningStructure[0].sourceCases[0]</x:v>
      </x:c>
      <x:c r="O610" s="15" t="str">
        <x:v>structured_json</x:v>
      </x:c>
      <x:c r="P610" s="15" t="str"/>
      <x:c r="Q610" s="15" t="str">
        <x:v>same_proposition</x:v>
      </x:c>
      <x:c r="R610" s="15" t="str">
        <x:v>Informs the necessity for claims of novelty to align with the existing standards for determining anticipation.</x:v>
      </x:c>
      <x:c r="S610" s="15" t="str"/>
    </x:row>
    <x:row r="611">
      <x:c r="A611" s="1" t="str">
        <x:v>O0610</x:v>
      </x:c>
      <x:c r="B611" s="1" t="str">
        <x:v>cmsbt3hfa002904ji8k6b026n</x:v>
      </x:c>
      <x:c r="C611" s="1" t="str">
        <x:v>cmsbsrsen001i04jiiqlepl3x</x:v>
      </x:c>
      <x:c r="D611" s="1" t="str">
        <x:v>ca-2024-0023525 &amp; ca-2024-002295-modernatx-inc-v-pfizer-limited-others-respondent-skeleton</x:v>
      </x:c>
      <x:c r="E611" s="1" t="str">
        <x:v>real</x:v>
      </x:c>
      <x:c r="F611" s="15" t="str">
        <x:v>Modernatx, Inc. v Pfizer Limited &amp; Others</x:v>
      </x:c>
      <x:c r="G611" s="16" t="n">
        <x:v>46236.54068135416</x:v>
      </x:c>
      <x:c r="H611" s="15" t="str">
        <x:v>case</x:v>
      </x:c>
      <x:c r="I611" s="15" t="str">
        <x:v>case:synthon bv v teva pharmaceutical industries ltd</x:v>
      </x:c>
      <x:c r="J611" s="15" t="str">
        <x:v>Synthon BV v Teva Pharmaceutical Industries Ltd</x:v>
      </x:c>
      <x:c r="K611" s="15" t="str">
        <x:v>N/A</x:v>
      </x:c>
      <x:c r="L611" s="15" t="str">
        <x:v>a1a08eab-f66f-48ea-a2b4-e885be7c07df</x:v>
      </x:c>
      <x:c r="M611" s="15" t="str"/>
      <x:c r="N611" s="15" t="str">
        <x:v>issuesForDetermination.issueMatrix[0].sourceCases[0]</x:v>
      </x:c>
      <x:c r="O611" s="15" t="str">
        <x:v>structured_json</x:v>
      </x:c>
      <x:c r="P611" s="15" t="str"/>
      <x:c r="Q611" s="15" t="str">
        <x:v>same_proposition</x:v>
      </x:c>
      <x:c r="R611" s="15" t="str">
        <x:v>This case discusses effective standards for determining novelty and expectations from prior art.</x:v>
      </x:c>
      <x:c r="S611" s="15" t="str"/>
    </x:row>
    <x:row r="612">
      <x:c r="A612" s="1" t="str">
        <x:v>O0611</x:v>
      </x:c>
      <x:c r="B612" s="1" t="str">
        <x:v>cmsbtbxft002t04jic4baeo3l</x:v>
      </x:c>
      <x:c r="C612" s="1" t="str">
        <x:v>cmsbt9u2q002e04ji2397j8fe</x:v>
      </x:c>
      <x:c r="D612" s="1" t="str">
        <x:v>ca-2024-002325 &amp; ca-2024-002295-modernatx-inc-v-pfizer-limited-others-appellant-skeleton</x:v>
      </x:c>
      <x:c r="E612" s="1" t="str">
        <x:v>real</x:v>
      </x:c>
      <x:c r="F612" s="15" t="str">
        <x:v>Modernatx, Inc. v Pfizer Limited &amp; Others</x:v>
      </x:c>
      <x:c r="G612" s="16" t="n">
        <x:v>46236.54524157407</x:v>
      </x:c>
      <x:c r="H612" s="15" t="str">
        <x:v>case</x:v>
      </x:c>
      <x:c r="I612" s="15" t="str">
        <x:v>case:2002 ewca civ 605</x:v>
      </x:c>
      <x:c r="J612" s="15" t="str">
        <x:v>[2002] EWCA Civ 605</x:v>
      </x:c>
      <x:c r="K612" s="15" t="str">
        <x:v>[2002] EWCA Civ 605</x:v>
      </x:c>
      <x:c r="L612" s="15" t="str"/>
      <x:c r="M612" s="15" t="str"/>
      <x:c r="N612" s="15" t="str">
        <x:v>legalFramework.precedentCitations[0]</x:v>
      </x:c>
      <x:c r="O612" s="15" t="str">
        <x:v>structured_json</x:v>
      </x:c>
      <x:c r="P612" s="15" t="str">
        <x:v>binding</x:v>
      </x:c>
      <x:c r="Q612" s="15" t="str"/>
      <x:c r="R612" s="15" t="str">
        <x:v>Reasons for judgments must adequately explain the decision-making process.</x:v>
      </x:c>
      <x:c r="S612" s="15" t="str"/>
    </x:row>
    <x:row r="613">
      <x:c r="A613" s="1" t="str">
        <x:v>O0612</x:v>
      </x:c>
      <x:c r="B613" s="1" t="str">
        <x:v>cmsbtbxft002t04jic4baeo3l</x:v>
      </x:c>
      <x:c r="C613" s="1" t="str">
        <x:v>cmsbt9u2q002e04ji2397j8fe</x:v>
      </x:c>
      <x:c r="D613" s="1" t="str">
        <x:v>ca-2024-002325 &amp; ca-2024-002295-modernatx-inc-v-pfizer-limited-others-appellant-skeleton</x:v>
      </x:c>
      <x:c r="E613" s="1" t="str">
        <x:v>real</x:v>
      </x:c>
      <x:c r="F613" s="15" t="str">
        <x:v>Modernatx, Inc. v Pfizer Limited &amp; Others</x:v>
      </x:c>
      <x:c r="G613" s="16" t="n">
        <x:v>46236.54524157407</x:v>
      </x:c>
      <x:c r="H613" s="15" t="str">
        <x:v>legislation</x:v>
      </x:c>
      <x:c r="I613" s="15" t="str">
        <x:v>legislation:senior courts act 1981 s 35a</x:v>
      </x:c>
      <x:c r="J613" s="15" t="str">
        <x:v>Senior Courts Act 1981</x:v>
      </x:c>
      <x:c r="K613" s="15" t="str">
        <x:v>Senior Courts Act 1981 s.35A</x:v>
      </x:c>
      <x:c r="L613" s="15" t="str"/>
      <x:c r="M613" s="15" t="str">
        <x:v>s.35A</x:v>
      </x:c>
      <x:c r="N613" s="15" t="str">
        <x:v>legalFramework.statutoryProvisions[0]</x:v>
      </x:c>
      <x:c r="O613" s="15" t="str">
        <x:v>structured_json</x:v>
      </x:c>
      <x:c r="P613" s="15" t="str"/>
      <x:c r="Q613" s="15" t="str"/>
      <x:c r="R613" s="15" t="str">
        <x:v>Applicable for claims relating to interest on debts and damages.</x:v>
      </x:c>
      <x:c r="S613" s="15" t="str"/>
    </x:row>
    <x:row r="614">
      <x:c r="A614" s="1" t="str">
        <x:v>O0613</x:v>
      </x:c>
      <x:c r="B614" s="1" t="str">
        <x:v>cmsbtbxft002t04jic4baeo3l</x:v>
      </x:c>
      <x:c r="C614" s="1" t="str">
        <x:v>cmsbt9u2q002e04ji2397j8fe</x:v>
      </x:c>
      <x:c r="D614" s="1" t="str">
        <x:v>ca-2024-002325 &amp; ca-2024-002295-modernatx-inc-v-pfizer-limited-others-appellant-skeleton</x:v>
      </x:c>
      <x:c r="E614" s="1" t="str">
        <x:v>real</x:v>
      </x:c>
      <x:c r="F614" s="15" t="str">
        <x:v>Modernatx, Inc. v Pfizer Limited &amp; Others</x:v>
      </x:c>
      <x:c r="G614" s="16" t="n">
        <x:v>46236.54524157407</x:v>
      </x:c>
      <x:c r="H614" s="15" t="str">
        <x:v>legislation</x:v>
      </x:c>
      <x:c r="I614" s="15" t="str">
        <x:v>legislation:senior courts act 1981 s 35a</x:v>
      </x:c>
      <x:c r="J614" s="15" t="str">
        <x:v>Senior Courts Act 1981, s.35A</x:v>
      </x:c>
      <x:c r="K614" s="15" t="str">
        <x:v>Senior Courts Act 1981, s.35A</x:v>
      </x:c>
      <x:c r="L614" s="15" t="str"/>
      <x:c r="M614" s="15" t="str"/>
      <x:c r="N614" s="15" t="str">
        <x:v>decisionAndDisposition.interest.statutoryBasis</x:v>
      </x:c>
      <x:c r="O614" s="15" t="str">
        <x:v>structured_json</x:v>
      </x:c>
      <x:c r="P614" s="15" t="str"/>
      <x:c r="Q614" s="15" t="str"/>
      <x:c r="R614" s="15" t="str"/>
      <x:c r="S614" s="15" t="str"/>
    </x:row>
    <x:row r="615">
      <x:c r="A615" s="1" t="str">
        <x:v>O0614</x:v>
      </x:c>
      <x:c r="B615" s="1" t="str">
        <x:v>cmsbtbxft002t04jic4baeo3l</x:v>
      </x:c>
      <x:c r="C615" s="1" t="str">
        <x:v>cmsbt9u2q002e04ji2397j8fe</x:v>
      </x:c>
      <x:c r="D615" s="1" t="str">
        <x:v>ca-2024-002325 &amp; ca-2024-002295-modernatx-inc-v-pfizer-limited-others-appellant-skeleton</x:v>
      </x:c>
      <x:c r="E615" s="1" t="str">
        <x:v>real</x:v>
      </x:c>
      <x:c r="F615" s="15" t="str">
        <x:v>Modernatx, Inc. v Pfizer Limited &amp; Others</x:v>
      </x:c>
      <x:c r="G615" s="16" t="n">
        <x:v>46236.54524157407</x:v>
      </x:c>
      <x:c r="H615" s="15" t="str">
        <x:v>legislation</x:v>
      </x:c>
      <x:c r="I615" s="15" t="str">
        <x:v>legislation:senior courts act 1981 s 35a</x:v>
      </x:c>
      <x:c r="J615" s="15" t="str">
        <x:v>Senior Courts Act 1981, s.35A</x:v>
      </x:c>
      <x:c r="K615" s="15" t="str">
        <x:v>Senior Courts Act 1981, s.35A</x:v>
      </x:c>
      <x:c r="L615" s="15" t="str"/>
      <x:c r="M615" s="15" t="str"/>
      <x:c r="N615" s="15" t="str">
        <x:v>legalFramework.legalTestSummaries[0].sourceAuthority</x:v>
      </x:c>
      <x:c r="O615" s="15" t="str">
        <x:v>structured_json</x:v>
      </x:c>
      <x:c r="P615" s="15" t="str"/>
      <x:c r="Q615" s="15" t="str"/>
      <x:c r="R615" s="15" t="str"/>
      <x:c r="S615" s="15" t="str"/>
    </x:row>
    <x:row r="616">
      <x:c r="A616" s="1" t="str">
        <x:v>O0615</x:v>
      </x:c>
      <x:c r="B616" s="1" t="str">
        <x:v>cmsbtbxft002t04jic4baeo3l</x:v>
      </x:c>
      <x:c r="C616" s="1" t="str">
        <x:v>cmsbt9u2q002e04ji2397j8fe</x:v>
      </x:c>
      <x:c r="D616" s="1" t="str">
        <x:v>ca-2024-002325 &amp; ca-2024-002295-modernatx-inc-v-pfizer-limited-others-appellant-skeleton</x:v>
      </x:c>
      <x:c r="E616" s="1" t="str">
        <x:v>real</x:v>
      </x:c>
      <x:c r="F616" s="15" t="str">
        <x:v>Modernatx, Inc. v Pfizer Limited &amp; Others</x:v>
      </x:c>
      <x:c r="G616" s="16" t="n">
        <x:v>46236.54524157407</x:v>
      </x:c>
      <x:c r="H616" s="15" t="str">
        <x:v>case</x:v>
      </x:c>
      <x:c r="I616" s="15" t="str">
        <x:v>case:novartis ag and novartis pharmaceuticals uk limited v teva uk ltd &amp; ors</x:v>
      </x:c>
      <x:c r="J616" s="15" t="str">
        <x:v>Novartis AG and Novartis Pharmaceuticals UK Limited v Teva UK Ltd &amp; Ors</x:v>
      </x:c>
      <x:c r="K616" s="15" t="str">
        <x:v>N/A</x:v>
      </x:c>
      <x:c r="L616" s="15" t="str">
        <x:v>9a6c35d9-2f41-4d9b-bdea-d545c0053749</x:v>
      </x:c>
      <x:c r="M616" s="15" t="str"/>
      <x:c r="N616" s="15" t="str">
        <x:v>factualFindings.contestedFacts[0].sourceCases[0]</x:v>
      </x:c>
      <x:c r="O616" s="15" t="str">
        <x:v>structured_json</x:v>
      </x:c>
      <x:c r="P616" s="15" t="str"/>
      <x:c r="Q616" s="15" t="str"/>
      <x:c r="R616" s="15" t="str">
        <x:v>This case addressed similar issues of patent novelty and prior art in the pharmaceutical context.</x:v>
      </x:c>
      <x:c r="S616" s="15" t="str"/>
    </x:row>
    <x:row r="617">
      <x:c r="A617" s="1" t="str">
        <x:v>O0616</x:v>
      </x:c>
      <x:c r="B617" s="1" t="str">
        <x:v>cmsbtbxft002t04jic4baeo3l</x:v>
      </x:c>
      <x:c r="C617" s="1" t="str">
        <x:v>cmsbt9u2q002e04ji2397j8fe</x:v>
      </x:c>
      <x:c r="D617" s="1" t="str">
        <x:v>ca-2024-002325 &amp; ca-2024-002295-modernatx-inc-v-pfizer-limited-others-appellant-skeleton</x:v>
      </x:c>
      <x:c r="E617" s="1" t="str">
        <x:v>real</x:v>
      </x:c>
      <x:c r="F617" s="15" t="str">
        <x:v>Modernatx, Inc. v Pfizer Limited &amp; Others</x:v>
      </x:c>
      <x:c r="G617" s="16" t="n">
        <x:v>46236.54524157407</x:v>
      </x:c>
      <x:c r="H617" s="15" t="str">
        <x:v>case</x:v>
      </x:c>
      <x:c r="I617" s="15" t="str">
        <x:v>case:warner lambert company llc v actavis group ptc ehf &amp; ors</x:v>
      </x:c>
      <x:c r="J617" s="15" t="str">
        <x:v>Warner-Lambert Company, LLC v Actavis Group Ptc EHF &amp; Ors</x:v>
      </x:c>
      <x:c r="K617" s="15" t="str">
        <x:v>N/A</x:v>
      </x:c>
      <x:c r="L617" s="15" t="str">
        <x:v>4d61560d-ecf9-4ce9-a7f2-63d5c1787b6e</x:v>
      </x:c>
      <x:c r="M617" s="15" t="str"/>
      <x:c r="N617" s="15" t="str">
        <x:v>factualFindings.contestedFacts[1].sourceCases[0]</x:v>
      </x:c>
      <x:c r="O617" s="15" t="str">
        <x:v>structured_json</x:v>
      </x:c>
      <x:c r="P617" s="15" t="str"/>
      <x:c r="Q617" s="15" t="str"/>
      <x:c r="R617" s="15" t="str">
        <x:v>Similar challenges surrounding patent application standards, focusing on the interpretation of prior art.</x:v>
      </x:c>
      <x:c r="S617" s="15" t="str"/>
    </x:row>
    <x:row r="618">
      <x:c r="A618" s="1" t="str">
        <x:v>O0617</x:v>
      </x:c>
      <x:c r="B618" s="1" t="str">
        <x:v>cmsbtbxft002t04jic4baeo3l</x:v>
      </x:c>
      <x:c r="C618" s="1" t="str">
        <x:v>cmsbt9u2q002e04ji2397j8fe</x:v>
      </x:c>
      <x:c r="D618" s="1" t="str">
        <x:v>ca-2024-002325 &amp; ca-2024-002295-modernatx-inc-v-pfizer-limited-others-appellant-skeleton</x:v>
      </x:c>
      <x:c r="E618" s="1" t="str">
        <x:v>real</x:v>
      </x:c>
      <x:c r="F618" s="15" t="str">
        <x:v>Modernatx, Inc. v Pfizer Limited &amp; Others</x:v>
      </x:c>
      <x:c r="G618" s="16" t="n">
        <x:v>46236.54524157407</x:v>
      </x:c>
      <x:c r="H618" s="15" t="str">
        <x:v>case</x:v>
      </x:c>
      <x:c r="I618" s="15" t="str">
        <x:v>case:smith &amp; nephew plc v convatec technologies inc &amp; ors</x:v>
      </x:c>
      <x:c r="J618" s="15" t="str">
        <x:v>Smith &amp; Nephew Plc v Convatec Technologies Inc &amp; Ors</x:v>
      </x:c>
      <x:c r="K618" s="15" t="str">
        <x:v>N/A</x:v>
      </x:c>
      <x:c r="L618" s="15" t="str">
        <x:v>29106524-22a0-4410-a8a6-c9fc60308a2a</x:v>
      </x:c>
      <x:c r="M618" s="15" t="str"/>
      <x:c r="N618" s="15" t="str">
        <x:v>reasoningStructure[0].sourceCases[0]</x:v>
      </x:c>
      <x:c r="O618" s="15" t="str">
        <x:v>structured_json</x:v>
      </x:c>
      <x:c r="P618" s="15" t="str"/>
      <x:c r="Q618" s="15" t="str"/>
      <x:c r="R618" s="15" t="str">
        <x:v>Addresses the complexity surrounding patent novelty and offers insights into prior art implications.</x:v>
      </x:c>
      <x:c r="S618" s="15" t="str"/>
    </x:row>
    <x:row r="619">
      <x:c r="A619" s="1" t="str">
        <x:v>O0618</x:v>
      </x:c>
      <x:c r="B619" s="1" t="str">
        <x:v>cmsbtbxft002t04jic4baeo3l</x:v>
      </x:c>
      <x:c r="C619" s="1" t="str">
        <x:v>cmsbt9u2q002e04ji2397j8fe</x:v>
      </x:c>
      <x:c r="D619" s="1" t="str">
        <x:v>ca-2024-002325 &amp; ca-2024-002295-modernatx-inc-v-pfizer-limited-others-appellant-skeleton</x:v>
      </x:c>
      <x:c r="E619" s="1" t="str">
        <x:v>real</x:v>
      </x:c>
      <x:c r="F619" s="15" t="str">
        <x:v>Modernatx, Inc. v Pfizer Limited &amp; Others</x:v>
      </x:c>
      <x:c r="G619" s="16" t="n">
        <x:v>46236.54524157407</x:v>
      </x:c>
      <x:c r="H619" s="15" t="str">
        <x:v>case</x:v>
      </x:c>
      <x:c r="I619" s="15" t="str">
        <x:v>case:hospira uk ltd v genentech inc</x:v>
      </x:c>
      <x:c r="J619" s="15" t="str">
        <x:v>Hospira (UK) Ltd v Genentech, Inc.</x:v>
      </x:c>
      <x:c r="K619" s="15" t="str">
        <x:v>N/A</x:v>
      </x:c>
      <x:c r="L619" s="15" t="str">
        <x:v>220f5941-b918-42be-ba08-5254bcf34586</x:v>
      </x:c>
      <x:c r="M619" s="15" t="str"/>
      <x:c r="N619" s="15" t="str">
        <x:v>issuesForDetermination.issueMatrix[0].sourceCases[0]</x:v>
      </x:c>
      <x:c r="O619" s="15" t="str">
        <x:v>structured_json</x:v>
      </x:c>
      <x:c r="P619" s="15" t="str"/>
      <x:c r="Q619" s="15" t="str"/>
      <x:c r="R619" s="15" t="str">
        <x:v>Relevant case discussing standards for novelty and obviousness with respect to biopharmaceutical patents.</x:v>
      </x:c>
      <x:c r="S619" s="15" t="str"/>
    </x:row>
    <x:row r="620">
      <x:c r="A620" s="1" t="str">
        <x:v>O0619</x:v>
      </x:c>
      <x:c r="B620" s="1" t="str">
        <x:v>cmst419ew000k04ladhs06s0r</x:v>
      </x:c>
      <x:c r="C620" s="1" t="str">
        <x:v>cmst3ysl5000504lad87fig4n</x:v>
      </x:c>
      <x:c r="D620" s="1" t="str">
        <x:v>skeleton-args-ca2015000120-c8bbd9c0f403a8f6</x:v>
      </x:c>
      <x:c r="E620" s="1" t="str">
        <x:v>synthetic</x:v>
      </x:c>
      <x:c r="F620" s="15" t="str">
        <x:v>Sharma v Meridian Financial Services Ltd</x:v>
      </x:c>
      <x:c r="G620" s="16" t="n">
        <x:v>46248.650601180554</x:v>
      </x:c>
      <x:c r="H620" s="15" t="str">
        <x:v>case</x:v>
      </x:c>
      <x:c r="I620" s="15" t="str">
        <x:v>case:shamoon v chief constable of the royal ulster constabulary</x:v>
      </x:c>
      <x:c r="J620" s="15" t="str">
        <x:v>Shamoon v Chief Constable of the Royal Ulster Constabulary</x:v>
      </x:c>
      <x:c r="K620" s="15" t="str">
        <x:v>Shamoon v Chief Constable of the Royal Ulster Constabulary</x:v>
      </x:c>
      <x:c r="L620" s="15" t="str"/>
      <x:c r="M620" s="15" t="str"/>
      <x:c r="N620" s="15" t="str">
        <x:v>legalFramework.precedentCitations[0]</x:v>
      </x:c>
      <x:c r="O620" s="15" t="str">
        <x:v>structured_json</x:v>
      </x:c>
      <x:c r="P620" s="15" t="str">
        <x:v>persuasive</x:v>
      </x:c>
      <x:c r="Q620" s="15" t="str"/>
      <x:c r="R620" s="15" t="str">
        <x:v>Direct discrimination can be established by examining the circumstances surrounding the treatment of the employee.</x:v>
      </x:c>
      <x:c r="S620" s="15" t="str"/>
    </x:row>
    <x:row r="621">
      <x:c r="A621" s="1" t="str">
        <x:v>O0620</x:v>
      </x:c>
      <x:c r="B621" s="1" t="str">
        <x:v>cmst419ew000k04ladhs06s0r</x:v>
      </x:c>
      <x:c r="C621" s="1" t="str">
        <x:v>cmst3ysl5000504lad87fig4n</x:v>
      </x:c>
      <x:c r="D621" s="1" t="str">
        <x:v>skeleton-args-ca2015000120-c8bbd9c0f403a8f6</x:v>
      </x:c>
      <x:c r="E621" s="1" t="str">
        <x:v>synthetic</x:v>
      </x:c>
      <x:c r="F621" s="15" t="str">
        <x:v>Sharma v Meridian Financial Services Ltd</x:v>
      </x:c>
      <x:c r="G621" s="16" t="n">
        <x:v>46248.650601180554</x:v>
      </x:c>
      <x:c r="H621" s="15" t="str">
        <x:v>case</x:v>
      </x:c>
      <x:c r="I621" s="15" t="str">
        <x:v>case:igen ltd v wong</x:v>
      </x:c>
      <x:c r="J621" s="15" t="str">
        <x:v>Igen Ltd v Wong</x:v>
      </x:c>
      <x:c r="K621" s="15" t="str">
        <x:v>Igen Ltd v Wong</x:v>
      </x:c>
      <x:c r="L621" s="15" t="str"/>
      <x:c r="M621" s="15" t="str"/>
      <x:c r="N621" s="15" t="str">
        <x:v>legalFramework.precedentCitations[1]</x:v>
      </x:c>
      <x:c r="O621" s="15" t="str">
        <x:v>structured_json</x:v>
      </x:c>
      <x:c r="P621" s="15" t="str">
        <x:v>binding</x:v>
      </x:c>
      <x:c r="Q621" s="15" t="str"/>
      <x:c r="R621" s="15" t="str">
        <x:v>The burden of proof shifts to the employer when a claimant establishes a prima facie case.</x:v>
      </x:c>
      <x:c r="S621" s="15" t="str"/>
    </x:row>
    <x:row r="622">
      <x:c r="A622" s="1" t="str">
        <x:v>O0621</x:v>
      </x:c>
      <x:c r="B622" s="1" t="str">
        <x:v>cmst419ew000k04ladhs06s0r</x:v>
      </x:c>
      <x:c r="C622" s="1" t="str">
        <x:v>cmst3ysl5000504lad87fig4n</x:v>
      </x:c>
      <x:c r="D622" s="1" t="str">
        <x:v>skeleton-args-ca2015000120-c8bbd9c0f403a8f6</x:v>
      </x:c>
      <x:c r="E622" s="1" t="str">
        <x:v>synthetic</x:v>
      </x:c>
      <x:c r="F622" s="15" t="str">
        <x:v>Sharma v Meridian Financial Services Ltd</x:v>
      </x:c>
      <x:c r="G622" s="16" t="n">
        <x:v>46248.650601180554</x:v>
      </x:c>
      <x:c r="H622" s="15" t="str">
        <x:v>legislation</x:v>
      </x:c>
      <x:c r="I622" s="15" t="str">
        <x:v>legislation:equality act 2010 13</x:v>
      </x:c>
      <x:c r="J622" s="15" t="str">
        <x:v>Equality Act 2010</x:v>
      </x:c>
      <x:c r="K622" s="15" t="str">
        <x:v>Equality Act 2010 13</x:v>
      </x:c>
      <x:c r="L622" s="15" t="str"/>
      <x:c r="M622" s="15" t="str">
        <x:v>13</x:v>
      </x:c>
      <x:c r="N622" s="15" t="str">
        <x:v>legalFramework.statutoryProvisions[0]</x:v>
      </x:c>
      <x:c r="O622" s="15" t="str">
        <x:v>structured_json</x:v>
      </x:c>
      <x:c r="P622" s="15" t="str"/>
      <x:c r="Q622" s="15" t="str"/>
      <x:c r="R622" s="15" t="str">
        <x:v>Defines direct discrimination based on race.</x:v>
      </x:c>
      <x:c r="S622" s="15" t="str">
        <x:v>https://www.legislation.gov.uk/ukpga/2010/15/section/13</x:v>
      </x:c>
    </x:row>
    <x:row r="623">
      <x:c r="A623" s="1" t="str">
        <x:v>O0622</x:v>
      </x:c>
      <x:c r="B623" s="1" t="str">
        <x:v>cmst419ew000k04ladhs06s0r</x:v>
      </x:c>
      <x:c r="C623" s="1" t="str">
        <x:v>cmst3ysl5000504lad87fig4n</x:v>
      </x:c>
      <x:c r="D623" s="1" t="str">
        <x:v>skeleton-args-ca2015000120-c8bbd9c0f403a8f6</x:v>
      </x:c>
      <x:c r="E623" s="1" t="str">
        <x:v>synthetic</x:v>
      </x:c>
      <x:c r="F623" s="15" t="str">
        <x:v>Sharma v Meridian Financial Services Ltd</x:v>
      </x:c>
      <x:c r="G623" s="16" t="n">
        <x:v>46248.650601180554</x:v>
      </x:c>
      <x:c r="H623" s="15" t="str">
        <x:v>legislation</x:v>
      </x:c>
      <x:c r="I623" s="15" t="str">
        <x:v>legislation:employment rights act 1996 94</x:v>
      </x:c>
      <x:c r="J623" s="15" t="str">
        <x:v>Employment Rights Act 1996</x:v>
      </x:c>
      <x:c r="K623" s="15" t="str">
        <x:v>Employment Rights Act 1996 94</x:v>
      </x:c>
      <x:c r="L623" s="15" t="str"/>
      <x:c r="M623" s="15" t="str">
        <x:v>94</x:v>
      </x:c>
      <x:c r="N623" s="15" t="str">
        <x:v>legalFramework.statutoryProvisions[1]</x:v>
      </x:c>
      <x:c r="O623" s="15" t="str">
        <x:v>structured_json</x:v>
      </x:c>
      <x:c r="P623" s="15" t="str"/>
      <x:c r="Q623" s="15" t="str"/>
      <x:c r="R623" s="15" t="str">
        <x:v>Regulates unfair dismissal principles.</x:v>
      </x:c>
      <x:c r="S623" s="15" t="str">
        <x:v>https://www.legislation.gov.uk/ukpga/1996/18/section/94</x:v>
      </x:c>
    </x:row>
    <x:row r="624">
      <x:c r="A624" s="1" t="str">
        <x:v>O0623</x:v>
      </x:c>
      <x:c r="B624" s="1" t="str">
        <x:v>cmst419ew000k04ladhs06s0r</x:v>
      </x:c>
      <x:c r="C624" s="1" t="str">
        <x:v>cmst3ysl5000504lad87fig4n</x:v>
      </x:c>
      <x:c r="D624" s="1" t="str">
        <x:v>skeleton-args-ca2015000120-c8bbd9c0f403a8f6</x:v>
      </x:c>
      <x:c r="E624" s="1" t="str">
        <x:v>synthetic</x:v>
      </x:c>
      <x:c r="F624" s="15" t="str">
        <x:v>Sharma v Meridian Financial Services Ltd</x:v>
      </x:c>
      <x:c r="G624" s="16" t="n">
        <x:v>46248.650601180554</x:v>
      </x:c>
      <x:c r="H624" s="15" t="str">
        <x:v>legislation</x:v>
      </x:c>
      <x:c r="I624" s="15" t="str">
        <x:v>legislation:senior courts act 1981 s 35a</x:v>
      </x:c>
      <x:c r="J624" s="15" t="str">
        <x:v>Senior Courts Act 1981, s.35A</x:v>
      </x:c>
      <x:c r="K624" s="15" t="str">
        <x:v>Senior Courts Act 1981, s.35A</x:v>
      </x:c>
      <x:c r="L624" s="15" t="str"/>
      <x:c r="M624" s="15" t="str"/>
      <x:c r="N624" s="15" t="str">
        <x:v>decisionAndDisposition.interest.statutoryBasis</x:v>
      </x:c>
      <x:c r="O624" s="15" t="str">
        <x:v>structured_json</x:v>
      </x:c>
      <x:c r="P624" s="15" t="str"/>
      <x:c r="Q624" s="15" t="str"/>
      <x:c r="R624" s="15" t="str"/>
      <x:c r="S624" s="15" t="str"/>
    </x:row>
    <x:row r="625">
      <x:c r="A625" s="1" t="str">
        <x:v>O0624</x:v>
      </x:c>
      <x:c r="B625" s="1" t="str">
        <x:v>cmst419ew000k04ladhs06s0r</x:v>
      </x:c>
      <x:c r="C625" s="1" t="str">
        <x:v>cmst3ysl5000504lad87fig4n</x:v>
      </x:c>
      <x:c r="D625" s="1" t="str">
        <x:v>skeleton-args-ca2015000120-c8bbd9c0f403a8f6</x:v>
      </x:c>
      <x:c r="E625" s="1" t="str">
        <x:v>synthetic</x:v>
      </x:c>
      <x:c r="F625" s="15" t="str">
        <x:v>Sharma v Meridian Financial Services Ltd</x:v>
      </x:c>
      <x:c r="G625" s="16" t="n">
        <x:v>46248.650601180554</x:v>
      </x:c>
      <x:c r="H625" s="15" t="str">
        <x:v>legislation</x:v>
      </x:c>
      <x:c r="I625" s="15" t="str">
        <x:v>legislation:equality act 2010 s 13</x:v>
      </x:c>
      <x:c r="J625" s="15" t="str">
        <x:v>Equality Act 2010, s.13</x:v>
      </x:c>
      <x:c r="K625" s="15" t="str">
        <x:v>Equality Act 2010, s.13</x:v>
      </x:c>
      <x:c r="L625" s="15" t="str"/>
      <x:c r="M625" s="15" t="str"/>
      <x:c r="N625" s="15" t="str">
        <x:v>legalFramework.legalTestSummaries[0].sourceAuthority</x:v>
      </x:c>
      <x:c r="O625" s="15" t="str">
        <x:v>structured_json</x:v>
      </x:c>
      <x:c r="P625" s="15" t="str"/>
      <x:c r="Q625" s="15" t="str"/>
      <x:c r="R625" s="15" t="str"/>
      <x:c r="S625" s="15" t="str"/>
    </x:row>
    <x:row r="626">
      <x:c r="A626" s="1" t="str">
        <x:v>O0625</x:v>
      </x:c>
      <x:c r="B626" s="1" t="str">
        <x:v>cmst419ew000k04ladhs06s0r</x:v>
      </x:c>
      <x:c r="C626" s="1" t="str">
        <x:v>cmst3ysl5000504lad87fig4n</x:v>
      </x:c>
      <x:c r="D626" s="1" t="str">
        <x:v>skeleton-args-ca2015000120-c8bbd9c0f403a8f6</x:v>
      </x:c>
      <x:c r="E626" s="1" t="str">
        <x:v>synthetic</x:v>
      </x:c>
      <x:c r="F626" s="15" t="str">
        <x:v>Sharma v Meridian Financial Services Ltd</x:v>
      </x:c>
      <x:c r="G626" s="16" t="n">
        <x:v>46248.650601180554</x:v>
      </x:c>
      <x:c r="H626" s="15" t="str">
        <x:v>legislation</x:v>
      </x:c>
      <x:c r="I626" s="15" t="str">
        <x:v>legislation:employment rights act 1996 s 94</x:v>
      </x:c>
      <x:c r="J626" s="15" t="str">
        <x:v>Employment Rights Act 1996, s.94</x:v>
      </x:c>
      <x:c r="K626" s="15" t="str">
        <x:v>Employment Rights Act 1996, s.94</x:v>
      </x:c>
      <x:c r="L626" s="15" t="str"/>
      <x:c r="M626" s="15" t="str"/>
      <x:c r="N626" s="15" t="str">
        <x:v>legalFramework.legalTestSummaries[1].sourceAuthority</x:v>
      </x:c>
      <x:c r="O626" s="15" t="str">
        <x:v>structured_json</x:v>
      </x:c>
      <x:c r="P626" s="15" t="str"/>
      <x:c r="Q626" s="15" t="str"/>
      <x:c r="R626" s="15" t="str"/>
      <x:c r="S626" s="15" t="str"/>
    </x:row>
    <x:row r="627">
      <x:c r="A627" s="1" t="str">
        <x:v>O0626</x:v>
      </x:c>
      <x:c r="B627" s="1" t="str">
        <x:v>cmst419ew000k04ladhs06s0r</x:v>
      </x:c>
      <x:c r="C627" s="1" t="str">
        <x:v>cmst3ysl5000504lad87fig4n</x:v>
      </x:c>
      <x:c r="D627" s="1" t="str">
        <x:v>skeleton-args-ca2015000120-c8bbd9c0f403a8f6</x:v>
      </x:c>
      <x:c r="E627" s="1" t="str">
        <x:v>synthetic</x:v>
      </x:c>
      <x:c r="F627" s="15" t="str">
        <x:v>Sharma v Meridian Financial Services Ltd</x:v>
      </x:c>
      <x:c r="G627" s="16" t="n">
        <x:v>46248.650601180554</x:v>
      </x:c>
      <x:c r="H627" s="15" t="str">
        <x:v>case</x:v>
      </x:c>
      <x:c r="I627" s="15" t="str">
        <x:v>case:2014 ewca civ 1213</x:v>
      </x:c>
      <x:c r="J627" s="15" t="str">
        <x:v>Gaurilcikiene v Tesco Stores Ltd</x:v>
      </x:c>
      <x:c r="K627" s="15" t="str">
        <x:v>[2014] EWCA Civ 1213</x:v>
      </x:c>
      <x:c r="L627" s="15" t="str">
        <x:v>060fb5e3-4e14-487d-89e2-170c04ebf40c</x:v>
      </x:c>
      <x:c r="M627" s="15" t="str"/>
      <x:c r="N627" s="15" t="str">
        <x:v>factualFindings.chronology[1].sourceCases[0]</x:v>
      </x:c>
      <x:c r="O627" s="15" t="str">
        <x:v>structured_json</x:v>
      </x:c>
      <x:c r="P627" s="15" t="str"/>
      <x:c r="Q627" s="15" t="str"/>
      <x:c r="R627" s="15" t="str">
        <x:v>Illustrates the importance of grievance processes in evaluating retaliation claims.</x:v>
      </x:c>
      <x:c r="S627" s="15" t="str"/>
    </x:row>
    <x:row r="628">
      <x:c r="A628" s="1" t="str">
        <x:v>O0627</x:v>
      </x:c>
      <x:c r="B628" s="1" t="str">
        <x:v>cmst419ew000k04ladhs06s0r</x:v>
      </x:c>
      <x:c r="C628" s="1" t="str">
        <x:v>cmst3ysl5000504lad87fig4n</x:v>
      </x:c>
      <x:c r="D628" s="1" t="str">
        <x:v>skeleton-args-ca2015000120-c8bbd9c0f403a8f6</x:v>
      </x:c>
      <x:c r="E628" s="1" t="str">
        <x:v>synthetic</x:v>
      </x:c>
      <x:c r="F628" s="15" t="str">
        <x:v>Sharma v Meridian Financial Services Ltd</x:v>
      </x:c>
      <x:c r="G628" s="16" t="n">
        <x:v>46248.650601180554</x:v>
      </x:c>
      <x:c r="H628" s="15" t="str">
        <x:v>case</x:v>
      </x:c>
      <x:c r="I628" s="15" t="str">
        <x:v>case:2015 ewca civ 897</x:v>
      </x:c>
      <x:c r="J628" s="15" t="str">
        <x:v>Kalu v Brighton and Sussex University Hospitals NHS Trust &amp; Ors</x:v>
      </x:c>
      <x:c r="K628" s="15" t="str">
        <x:v>[2015] EWCA Civ 897</x:v>
      </x:c>
      <x:c r="L628" s="15" t="str">
        <x:v>b5913f39-0611-4550-b7a3-d97e1fc4f9c9</x:v>
      </x:c>
      <x:c r="M628" s="15" t="str"/>
      <x:c r="N628" s="15" t="str">
        <x:v>factualFindings.contestedFacts[1].sourceCases[0]</x:v>
      </x:c>
      <x:c r="O628" s="15" t="str">
        <x:v>structured_json</x:v>
      </x:c>
      <x:c r="P628" s="15" t="str"/>
      <x:c r="Q628" s="15" t="str"/>
      <x:c r="R628" s="15" t="str">
        <x:v>Addresses retaliatory conduct in employment situations, emphasizing the timing of adverse actions post-grievance.</x:v>
      </x:c>
      <x:c r="S628" s="15" t="str"/>
    </x:row>
    <x:row r="629">
      <x:c r="A629" s="1" t="str">
        <x:v>O0628</x:v>
      </x:c>
      <x:c r="B629" s="1" t="str">
        <x:v>cmst419ew000k04ladhs06s0r</x:v>
      </x:c>
      <x:c r="C629" s="1" t="str">
        <x:v>cmst3ysl5000504lad87fig4n</x:v>
      </x:c>
      <x:c r="D629" s="1" t="str">
        <x:v>skeleton-args-ca2015000120-c8bbd9c0f403a8f6</x:v>
      </x:c>
      <x:c r="E629" s="1" t="str">
        <x:v>synthetic</x:v>
      </x:c>
      <x:c r="F629" s="15" t="str">
        <x:v>Sharma v Meridian Financial Services Ltd</x:v>
      </x:c>
      <x:c r="G629" s="16" t="n">
        <x:v>46248.650601180554</x:v>
      </x:c>
      <x:c r="H629" s="15" t="str">
        <x:v>case</x:v>
      </x:c>
      <x:c r="I629" s="15" t="str">
        <x:v>case:2015 ewca civ 897</x:v>
      </x:c>
      <x:c r="J629" s="15" t="str">
        <x:v>Kalu v Brighton and Sussex University Hospitals NHS Trust &amp; Ors</x:v>
      </x:c>
      <x:c r="K629" s="15" t="str">
        <x:v>[2015] EWCA Civ 897</x:v>
      </x:c>
      <x:c r="L629" s="15" t="str">
        <x:v>b5913f39-0611-4550-b7a3-d97e1fc4f9c9</x:v>
      </x:c>
      <x:c r="M629" s="15" t="str"/>
      <x:c r="N629" s="15" t="str">
        <x:v>reasoningStructure[0].sourceCases[0]</x:v>
      </x:c>
      <x:c r="O629" s="15" t="str">
        <x:v>structured_json</x:v>
      </x:c>
      <x:c r="P629" s="15" t="str"/>
      <x:c r="Q629" s="15" t="str"/>
      <x:c r="R629" s="15" t="str">
        <x:v>Emphasizes the importance of examining treatment in the light of racial discrimination.</x:v>
      </x:c>
      <x:c r="S629" s="15" t="str"/>
    </x:row>
    <x:row r="630">
      <x:c r="A630" s="1" t="str">
        <x:v>O0629</x:v>
      </x:c>
      <x:c r="B630" s="1" t="str">
        <x:v>cmst419ew000k04ladhs06s0r</x:v>
      </x:c>
      <x:c r="C630" s="1" t="str">
        <x:v>cmst3ysl5000504lad87fig4n</x:v>
      </x:c>
      <x:c r="D630" s="1" t="str">
        <x:v>skeleton-args-ca2015000120-c8bbd9c0f403a8f6</x:v>
      </x:c>
      <x:c r="E630" s="1" t="str">
        <x:v>synthetic</x:v>
      </x:c>
      <x:c r="F630" s="15" t="str">
        <x:v>Sharma v Meridian Financial Services Ltd</x:v>
      </x:c>
      <x:c r="G630" s="16" t="n">
        <x:v>46248.650601180554</x:v>
      </x:c>
      <x:c r="H630" s="15" t="str">
        <x:v>case</x:v>
      </x:c>
      <x:c r="I630" s="15" t="str">
        <x:v>case:2014 ewca civ 1213</x:v>
      </x:c>
      <x:c r="J630" s="15" t="str">
        <x:v>Gaurilcikiene v Tesco Stores Ltd</x:v>
      </x:c>
      <x:c r="K630" s="15" t="str">
        <x:v>[2014] EWCA Civ 1213</x:v>
      </x:c>
      <x:c r="L630" s="15" t="str">
        <x:v>060fb5e3-4e14-487d-89e2-170c04ebf40c</x:v>
      </x:c>
      <x:c r="M630" s="15" t="str"/>
      <x:c r="N630" s="15" t="str">
        <x:v>reasoningStructure[0].sourceCases[1]</x:v>
      </x:c>
      <x:c r="O630" s="15" t="str">
        <x:v>structured_json</x:v>
      </x:c>
      <x:c r="P630" s="15" t="str"/>
      <x:c r="Q630" s="15" t="str"/>
      <x:c r="R630" s="15" t="str">
        <x:v>Deals with the nuances of workplace microaggressions relevant to establishing discrimination.</x:v>
      </x:c>
      <x:c r="S630" s="15" t="str"/>
    </x:row>
    <x:row r="631">
      <x:c r="A631" s="1" t="str">
        <x:v>O0630</x:v>
      </x:c>
      <x:c r="B631" s="1" t="str">
        <x:v>cmst419ew000k04ladhs06s0r</x:v>
      </x:c>
      <x:c r="C631" s="1" t="str">
        <x:v>cmst3ysl5000504lad87fig4n</x:v>
      </x:c>
      <x:c r="D631" s="1" t="str">
        <x:v>skeleton-args-ca2015000120-c8bbd9c0f403a8f6</x:v>
      </x:c>
      <x:c r="E631" s="1" t="str">
        <x:v>synthetic</x:v>
      </x:c>
      <x:c r="F631" s="15" t="str">
        <x:v>Sharma v Meridian Financial Services Ltd</x:v>
      </x:c>
      <x:c r="G631" s="16" t="n">
        <x:v>46248.650601180554</x:v>
      </x:c>
      <x:c r="H631" s="15" t="str">
        <x:v>case</x:v>
      </x:c>
      <x:c r="I631" s="15" t="str">
        <x:v>case:2014 ewca civ 73</x:v>
      </x:c>
      <x:c r="J631" s="15" t="str">
        <x:v>South Wales Police Authority v Johnson</x:v>
      </x:c>
      <x:c r="K631" s="15" t="str">
        <x:v>[2014] EWCA Civ 73</x:v>
      </x:c>
      <x:c r="L631" s="15" t="str">
        <x:v>7b9b0d5a-dc61-43d4-9626-d82e18f8c8dd</x:v>
      </x:c>
      <x:c r="M631" s="15" t="str"/>
      <x:c r="N631" s="15" t="str">
        <x:v>reasoningStructure[1].sourceCases[0]</x:v>
      </x:c>
      <x:c r="O631" s="15" t="str">
        <x:v>structured_json</x:v>
      </x:c>
      <x:c r="P631" s="15" t="str"/>
      <x:c r="Q631" s="15" t="str"/>
      <x:c r="R631" s="15" t="str">
        <x:v>Reinforces the principle of justifiable dismissals and the need for clear performance documentation.</x:v>
      </x:c>
      <x:c r="S631" s="15" t="str"/>
    </x:row>
    <x:row r="632">
      <x:c r="A632" s="1" t="str">
        <x:v>O0631</x:v>
      </x:c>
      <x:c r="B632" s="1" t="str">
        <x:v>cmst419ew000k04ladhs06s0r</x:v>
      </x:c>
      <x:c r="C632" s="1" t="str">
        <x:v>cmst3ysl5000504lad87fig4n</x:v>
      </x:c>
      <x:c r="D632" s="1" t="str">
        <x:v>skeleton-args-ca2015000120-c8bbd9c0f403a8f6</x:v>
      </x:c>
      <x:c r="E632" s="1" t="str">
        <x:v>synthetic</x:v>
      </x:c>
      <x:c r="F632" s="15" t="str">
        <x:v>Sharma v Meridian Financial Services Ltd</x:v>
      </x:c>
      <x:c r="G632" s="16" t="n">
        <x:v>46248.650601180554</x:v>
      </x:c>
      <x:c r="H632" s="15" t="str">
        <x:v>case</x:v>
      </x:c>
      <x:c r="I632" s="15" t="str">
        <x:v>case:2015 ewca civ 897</x:v>
      </x:c>
      <x:c r="J632" s="15" t="str">
        <x:v>Kalu v Brighton and Sussex University Hospitals NHS Trust &amp; Ors</x:v>
      </x:c>
      <x:c r="K632" s="15" t="str">
        <x:v>[2015] EWCA Civ 897</x:v>
      </x:c>
      <x:c r="L632" s="15" t="str">
        <x:v>b5913f39-0611-4550-b7a3-d97e1fc4f9c9</x:v>
      </x:c>
      <x:c r="M632" s="15" t="str"/>
      <x:c r="N632" s="15" t="str">
        <x:v>issuesForDetermination.issueMatrix[0].sourceCases[0]</x:v>
      </x:c>
      <x:c r="O632" s="15" t="str">
        <x:v>structured_json</x:v>
      </x:c>
      <x:c r="P632" s="15" t="str"/>
      <x:c r="Q632" s="15" t="str"/>
      <x:c r="R632" s="15" t="str">
        <x:v>Similar discrimination context explored with focus on the need for clear evidence in establishing race-related claims.</x:v>
      </x:c>
      <x:c r="S632" s="15" t="str"/>
    </x:row>
    <x:row r="633">
      <x:c r="A633" s="1" t="str">
        <x:v>O0632</x:v>
      </x:c>
      <x:c r="B633" s="1" t="str">
        <x:v>cmst419ew000k04ladhs06s0r</x:v>
      </x:c>
      <x:c r="C633" s="1" t="str">
        <x:v>cmst3ysl5000504lad87fig4n</x:v>
      </x:c>
      <x:c r="D633" s="1" t="str">
        <x:v>skeleton-args-ca2015000120-c8bbd9c0f403a8f6</x:v>
      </x:c>
      <x:c r="E633" s="1" t="str">
        <x:v>synthetic</x:v>
      </x:c>
      <x:c r="F633" s="15" t="str">
        <x:v>Sharma v Meridian Financial Services Ltd</x:v>
      </x:c>
      <x:c r="G633" s="16" t="n">
        <x:v>46248.650601180554</x:v>
      </x:c>
      <x:c r="H633" s="15" t="str">
        <x:v>case</x:v>
      </x:c>
      <x:c r="I633" s="15" t="str">
        <x:v>case:2014 ewca civ 1213</x:v>
      </x:c>
      <x:c r="J633" s="15" t="str">
        <x:v>Gaurilcikiene v Tesco Stores Ltd</x:v>
      </x:c>
      <x:c r="K633" s="15" t="str">
        <x:v>[2014] EWCA Civ 1213</x:v>
      </x:c>
      <x:c r="L633" s="15" t="str">
        <x:v>060fb5e3-4e14-487d-89e2-170c04ebf40c</x:v>
      </x:c>
      <x:c r="M633" s="15" t="str"/>
      <x:c r="N633" s="15" t="str">
        <x:v>issuesForDetermination.issueMatrix[0].sourceCases[1]</x:v>
      </x:c>
      <x:c r="O633" s="15" t="str">
        <x:v>structured_json</x:v>
      </x:c>
      <x:c r="P633" s="15" t="str"/>
      <x:c r="Q633" s="15" t="str"/>
      <x:c r="R633" s="15" t="str">
        <x:v>Examines micro-aggressions in workplace harassment, relevant for establishing the claimant's position.</x:v>
      </x:c>
      <x:c r="S633" s="15" t="str"/>
    </x:row>
    <x:row r="634">
      <x:c r="A634" s="1" t="str">
        <x:v>O0633</x:v>
      </x:c>
      <x:c r="B634" s="1" t="str">
        <x:v>cmst419ew000k04ladhs06s0r</x:v>
      </x:c>
      <x:c r="C634" s="1" t="str">
        <x:v>cmst3ysl5000504lad87fig4n</x:v>
      </x:c>
      <x:c r="D634" s="1" t="str">
        <x:v>skeleton-args-ca2015000120-c8bbd9c0f403a8f6</x:v>
      </x:c>
      <x:c r="E634" s="1" t="str">
        <x:v>synthetic</x:v>
      </x:c>
      <x:c r="F634" s="15" t="str">
        <x:v>Sharma v Meridian Financial Services Ltd</x:v>
      </x:c>
      <x:c r="G634" s="16" t="n">
        <x:v>46248.650601180554</x:v>
      </x:c>
      <x:c r="H634" s="15" t="str">
        <x:v>case</x:v>
      </x:c>
      <x:c r="I634" s="15" t="str">
        <x:v>case:2014 ewca civ 73</x:v>
      </x:c>
      <x:c r="J634" s="15" t="str">
        <x:v>South Wales Police Authority v Johnson</x:v>
      </x:c>
      <x:c r="K634" s="15" t="str">
        <x:v>[2014] EWCA Civ 73</x:v>
      </x:c>
      <x:c r="L634" s="15" t="str">
        <x:v>7b9b0d5a-dc61-43d4-9626-d82e18f8c8dd</x:v>
      </x:c>
      <x:c r="M634" s="15" t="str"/>
      <x:c r="N634" s="15" t="str">
        <x:v>issuesForDetermination.issueMatrix[1].sourceCases[0]</x:v>
      </x:c>
      <x:c r="O634" s="15" t="str">
        <x:v>structured_json</x:v>
      </x:c>
      <x:c r="P634" s="15" t="str"/>
      <x:c r="Q634" s="15" t="str"/>
      <x:c r="R634" s="15" t="str">
        <x:v>Explores justification for employment dismissals and the connection to discrimination claims.</x:v>
      </x:c>
      <x:c r="S634" s="15" t="str"/>
    </x:row>
    <x:row r="635">
      <x:c r="A635" s="1" t="str">
        <x:v>O0634</x:v>
      </x:c>
      <x:c r="B635" s="1" t="str">
        <x:v>cmst45vlc000h04l7f6nlqawg</x:v>
      </x:c>
      <x:c r="C635" s="1" t="str">
        <x:v>cmst42n0r000204l7soxe8xnj</x:v>
      </x:c>
      <x:c r="D635" s="1" t="str">
        <x:v>skeleton-args-ca2015008373-db13b0c8e36da3c2</x:v>
      </x:c>
      <x:c r="E635" s="1" t="str">
        <x:v>synthetic</x:v>
      </x:c>
      <x:c r="F635" s="15" t="str">
        <x:v>Crossfield Trading Ltd v Northern Commercial Bank Plc</x:v>
      </x:c>
      <x:c r="G635" s="16" t="n">
        <x:v>46248.65309386574</x:v>
      </x:c>
      <x:c r="H635" s="15" t="str">
        <x:v>other</x:v>
      </x:c>
      <x:c r="I635" s="15" t="str">
        <x:v>other:2000 1 wlr 377</x:v>
      </x:c>
      <x:c r="J635" s="15" t="str">
        <x:v>[2000] 1 WLR 377</x:v>
      </x:c>
      <x:c r="K635" s="15" t="str">
        <x:v>[2000] 1 WLR 377</x:v>
      </x:c>
      <x:c r="L635" s="15" t="str"/>
      <x:c r="M635" s="15" t="str"/>
      <x:c r="N635" s="15" t="str">
        <x:v>legalFramework.precedentCitations[0]</x:v>
      </x:c>
      <x:c r="O635" s="15" t="str">
        <x:v>structured_json</x:v>
      </x:c>
      <x:c r="P635" s="15" t="str">
        <x:v>binding</x:v>
      </x:c>
      <x:c r="Q635" s="15" t="str"/>
      <x:c r="R635" s="15" t="str">
        <x:v>Duty to provide adequate reasons for decisions in financial services contexts.</x:v>
      </x:c>
      <x:c r="S635" s="15" t="str"/>
    </x:row>
    <x:row r="636">
      <x:c r="A636" s="1" t="str">
        <x:v>O0635</x:v>
      </x:c>
      <x:c r="B636" s="1" t="str">
        <x:v>cmst45vlc000h04l7f6nlqawg</x:v>
      </x:c>
      <x:c r="C636" s="1" t="str">
        <x:v>cmst42n0r000204l7soxe8xnj</x:v>
      </x:c>
      <x:c r="D636" s="1" t="str">
        <x:v>skeleton-args-ca2015008373-db13b0c8e36da3c2</x:v>
      </x:c>
      <x:c r="E636" s="1" t="str">
        <x:v>synthetic</x:v>
      </x:c>
      <x:c r="F636" s="15" t="str">
        <x:v>Crossfield Trading Ltd v Northern Commercial Bank Plc</x:v>
      </x:c>
      <x:c r="G636" s="16" t="n">
        <x:v>46248.65309386574</x:v>
      </x:c>
      <x:c r="H636" s="15" t="str">
        <x:v>legislation</x:v>
      </x:c>
      <x:c r="I636" s="15" t="str">
        <x:v>legislation:financial services and markets act 2000 s 1 5</x:v>
      </x:c>
      <x:c r="J636" s="15" t="str">
        <x:v>Financial Services and Markets Act 2000</x:v>
      </x:c>
      <x:c r="K636" s="15" t="str">
        <x:v>Financial Services and Markets Act 2000 Section 1-5</x:v>
      </x:c>
      <x:c r="L636" s="15" t="str"/>
      <x:c r="M636" s="15" t="str">
        <x:v>Section 1-5</x:v>
      </x:c>
      <x:c r="N636" s="15" t="str">
        <x:v>legalFramework.statutoryProvisions[0]</x:v>
      </x:c>
      <x:c r="O636" s="15" t="str">
        <x:v>structured_json</x:v>
      </x:c>
      <x:c r="P636" s="15" t="str"/>
      <x:c r="Q636" s="15" t="str"/>
      <x:c r="R636" s="15" t="str">
        <x:v>Provides the overarching regulatory framework for financial services including client categorization and suitability assessments.</x:v>
      </x:c>
      <x:c r="S636" s="15" t="str"/>
    </x:row>
    <x:row r="637">
      <x:c r="A637" s="1" t="str">
        <x:v>O0636</x:v>
      </x:c>
      <x:c r="B637" s="1" t="str">
        <x:v>cmst45vlc000h04l7f6nlqawg</x:v>
      </x:c>
      <x:c r="C637" s="1" t="str">
        <x:v>cmst42n0r000204l7soxe8xnj</x:v>
      </x:c>
      <x:c r="D637" s="1" t="str">
        <x:v>skeleton-args-ca2015008373-db13b0c8e36da3c2</x:v>
      </x:c>
      <x:c r="E637" s="1" t="str">
        <x:v>synthetic</x:v>
      </x:c>
      <x:c r="F637" s="15" t="str">
        <x:v>Crossfield Trading Ltd v Northern Commercial Bank Plc</x:v>
      </x:c>
      <x:c r="G637" s="16" t="n">
        <x:v>46248.65309386574</x:v>
      </x:c>
      <x:c r="H637" s="15" t="str">
        <x:v>legislation</x:v>
      </x:c>
      <x:c r="I637" s="15" t="str">
        <x:v>legislation:conduct of business sourcebook cobs various</x:v>
      </x:c>
      <x:c r="J637" s="15" t="str">
        <x:v>Conduct of Business Sourcebook (COBS)</x:v>
      </x:c>
      <x:c r="K637" s="15" t="str">
        <x:v>Conduct of Business Sourcebook (COBS) Various</x:v>
      </x:c>
      <x:c r="L637" s="15" t="str"/>
      <x:c r="M637" s="15" t="str">
        <x:v>Various</x:v>
      </x:c>
      <x:c r="N637" s="15" t="str">
        <x:v>legalFramework.statutoryProvisions[1]</x:v>
      </x:c>
      <x:c r="O637" s="15" t="str">
        <x:v>structured_json</x:v>
      </x:c>
      <x:c r="P637" s="15" t="str"/>
      <x:c r="Q637" s="15" t="str"/>
      <x:c r="R637" s="15" t="str">
        <x:v>Contains detailed regulations regarding the product suitability and the requirements for advisory roles undertaken by financial institutions.</x:v>
      </x:c>
      <x:c r="S637" s="15" t="str"/>
    </x:row>
    <x:row r="638">
      <x:c r="A638" s="1" t="str">
        <x:v>O0637</x:v>
      </x:c>
      <x:c r="B638" s="1" t="str">
        <x:v>cmst45vlc000h04l7f6nlqawg</x:v>
      </x:c>
      <x:c r="C638" s="1" t="str">
        <x:v>cmst42n0r000204l7soxe8xnj</x:v>
      </x:c>
      <x:c r="D638" s="1" t="str">
        <x:v>skeleton-args-ca2015008373-db13b0c8e36da3c2</x:v>
      </x:c>
      <x:c r="E638" s="1" t="str">
        <x:v>synthetic</x:v>
      </x:c>
      <x:c r="F638" s="15" t="str">
        <x:v>Crossfield Trading Ltd v Northern Commercial Bank Plc</x:v>
      </x:c>
      <x:c r="G638" s="16" t="n">
        <x:v>46248.65309386574</x:v>
      </x:c>
      <x:c r="H638" s="15" t="str">
        <x:v>legislation</x:v>
      </x:c>
      <x:c r="I638" s="15" t="str">
        <x:v>legislation:limitation act 1980 s 2</x:v>
      </x:c>
      <x:c r="J638" s="15" t="str">
        <x:v>Limitation Act 1980</x:v>
      </x:c>
      <x:c r="K638" s="15" t="str">
        <x:v>Limitation Act 1980 Section 2</x:v>
      </x:c>
      <x:c r="L638" s="15" t="str"/>
      <x:c r="M638" s="15" t="str">
        <x:v>Section 2</x:v>
      </x:c>
      <x:c r="N638" s="15" t="str">
        <x:v>legalFramework.statutoryProvisions[2]</x:v>
      </x:c>
      <x:c r="O638" s="15" t="str">
        <x:v>structured_json</x:v>
      </x:c>
      <x:c r="P638" s="15" t="str"/>
      <x:c r="Q638" s="15" t="str"/>
      <x:c r="R638" s="15" t="str">
        <x:v>Establishes the framework regarding time limits for bringing claims, particularly in contract and tort.</x:v>
      </x:c>
      <x:c r="S638" s="15" t="str"/>
    </x:row>
    <x:row r="639">
      <x:c r="A639" s="1" t="str">
        <x:v>O0638</x:v>
      </x:c>
      <x:c r="B639" s="1" t="str">
        <x:v>cmst45vlc000h04l7f6nlqawg</x:v>
      </x:c>
      <x:c r="C639" s="1" t="str">
        <x:v>cmst42n0r000204l7soxe8xnj</x:v>
      </x:c>
      <x:c r="D639" s="1" t="str">
        <x:v>skeleton-args-ca2015008373-db13b0c8e36da3c2</x:v>
      </x:c>
      <x:c r="E639" s="1" t="str">
        <x:v>synthetic</x:v>
      </x:c>
      <x:c r="F639" s="15" t="str">
        <x:v>Crossfield Trading Ltd v Northern Commercial Bank Plc</x:v>
      </x:c>
      <x:c r="G639" s="16" t="n">
        <x:v>46248.65309386574</x:v>
      </x:c>
      <x:c r="H639" s="15" t="str">
        <x:v>legislation</x:v>
      </x:c>
      <x:c r="I639" s="15" t="str">
        <x:v>legislation:senior courts act 1981 s 35a</x:v>
      </x:c>
      <x:c r="J639" s="15" t="str">
        <x:v>Senior Courts Act 1981, s.35A</x:v>
      </x:c>
      <x:c r="K639" s="15" t="str">
        <x:v>Senior Courts Act 1981, s.35A</x:v>
      </x:c>
      <x:c r="L639" s="15" t="str"/>
      <x:c r="M639" s="15" t="str"/>
      <x:c r="N639" s="15" t="str">
        <x:v>decisionAndDisposition.interest.statutoryBasis</x:v>
      </x:c>
      <x:c r="O639" s="15" t="str">
        <x:v>structured_json</x:v>
      </x:c>
      <x:c r="P639" s="15" t="str"/>
      <x:c r="Q639" s="15" t="str"/>
      <x:c r="R639" s="15" t="str"/>
      <x:c r="S639" s="15" t="str"/>
    </x:row>
    <x:row r="640">
      <x:c r="A640" s="1" t="str">
        <x:v>O0639</x:v>
      </x:c>
      <x:c r="B640" s="1" t="str">
        <x:v>cmst45vlc000h04l7f6nlqawg</x:v>
      </x:c>
      <x:c r="C640" s="1" t="str">
        <x:v>cmst42n0r000204l7soxe8xnj</x:v>
      </x:c>
      <x:c r="D640" s="1" t="str">
        <x:v>skeleton-args-ca2015008373-db13b0c8e36da3c2</x:v>
      </x:c>
      <x:c r="E640" s="1" t="str">
        <x:v>synthetic</x:v>
      </x:c>
      <x:c r="F640" s="15" t="str">
        <x:v>Crossfield Trading Ltd v Northern Commercial Bank Plc</x:v>
      </x:c>
      <x:c r="G640" s="16" t="n">
        <x:v>46248.65309386574</x:v>
      </x:c>
      <x:c r="H640" s="15" t="str">
        <x:v>legislation</x:v>
      </x:c>
      <x:c r="I640" s="15" t="str">
        <x:v>legislation:cobs regulations</x:v>
      </x:c>
      <x:c r="J640" s="15" t="str">
        <x:v>COBS regulations</x:v>
      </x:c>
      <x:c r="K640" s="15" t="str">
        <x:v>COBS regulations</x:v>
      </x:c>
      <x:c r="L640" s="15" t="str"/>
      <x:c r="M640" s="15" t="str"/>
      <x:c r="N640" s="15" t="str">
        <x:v>legalFramework.legalTestSummaries[0].sourceAuthority</x:v>
      </x:c>
      <x:c r="O640" s="15" t="str">
        <x:v>structured_json</x:v>
      </x:c>
      <x:c r="P640" s="15" t="str"/>
      <x:c r="Q640" s="15" t="str"/>
      <x:c r="R640" s="15" t="str"/>
      <x:c r="S640" s="15" t="str"/>
    </x:row>
    <x:row r="641">
      <x:c r="A641" s="1" t="str">
        <x:v>O0640</x:v>
      </x:c>
      <x:c r="B641" s="1" t="str">
        <x:v>cmst45vlc000h04l7f6nlqawg</x:v>
      </x:c>
      <x:c r="C641" s="1" t="str">
        <x:v>cmst42n0r000204l7soxe8xnj</x:v>
      </x:c>
      <x:c r="D641" s="1" t="str">
        <x:v>skeleton-args-ca2015008373-db13b0c8e36da3c2</x:v>
      </x:c>
      <x:c r="E641" s="1" t="str">
        <x:v>synthetic</x:v>
      </x:c>
      <x:c r="F641" s="15" t="str">
        <x:v>Crossfield Trading Ltd v Northern Commercial Bank Plc</x:v>
      </x:c>
      <x:c r="G641" s="16" t="n">
        <x:v>46248.65309386574</x:v>
      </x:c>
      <x:c r="H641" s="15" t="str">
        <x:v>case</x:v>
      </x:c>
      <x:c r="I641" s="15" t="str">
        <x:v>case:crestsign ltd v national westminster bank plc &amp; anor</x:v>
      </x:c>
      <x:c r="J641" s="15" t="str">
        <x:v>Crestsign Ltd v National Westminster Bank Plc &amp; Anor</x:v>
      </x:c>
      <x:c r="K641" s="15" t="str">
        <x:v>Crestsign Ltd v National Westminster Bank Plc &amp; Anor</x:v>
      </x:c>
      <x:c r="L641" s="15" t="str"/>
      <x:c r="M641" s="15" t="str"/>
      <x:c r="N641" s="15" t="str">
        <x:v>legalFramework.legalTestSummaries[1].sourceAuthority</x:v>
      </x:c>
      <x:c r="O641" s="15" t="str">
        <x:v>structured_json</x:v>
      </x:c>
      <x:c r="P641" s="15" t="str"/>
      <x:c r="Q641" s="15" t="str"/>
      <x:c r="R641" s="15" t="str"/>
      <x:c r="S641" s="15" t="str"/>
    </x:row>
    <x:row r="642">
      <x:c r="A642" s="1" t="str">
        <x:v>O0641</x:v>
      </x:c>
      <x:c r="B642" s="1" t="str">
        <x:v>cmst45vlc000h04l7f6nlqawg</x:v>
      </x:c>
      <x:c r="C642" s="1" t="str">
        <x:v>cmst42n0r000204l7soxe8xnj</x:v>
      </x:c>
      <x:c r="D642" s="1" t="str">
        <x:v>skeleton-args-ca2015008373-db13b0c8e36da3c2</x:v>
      </x:c>
      <x:c r="E642" s="1" t="str">
        <x:v>synthetic</x:v>
      </x:c>
      <x:c r="F642" s="15" t="str">
        <x:v>Crossfield Trading Ltd v Northern Commercial Bank Plc</x:v>
      </x:c>
      <x:c r="G642" s="16" t="n">
        <x:v>46248.65309386574</x:v>
      </x:c>
      <x:c r="H642" s="15" t="str">
        <x:v>case</x:v>
      </x:c>
      <x:c r="I642" s="15" t="str">
        <x:v>case:2015 ewca civ 986</x:v>
      </x:c>
      <x:c r="J642" s="15" t="str">
        <x:v>Crestsign Ltd v National Westminster Bank Plc &amp; Anor</x:v>
      </x:c>
      <x:c r="K642" s="15" t="str">
        <x:v>[2015] EWCA Civ 986</x:v>
      </x:c>
      <x:c r="L642" s="15" t="str">
        <x:v>a1fcbe31-60cf-480d-aa88-19492f68df24</x:v>
      </x:c>
      <x:c r="M642" s="15" t="str"/>
      <x:c r="N642" s="15" t="str">
        <x:v>factualFindings.contestedFacts[0].sourceCases[0]</x:v>
      </x:c>
      <x:c r="O642" s="15" t="str">
        <x:v>structured_json</x:v>
      </x:c>
      <x:c r="P642" s="15" t="str"/>
      <x:c r="Q642" s="15" t="str"/>
      <x:c r="R642" s="15" t="str">
        <x:v>Similar misclassification issue related to client sophistication and financial product suitability.</x:v>
      </x:c>
      <x:c r="S642" s="15" t="str"/>
    </x:row>
    <x:row r="643">
      <x:c r="A643" s="1" t="str">
        <x:v>O0642</x:v>
      </x:c>
      <x:c r="B643" s="1" t="str">
        <x:v>cmst45vlc000h04l7f6nlqawg</x:v>
      </x:c>
      <x:c r="C643" s="1" t="str">
        <x:v>cmst42n0r000204l7soxe8xnj</x:v>
      </x:c>
      <x:c r="D643" s="1" t="str">
        <x:v>skeleton-args-ca2015008373-db13b0c8e36da3c2</x:v>
      </x:c>
      <x:c r="E643" s="1" t="str">
        <x:v>synthetic</x:v>
      </x:c>
      <x:c r="F643" s="15" t="str">
        <x:v>Crossfield Trading Ltd v Northern Commercial Bank Plc</x:v>
      </x:c>
      <x:c r="G643" s="16" t="n">
        <x:v>46248.65309386574</x:v>
      </x:c>
      <x:c r="H643" s="15" t="str">
        <x:v>case</x:v>
      </x:c>
      <x:c r="I643" s="15" t="str">
        <x:v>case:2015 ewca civ 986</x:v>
      </x:c>
      <x:c r="J643" s="15" t="str">
        <x:v>Crestsign Ltd v National Westminster Bank Plc &amp; Anor</x:v>
      </x:c>
      <x:c r="K643" s="15" t="str">
        <x:v>[2015] EWCA Civ 986</x:v>
      </x:c>
      <x:c r="L643" s="15" t="str">
        <x:v>a1fcbe31-60cf-480d-aa88-19492f68df24</x:v>
      </x:c>
      <x:c r="M643" s="15" t="str"/>
      <x:c r="N643" s="15" t="str">
        <x:v>reasoningStructure[0].sourceCases[0]</x:v>
      </x:c>
      <x:c r="O643" s="15" t="str">
        <x:v>structured_json</x:v>
      </x:c>
      <x:c r="P643" s="15" t="str"/>
      <x:c r="Q643" s="15" t="str"/>
      <x:c r="R643" s="15" t="str">
        <x:v>Clarifies standards for client classification in financial proceedings.</x:v>
      </x:c>
      <x:c r="S643" s="15" t="str"/>
    </x:row>
    <x:row r="644">
      <x:c r="A644" s="1" t="str">
        <x:v>O0643</x:v>
      </x:c>
      <x:c r="B644" s="1" t="str">
        <x:v>cmst45vlc000h04l7f6nlqawg</x:v>
      </x:c>
      <x:c r="C644" s="1" t="str">
        <x:v>cmst42n0r000204l7soxe8xnj</x:v>
      </x:c>
      <x:c r="D644" s="1" t="str">
        <x:v>skeleton-args-ca2015008373-db13b0c8e36da3c2</x:v>
      </x:c>
      <x:c r="E644" s="1" t="str">
        <x:v>synthetic</x:v>
      </x:c>
      <x:c r="F644" s="15" t="str">
        <x:v>Crossfield Trading Ltd v Northern Commercial Bank Plc</x:v>
      </x:c>
      <x:c r="G644" s="16" t="n">
        <x:v>46248.65309386574</x:v>
      </x:c>
      <x:c r="H644" s="15" t="str">
        <x:v>case</x:v>
      </x:c>
      <x:c r="I644" s="15" t="str">
        <x:v>case:2016 ewca civ 119</x:v>
      </x:c>
      <x:c r="J644" s="15" t="str">
        <x:v>Deutsche Bank AG v Unitech Global Limited &amp; Ors</x:v>
      </x:c>
      <x:c r="K644" s="15" t="str">
        <x:v>[2016] EWCA Civ 119</x:v>
      </x:c>
      <x:c r="L644" s="15" t="str">
        <x:v>5efa7b7e-80f2-4a0e-ad80-5ab0db7a9c17</x:v>
      </x:c>
      <x:c r="M644" s="15" t="str"/>
      <x:c r="N644" s="15" t="str">
        <x:v>reasoningStructure[1].sourceCases[0]</x:v>
      </x:c>
      <x:c r="O644" s="15" t="str">
        <x:v>structured_json</x:v>
      </x:c>
      <x:c r="P644" s="15" t="str"/>
      <x:c r="Q644" s="15" t="str"/>
      <x:c r="R644" s="15" t="str">
        <x:v>Addresses conditions surrounding adequate promptness in disclosure of product risks.</x:v>
      </x:c>
      <x:c r="S644" s="15" t="str"/>
    </x:row>
    <x:row r="645">
      <x:c r="A645" s="1" t="str">
        <x:v>O0644</x:v>
      </x:c>
      <x:c r="B645" s="1" t="str">
        <x:v>cmst45vlc000h04l7f6nlqawg</x:v>
      </x:c>
      <x:c r="C645" s="1" t="str">
        <x:v>cmst42n0r000204l7soxe8xnj</x:v>
      </x:c>
      <x:c r="D645" s="1" t="str">
        <x:v>skeleton-args-ca2015008373-db13b0c8e36da3c2</x:v>
      </x:c>
      <x:c r="E645" s="1" t="str">
        <x:v>synthetic</x:v>
      </x:c>
      <x:c r="F645" s="15" t="str">
        <x:v>Crossfield Trading Ltd v Northern Commercial Bank Plc</x:v>
      </x:c>
      <x:c r="G645" s="16" t="n">
        <x:v>46248.65309386574</x:v>
      </x:c>
      <x:c r="H645" s="15" t="str">
        <x:v>case</x:v>
      </x:c>
      <x:c r="I645" s="15" t="str">
        <x:v>case:2016 ewca civ 119</x:v>
      </x:c>
      <x:c r="J645" s="15" t="str">
        <x:v>Deutsche Bank AG v Unitech Global Limited &amp; Ors</x:v>
      </x:c>
      <x:c r="K645" s="15" t="str">
        <x:v>[2016] EWCA Civ 119</x:v>
      </x:c>
      <x:c r="L645" s="15" t="str">
        <x:v>5efa7b7e-80f2-4a0e-ad80-5ab0db7a9c17</x:v>
      </x:c>
      <x:c r="M645" s="15" t="str"/>
      <x:c r="N645" s="15" t="str">
        <x:v>reasoningStructure[2].sourceCases[0]</x:v>
      </x:c>
      <x:c r="O645" s="15" t="str">
        <x:v>structured_json</x:v>
      </x:c>
      <x:c r="P645" s="15" t="str"/>
      <x:c r="Q645" s="15" t="str"/>
      <x:c r="R645" s="15" t="str">
        <x:v>Discusses the basis for calculating financial recovery under similar circumstances.</x:v>
      </x:c>
      <x:c r="S645" s="15" t="str"/>
    </x:row>
    <x:row r="646">
      <x:c r="A646" s="1" t="str">
        <x:v>O0645</x:v>
      </x:c>
      <x:c r="B646" s="1" t="str">
        <x:v>cmst45vlc000h04l7f6nlqawg</x:v>
      </x:c>
      <x:c r="C646" s="1" t="str">
        <x:v>cmst42n0r000204l7soxe8xnj</x:v>
      </x:c>
      <x:c r="D646" s="1" t="str">
        <x:v>skeleton-args-ca2015008373-db13b0c8e36da3c2</x:v>
      </x:c>
      <x:c r="E646" s="1" t="str">
        <x:v>synthetic</x:v>
      </x:c>
      <x:c r="F646" s="15" t="str">
        <x:v>Crossfield Trading Ltd v Northern Commercial Bank Plc</x:v>
      </x:c>
      <x:c r="G646" s="16" t="n">
        <x:v>46248.65309386574</x:v>
      </x:c>
      <x:c r="H646" s="15" t="str">
        <x:v>case</x:v>
      </x:c>
      <x:c r="I646" s="15" t="str">
        <x:v>case:2016 ewca civ 119</x:v>
      </x:c>
      <x:c r="J646" s="15" t="str">
        <x:v>Deutsche Bank AG v Unitech Global Limited &amp; Ors</x:v>
      </x:c>
      <x:c r="K646" s="15" t="str">
        <x:v>[2016] EWCA Civ 119</x:v>
      </x:c>
      <x:c r="L646" s="15" t="str">
        <x:v>5efa7b7e-80f2-4a0e-ad80-5ab0db7a9c17</x:v>
      </x:c>
      <x:c r="M646" s="15" t="str"/>
      <x:c r="N646" s="15" t="str">
        <x:v>reasoningStructure[3].sourceCases[0]</x:v>
      </x:c>
      <x:c r="O646" s="15" t="str">
        <x:v>structured_json</x:v>
      </x:c>
      <x:c r="P646" s="15" t="str"/>
      <x:c r="Q646" s="15" t="str"/>
      <x:c r="R646" s="15" t="str">
        <x:v>Addresses time limitations pertinent to financial claims.</x:v>
      </x:c>
      <x:c r="S646" s="15" t="str"/>
    </x:row>
    <x:row r="647">
      <x:c r="A647" s="1" t="str">
        <x:v>O0646</x:v>
      </x:c>
      <x:c r="B647" s="1" t="str">
        <x:v>cmst45vlc000h04l7f6nlqawg</x:v>
      </x:c>
      <x:c r="C647" s="1" t="str">
        <x:v>cmst42n0r000204l7soxe8xnj</x:v>
      </x:c>
      <x:c r="D647" s="1" t="str">
        <x:v>skeleton-args-ca2015008373-db13b0c8e36da3c2</x:v>
      </x:c>
      <x:c r="E647" s="1" t="str">
        <x:v>synthetic</x:v>
      </x:c>
      <x:c r="F647" s="15" t="str">
        <x:v>Crossfield Trading Ltd v Northern Commercial Bank Plc</x:v>
      </x:c>
      <x:c r="G647" s="16" t="n">
        <x:v>46248.65309386574</x:v>
      </x:c>
      <x:c r="H647" s="15" t="str">
        <x:v>case</x:v>
      </x:c>
      <x:c r="I647" s="15" t="str">
        <x:v>case:2015 ewca civ 986</x:v>
      </x:c>
      <x:c r="J647" s="15" t="str">
        <x:v>Crestsign Ltd v National Westminster Bank Plc &amp; Anor</x:v>
      </x:c>
      <x:c r="K647" s="15" t="str">
        <x:v>[2015] EWCA Civ 986</x:v>
      </x:c>
      <x:c r="L647" s="15" t="str">
        <x:v>a1fcbe31-60cf-480d-aa88-19492f68df24</x:v>
      </x:c>
      <x:c r="M647" s="15" t="str"/>
      <x:c r="N647" s="15" t="str">
        <x:v>issuesForDetermination.issueMatrix[0].sourceCases[0]</x:v>
      </x:c>
      <x:c r="O647" s="15" t="str">
        <x:v>structured_json</x:v>
      </x:c>
      <x:c r="P647" s="15" t="str"/>
      <x:c r="Q647" s="15" t="str"/>
      <x:c r="R647" s="15" t="str">
        <x:v>Similar ruling regarding the classification and suitability of provided financial products.</x:v>
      </x:c>
      <x:c r="S647" s="15" t="str"/>
    </x:row>
    <x:row r="648">
      <x:c r="A648" s="1" t="str">
        <x:v>O0647</x:v>
      </x:c>
      <x:c r="B648" s="1" t="str">
        <x:v>cmst45vlc000h04l7f6nlqawg</x:v>
      </x:c>
      <x:c r="C648" s="1" t="str">
        <x:v>cmst42n0r000204l7soxe8xnj</x:v>
      </x:c>
      <x:c r="D648" s="1" t="str">
        <x:v>skeleton-args-ca2015008373-db13b0c8e36da3c2</x:v>
      </x:c>
      <x:c r="E648" s="1" t="str">
        <x:v>synthetic</x:v>
      </x:c>
      <x:c r="F648" s="15" t="str">
        <x:v>Crossfield Trading Ltd v Northern Commercial Bank Plc</x:v>
      </x:c>
      <x:c r="G648" s="16" t="n">
        <x:v>46248.65309386574</x:v>
      </x:c>
      <x:c r="H648" s="15" t="str">
        <x:v>case</x:v>
      </x:c>
      <x:c r="I648" s="15" t="str">
        <x:v>case:2016 ewca civ 119</x:v>
      </x:c>
      <x:c r="J648" s="15" t="str">
        <x:v>Deutsche Bank AG v Unitech Global Limited &amp; Ors</x:v>
      </x:c>
      <x:c r="K648" s="15" t="str">
        <x:v>[2016] EWCA Civ 119</x:v>
      </x:c>
      <x:c r="L648" s="15" t="str">
        <x:v>5efa7b7e-80f2-4a0e-ad80-5ab0db7a9c17</x:v>
      </x:c>
      <x:c r="M648" s="15" t="str"/>
      <x:c r="N648" s="15" t="str">
        <x:v>issuesForDetermination.issueMatrix[1].sourceCases[0]</x:v>
      </x:c>
      <x:c r="O648" s="15" t="str">
        <x:v>structured_json</x:v>
      </x:c>
      <x:c r="P648" s="15" t="str"/>
      <x:c r="Q648" s="15" t="str"/>
      <x:c r="R648" s="15" t="str">
        <x:v>Relevant to disclosure obligations and what constitutes adequate information provision.</x:v>
      </x:c>
      <x:c r="S648" s="15" t="str"/>
    </x:row>
    <x:row r="649">
      <x:c r="A649" s="1" t="str">
        <x:v>O0648</x:v>
      </x:c>
      <x:c r="B649" s="1" t="str">
        <x:v>cmst45vlc000h04l7f6nlqawg</x:v>
      </x:c>
      <x:c r="C649" s="1" t="str">
        <x:v>cmst42n0r000204l7soxe8xnj</x:v>
      </x:c>
      <x:c r="D649" s="1" t="str">
        <x:v>skeleton-args-ca2015008373-db13b0c8e36da3c2</x:v>
      </x:c>
      <x:c r="E649" s="1" t="str">
        <x:v>synthetic</x:v>
      </x:c>
      <x:c r="F649" s="15" t="str">
        <x:v>Crossfield Trading Ltd v Northern Commercial Bank Plc</x:v>
      </x:c>
      <x:c r="G649" s="16" t="n">
        <x:v>46248.65309386574</x:v>
      </x:c>
      <x:c r="H649" s="15" t="str">
        <x:v>case</x:v>
      </x:c>
      <x:c r="I649" s="15" t="str">
        <x:v>case:2016 ewca civ 119</x:v>
      </x:c>
      <x:c r="J649" s="15" t="str">
        <x:v>Deutsche Bank AG v Unitech Global Limited &amp; Ors</x:v>
      </x:c>
      <x:c r="K649" s="15" t="str">
        <x:v>[2016] EWCA Civ 119</x:v>
      </x:c>
      <x:c r="L649" s="15" t="str">
        <x:v>5efa7b7e-80f2-4a0e-ad80-5ab0db7a9c17</x:v>
      </x:c>
      <x:c r="M649" s="15" t="str"/>
      <x:c r="N649" s="15" t="str">
        <x:v>issuesForDetermination.issueMatrix[2].sourceCases[0]</x:v>
      </x:c>
      <x:c r="O649" s="15" t="str">
        <x:v>structured_json</x:v>
      </x:c>
      <x:c r="P649" s="15" t="str"/>
      <x:c r="Q649" s="15" t="str"/>
      <x:c r="R649" s="15" t="str">
        <x:v>Informed understanding of damages recovery principles in financial contexts.</x:v>
      </x:c>
      <x:c r="S649" s="15" t="str"/>
    </x:row>
    <x:row r="650">
      <x:c r="A650" s="1" t="str">
        <x:v>O0649</x:v>
      </x:c>
      <x:c r="B650" s="1" t="str">
        <x:v>cmst45vlc000h04l7f6nlqawg</x:v>
      </x:c>
      <x:c r="C650" s="1" t="str">
        <x:v>cmst42n0r000204l7soxe8xnj</x:v>
      </x:c>
      <x:c r="D650" s="1" t="str">
        <x:v>skeleton-args-ca2015008373-db13b0c8e36da3c2</x:v>
      </x:c>
      <x:c r="E650" s="1" t="str">
        <x:v>synthetic</x:v>
      </x:c>
      <x:c r="F650" s="15" t="str">
        <x:v>Crossfield Trading Ltd v Northern Commercial Bank Plc</x:v>
      </x:c>
      <x:c r="G650" s="16" t="n">
        <x:v>46248.65309386574</x:v>
      </x:c>
      <x:c r="H650" s="15" t="str">
        <x:v>case</x:v>
      </x:c>
      <x:c r="I650" s="15" t="str">
        <x:v>case:2016 ewca civ 119</x:v>
      </x:c>
      <x:c r="J650" s="15" t="str">
        <x:v>Deutsche Bank AG v Unitech Global Limited &amp; Ors</x:v>
      </x:c>
      <x:c r="K650" s="15" t="str">
        <x:v>[2016] EWCA Civ 119</x:v>
      </x:c>
      <x:c r="L650" s="15" t="str">
        <x:v>5efa7b7e-80f2-4a0e-ad80-5ab0db7a9c17</x:v>
      </x:c>
      <x:c r="M650" s="15" t="str"/>
      <x:c r="N650" s="15" t="str">
        <x:v>issuesForDetermination.issueMatrix[3].sourceCases[0]</x:v>
      </x:c>
      <x:c r="O650" s="15" t="str">
        <x:v>structured_json</x:v>
      </x:c>
      <x:c r="P650" s="15" t="str"/>
      <x:c r="Q650" s="15" t="str"/>
      <x:c r="R650" s="15" t="str">
        <x:v>Similar analysis regarding the timing and conditions of claims being actionable.</x:v>
      </x:c>
      <x:c r="S650" s="15" t="str"/>
    </x:row>
    <x:row r="651">
      <x:c r="A651" s="1" t="str">
        <x:v>O0650</x:v>
      </x:c>
      <x:c r="B651" s="1" t="str">
        <x:v>cmst49zw4001104l7neqlaa0v</x:v>
      </x:c>
      <x:c r="C651" s="1" t="str">
        <x:v>cmst475c6000m04l77l2dz6nu</x:v>
      </x:c>
      <x:c r="D651" s="1" t="str">
        <x:v>skeleton-args-ca2024009268-0b828a88e0027426</x:v>
      </x:c>
      <x:c r="E651" s="1" t="str">
        <x:v>synthetic</x:v>
      </x:c>
      <x:c r="F651" s="15" t="str">
        <x:v>Webb v Ashworth &amp; Partners</x:v>
      </x:c>
      <x:c r="G651" s="16" t="n">
        <x:v>46248.65531836806</x:v>
      </x:c>
      <x:c r="H651" s="15" t="str">
        <x:v>case</x:v>
      </x:c>
      <x:c r="I651" s="15" t="str">
        <x:v>case:2002 ewca civ 605</x:v>
      </x:c>
      <x:c r="J651" s="15" t="str">
        <x:v>[2002] EWCA Civ 605</x:v>
      </x:c>
      <x:c r="K651" s="15" t="str">
        <x:v>[2002] EWCA Civ 605</x:v>
      </x:c>
      <x:c r="L651" s="15" t="str"/>
      <x:c r="M651" s="15" t="str"/>
      <x:c r="N651" s="15" t="str">
        <x:v>legalFramework.precedentCitations[0]</x:v>
      </x:c>
      <x:c r="O651" s="15" t="str">
        <x:v>structured_json</x:v>
      </x:c>
      <x:c r="P651" s="15" t="str">
        <x:v>binding</x:v>
      </x:c>
      <x:c r="Q651" s="15" t="str"/>
      <x:c r="R651" s="15" t="str">
        <x:v>Adequacy of reasons in judgments.</x:v>
      </x:c>
      <x:c r="S651" s="15" t="str"/>
    </x:row>
    <x:row r="652">
      <x:c r="A652" s="1" t="str">
        <x:v>O0651</x:v>
      </x:c>
      <x:c r="B652" s="1" t="str">
        <x:v>cmst49zw4001104l7neqlaa0v</x:v>
      </x:c>
      <x:c r="C652" s="1" t="str">
        <x:v>cmst475c6000m04l77l2dz6nu</x:v>
      </x:c>
      <x:c r="D652" s="1" t="str">
        <x:v>skeleton-args-ca2024009268-0b828a88e0027426</x:v>
      </x:c>
      <x:c r="E652" s="1" t="str">
        <x:v>synthetic</x:v>
      </x:c>
      <x:c r="F652" s="15" t="str">
        <x:v>Webb v Ashworth &amp; Partners</x:v>
      </x:c>
      <x:c r="G652" s="16" t="n">
        <x:v>46248.65531836806</x:v>
      </x:c>
      <x:c r="H652" s="15" t="str">
        <x:v>other</x:v>
      </x:c>
      <x:c r="I652" s="15" t="str">
        <x:v>other:2000 1 wlr 377</x:v>
      </x:c>
      <x:c r="J652" s="15" t="str">
        <x:v>[2000] 1 WLR 377</x:v>
      </x:c>
      <x:c r="K652" s="15" t="str">
        <x:v>[2000] 1 WLR 377</x:v>
      </x:c>
      <x:c r="L652" s="15" t="str"/>
      <x:c r="M652" s="15" t="str"/>
      <x:c r="N652" s="15" t="str">
        <x:v>legalFramework.precedentCitations[1]</x:v>
      </x:c>
      <x:c r="O652" s="15" t="str">
        <x:v>structured_json</x:v>
      </x:c>
      <x:c r="P652" s="15" t="str">
        <x:v>binding</x:v>
      </x:c>
      <x:c r="Q652" s="15" t="str"/>
      <x:c r="R652" s="15" t="str">
        <x:v>Duty to give reasons.</x:v>
      </x:c>
      <x:c r="S652" s="15" t="str"/>
    </x:row>
    <x:row r="653">
      <x:c r="A653" s="1" t="str">
        <x:v>O0652</x:v>
      </x:c>
      <x:c r="B653" s="1" t="str">
        <x:v>cmst49zw4001104l7neqlaa0v</x:v>
      </x:c>
      <x:c r="C653" s="1" t="str">
        <x:v>cmst475c6000m04l77l2dz6nu</x:v>
      </x:c>
      <x:c r="D653" s="1" t="str">
        <x:v>skeleton-args-ca2024009268-0b828a88e0027426</x:v>
      </x:c>
      <x:c r="E653" s="1" t="str">
        <x:v>synthetic</x:v>
      </x:c>
      <x:c r="F653" s="15" t="str">
        <x:v>Webb v Ashworth &amp; Partners</x:v>
      </x:c>
      <x:c r="G653" s="16" t="n">
        <x:v>46248.65531836806</x:v>
      </x:c>
      <x:c r="H653" s="15" t="str">
        <x:v>legislation</x:v>
      </x:c>
      <x:c r="I653" s="15" t="str">
        <x:v>legislation:solicitors act 1974 s 1</x:v>
      </x:c>
      <x:c r="J653" s="15" t="str">
        <x:v>Solicitors Act 1974</x:v>
      </x:c>
      <x:c r="K653" s="15" t="str">
        <x:v>Solicitors Act 1974 section 1</x:v>
      </x:c>
      <x:c r="L653" s="15" t="str"/>
      <x:c r="M653" s="15" t="str">
        <x:v>section 1</x:v>
      </x:c>
      <x:c r="N653" s="15" t="str">
        <x:v>legalFramework.statutoryProvisions[0]</x:v>
      </x:c>
      <x:c r="O653" s="15" t="str">
        <x:v>structured_json</x:v>
      </x:c>
      <x:c r="P653" s="15" t="str"/>
      <x:c r="Q653" s="15" t="str"/>
      <x:c r="R653" s="15" t="str">
        <x:v>Establishes the professional duties and obligations of solicitors towards their clients in the context of providing legal services.</x:v>
      </x:c>
      <x:c r="S653" s="15" t="str"/>
    </x:row>
    <x:row r="654">
      <x:c r="A654" s="1" t="str">
        <x:v>O0653</x:v>
      </x:c>
      <x:c r="B654" s="1" t="str">
        <x:v>cmst49zw4001104l7neqlaa0v</x:v>
      </x:c>
      <x:c r="C654" s="1" t="str">
        <x:v>cmst475c6000m04l77l2dz6nu</x:v>
      </x:c>
      <x:c r="D654" s="1" t="str">
        <x:v>skeleton-args-ca2024009268-0b828a88e0027426</x:v>
      </x:c>
      <x:c r="E654" s="1" t="str">
        <x:v>synthetic</x:v>
      </x:c>
      <x:c r="F654" s="15" t="str">
        <x:v>Webb v Ashworth &amp; Partners</x:v>
      </x:c>
      <x:c r="G654" s="16" t="n">
        <x:v>46248.65531836806</x:v>
      </x:c>
      <x:c r="H654" s="15" t="str">
        <x:v>legislation</x:v>
      </x:c>
      <x:c r="I654" s="15" t="str">
        <x:v>legislation:senior courts act 1981 s 35a</x:v>
      </x:c>
      <x:c r="J654" s="15" t="str">
        <x:v>Senior Courts Act 1981</x:v>
      </x:c>
      <x:c r="K654" s="15" t="str">
        <x:v>Senior Courts Act 1981 section 35A</x:v>
      </x:c>
      <x:c r="L654" s="15" t="str"/>
      <x:c r="M654" s="15" t="str">
        <x:v>section 35A</x:v>
      </x:c>
      <x:c r="N654" s="15" t="str">
        <x:v>legalFramework.statutoryProvisions[1]</x:v>
      </x:c>
      <x:c r="O654" s="15" t="str">
        <x:v>structured_json</x:v>
      </x:c>
      <x:c r="P654" s="15" t="str"/>
      <x:c r="Q654" s="15" t="str"/>
      <x:c r="R654" s="15" t="str">
        <x:v>Provides framework for interest on debts and damages, establishing the right to claim interest in tort and negligence cases.</x:v>
      </x:c>
      <x:c r="S654" s="15" t="str"/>
    </x:row>
    <x:row r="655">
      <x:c r="A655" s="1" t="str">
        <x:v>O0654</x:v>
      </x:c>
      <x:c r="B655" s="1" t="str">
        <x:v>cmst49zw4001104l7neqlaa0v</x:v>
      </x:c>
      <x:c r="C655" s="1" t="str">
        <x:v>cmst475c6000m04l77l2dz6nu</x:v>
      </x:c>
      <x:c r="D655" s="1" t="str">
        <x:v>skeleton-args-ca2024009268-0b828a88e0027426</x:v>
      </x:c>
      <x:c r="E655" s="1" t="str">
        <x:v>synthetic</x:v>
      </x:c>
      <x:c r="F655" s="15" t="str">
        <x:v>Webb v Ashworth &amp; Partners</x:v>
      </x:c>
      <x:c r="G655" s="16" t="n">
        <x:v>46248.65531836806</x:v>
      </x:c>
      <x:c r="H655" s="15" t="str">
        <x:v>legislation</x:v>
      </x:c>
      <x:c r="I655" s="15" t="str">
        <x:v>legislation:civil procedure rules part 52</x:v>
      </x:c>
      <x:c r="J655" s="15" t="str">
        <x:v>Civil Procedure Rules</x:v>
      </x:c>
      <x:c r="K655" s="15" t="str">
        <x:v>Civil Procedure Rules Part 52</x:v>
      </x:c>
      <x:c r="L655" s="15" t="str"/>
      <x:c r="M655" s="15" t="str">
        <x:v>Part 52</x:v>
      </x:c>
      <x:c r="N655" s="15" t="str">
        <x:v>legalFramework.statutoryProvisions[2]</x:v>
      </x:c>
      <x:c r="O655" s="15" t="str">
        <x:v>structured_json</x:v>
      </x:c>
      <x:c r="P655" s="15" t="str"/>
      <x:c r="Q655" s="15" t="str"/>
      <x:c r="R655" s="15" t="str">
        <x:v>Governs the conduct of appeals, ensuring due process in legal proceedings concerning civil matters.</x:v>
      </x:c>
      <x:c r="S655" s="15" t="str"/>
    </x:row>
    <x:row r="656">
      <x:c r="A656" s="1" t="str">
        <x:v>O0655</x:v>
      </x:c>
      <x:c r="B656" s="1" t="str">
        <x:v>cmst49zw4001104l7neqlaa0v</x:v>
      </x:c>
      <x:c r="C656" s="1" t="str">
        <x:v>cmst475c6000m04l77l2dz6nu</x:v>
      </x:c>
      <x:c r="D656" s="1" t="str">
        <x:v>skeleton-args-ca2024009268-0b828a88e0027426</x:v>
      </x:c>
      <x:c r="E656" s="1" t="str">
        <x:v>synthetic</x:v>
      </x:c>
      <x:c r="F656" s="15" t="str">
        <x:v>Webb v Ashworth &amp; Partners</x:v>
      </x:c>
      <x:c r="G656" s="16" t="n">
        <x:v>46248.65531836806</x:v>
      </x:c>
      <x:c r="H656" s="15" t="str">
        <x:v>legislation</x:v>
      </x:c>
      <x:c r="I656" s="15" t="str">
        <x:v>legislation:senior courts act 1981 s 35a</x:v>
      </x:c>
      <x:c r="J656" s="15" t="str">
        <x:v>Senior Courts Act 1981, s.35A</x:v>
      </x:c>
      <x:c r="K656" s="15" t="str">
        <x:v>Senior Courts Act 1981, s.35A</x:v>
      </x:c>
      <x:c r="L656" s="15" t="str"/>
      <x:c r="M656" s="15" t="str"/>
      <x:c r="N656" s="15" t="str">
        <x:v>decisionAndDisposition.interest.statutoryBasis</x:v>
      </x:c>
      <x:c r="O656" s="15" t="str">
        <x:v>structured_json</x:v>
      </x:c>
      <x:c r="P656" s="15" t="str"/>
      <x:c r="Q656" s="15" t="str"/>
      <x:c r="R656" s="15" t="str"/>
      <x:c r="S656" s="15" t="str"/>
    </x:row>
    <x:row r="657">
      <x:c r="A657" s="1" t="str">
        <x:v>O0656</x:v>
      </x:c>
      <x:c r="B657" s="1" t="str">
        <x:v>cmst49zw4001104l7neqlaa0v</x:v>
      </x:c>
      <x:c r="C657" s="1" t="str">
        <x:v>cmst475c6000m04l77l2dz6nu</x:v>
      </x:c>
      <x:c r="D657" s="1" t="str">
        <x:v>skeleton-args-ca2024009268-0b828a88e0027426</x:v>
      </x:c>
      <x:c r="E657" s="1" t="str">
        <x:v>synthetic</x:v>
      </x:c>
      <x:c r="F657" s="15" t="str">
        <x:v>Webb v Ashworth &amp; Partners</x:v>
      </x:c>
      <x:c r="G657" s="16" t="n">
        <x:v>46248.65531836806</x:v>
      </x:c>
      <x:c r="H657" s="15" t="str">
        <x:v>legislation</x:v>
      </x:c>
      <x:c r="I657" s="15" t="str">
        <x:v>legislation:solicitors act 1974</x:v>
      </x:c>
      <x:c r="J657" s="15" t="str">
        <x:v>Solicitors Act 1974</x:v>
      </x:c>
      <x:c r="K657" s="15" t="str">
        <x:v>Solicitors Act 1974</x:v>
      </x:c>
      <x:c r="L657" s="15" t="str"/>
      <x:c r="M657" s="15" t="str"/>
      <x:c r="N657" s="15" t="str">
        <x:v>legalFramework.legalTestSummaries[0].sourceAuthority</x:v>
      </x:c>
      <x:c r="O657" s="15" t="str">
        <x:v>structured_json</x:v>
      </x:c>
      <x:c r="P657" s="15" t="str"/>
      <x:c r="Q657" s="15" t="str"/>
      <x:c r="R657" s="15" t="str"/>
      <x:c r="S657" s="15" t="str"/>
    </x:row>
    <x:row r="658">
      <x:c r="A658" s="1" t="str">
        <x:v>O0657</x:v>
      </x:c>
      <x:c r="B658" s="1" t="str">
        <x:v>cmst49zw4001104l7neqlaa0v</x:v>
      </x:c>
      <x:c r="C658" s="1" t="str">
        <x:v>cmst475c6000m04l77l2dz6nu</x:v>
      </x:c>
      <x:c r="D658" s="1" t="str">
        <x:v>skeleton-args-ca2024009268-0b828a88e0027426</x:v>
      </x:c>
      <x:c r="E658" s="1" t="str">
        <x:v>synthetic</x:v>
      </x:c>
      <x:c r="F658" s="15" t="str">
        <x:v>Webb v Ashworth &amp; Partners</x:v>
      </x:c>
      <x:c r="G658" s="16" t="n">
        <x:v>46248.65531836806</x:v>
      </x:c>
      <x:c r="H658" s="15" t="str">
        <x:v>legislation</x:v>
      </x:c>
      <x:c r="I658" s="15" t="str">
        <x:v>legislation:civil procedure rules part 52</x:v>
      </x:c>
      <x:c r="J658" s="15" t="str">
        <x:v>Civil Procedure Rules, Part 52</x:v>
      </x:c>
      <x:c r="K658" s="15" t="str">
        <x:v>Civil Procedure Rules, Part 52</x:v>
      </x:c>
      <x:c r="L658" s="15" t="str"/>
      <x:c r="M658" s="15" t="str"/>
      <x:c r="N658" s="15" t="str">
        <x:v>legalFramework.legalTestSummaries[1].sourceAuthority</x:v>
      </x:c>
      <x:c r="O658" s="15" t="str">
        <x:v>structured_json</x:v>
      </x:c>
      <x:c r="P658" s="15" t="str"/>
      <x:c r="Q658" s="15" t="str"/>
      <x:c r="R658" s="15" t="str"/>
      <x:c r="S658" s="15" t="str"/>
    </x:row>
    <x:row r="659">
      <x:c r="A659" s="1" t="str">
        <x:v>O0658</x:v>
      </x:c>
      <x:c r="B659" s="1" t="str">
        <x:v>cmst49zw4001104l7neqlaa0v</x:v>
      </x:c>
      <x:c r="C659" s="1" t="str">
        <x:v>cmst475c6000m04l77l2dz6nu</x:v>
      </x:c>
      <x:c r="D659" s="1" t="str">
        <x:v>skeleton-args-ca2024009268-0b828a88e0027426</x:v>
      </x:c>
      <x:c r="E659" s="1" t="str">
        <x:v>synthetic</x:v>
      </x:c>
      <x:c r="F659" s="15" t="str">
        <x:v>Webb v Ashworth &amp; Partners</x:v>
      </x:c>
      <x:c r="G659" s="16" t="n">
        <x:v>46248.65531836806</x:v>
      </x:c>
      <x:c r="H659" s="15" t="str">
        <x:v>case</x:v>
      </x:c>
      <x:c r="I659" s="15" t="str">
        <x:v>case:2015 ewca civ 1146</x:v>
      </x:c>
      <x:c r="J659" s="15" t="str">
        <x:v>Wellesley Partners LLP v Withers LLP [2015] EWCA Civ 1146</x:v>
      </x:c>
      <x:c r="K659" s="15" t="str"/>
      <x:c r="L659" s="15" t="str">
        <x:v>5bbb3770-46d1-41af-b347-aa54ea9834ba</x:v>
      </x:c>
      <x:c r="M659" s="15" t="str"/>
      <x:c r="N659" s="15" t="str">
        <x:v>legalFramework.statutoryProvisions[0].sourceCases[0]</x:v>
      </x:c>
      <x:c r="O659" s="15" t="str">
        <x:v>structured_json</x:v>
      </x:c>
      <x:c r="P659" s="15" t="str"/>
      <x:c r="Q659" s="15" t="str">
        <x:v>same_proposition</x:v>
      </x:c>
      <x:c r="R659" s="15" t="str">
        <x:v>Cited for understanding the standard of care expected from solicitors when advising clients on investments.</x:v>
      </x:c>
      <x:c r="S659" s="15" t="str"/>
    </x:row>
    <x:row r="660">
      <x:c r="A660" s="1" t="str">
        <x:v>O0659</x:v>
      </x:c>
      <x:c r="B660" s="1" t="str">
        <x:v>cmst49zw4001104l7neqlaa0v</x:v>
      </x:c>
      <x:c r="C660" s="1" t="str">
        <x:v>cmst475c6000m04l77l2dz6nu</x:v>
      </x:c>
      <x:c r="D660" s="1" t="str">
        <x:v>skeleton-args-ca2024009268-0b828a88e0027426</x:v>
      </x:c>
      <x:c r="E660" s="1" t="str">
        <x:v>synthetic</x:v>
      </x:c>
      <x:c r="F660" s="15" t="str">
        <x:v>Webb v Ashworth &amp; Partners</x:v>
      </x:c>
      <x:c r="G660" s="16" t="n">
        <x:v>46248.65531836806</x:v>
      </x:c>
      <x:c r="H660" s="15" t="str">
        <x:v>case</x:v>
      </x:c>
      <x:c r="I660" s="15" t="str">
        <x:v>case:2015 ewca civ 1146</x:v>
      </x:c>
      <x:c r="J660" s="15" t="str">
        <x:v>Wellesley Partners LLP v Withers LLP [2015] EWCA Civ 1146</x:v>
      </x:c>
      <x:c r="K660" s="15" t="str"/>
      <x:c r="L660" s="15" t="str">
        <x:v>5bbb3770-46d1-41af-b347-aa54ea9834ba</x:v>
      </x:c>
      <x:c r="M660" s="15" t="str"/>
      <x:c r="N660" s="15" t="str">
        <x:v>factualFindings.chronology[1].sourceCases[0]</x:v>
      </x:c>
      <x:c r="O660" s="15" t="str">
        <x:v>structured_json</x:v>
      </x:c>
      <x:c r="P660" s="15" t="str"/>
      <x:c r="Q660" s="15" t="str">
        <x:v>distinguished</x:v>
      </x:c>
      <x:c r="R660" s="15" t="str">
        <x:v>Clarifies the duty of solicitors to provide adequate risk assessments in client advice.</x:v>
      </x:c>
      <x:c r="S660" s="15" t="str"/>
    </x:row>
    <x:row r="661">
      <x:c r="A661" s="1" t="str">
        <x:v>O0660</x:v>
      </x:c>
      <x:c r="B661" s="1" t="str">
        <x:v>cmst49zw4001104l7neqlaa0v</x:v>
      </x:c>
      <x:c r="C661" s="1" t="str">
        <x:v>cmst475c6000m04l77l2dz6nu</x:v>
      </x:c>
      <x:c r="D661" s="1" t="str">
        <x:v>skeleton-args-ca2024009268-0b828a88e0027426</x:v>
      </x:c>
      <x:c r="E661" s="1" t="str">
        <x:v>synthetic</x:v>
      </x:c>
      <x:c r="F661" s="15" t="str">
        <x:v>Webb v Ashworth &amp; Partners</x:v>
      </x:c>
      <x:c r="G661" s="16" t="n">
        <x:v>46248.65531836806</x:v>
      </x:c>
      <x:c r="H661" s="15" t="str">
        <x:v>case</x:v>
      </x:c>
      <x:c r="I661" s="15" t="str">
        <x:v>case:2015 ewca civ 400</x:v>
      </x:c>
      <x:c r="J661" s="15" t="str">
        <x:v>Procter v Raleys Solicitors [2015] EWCA Civ 400</x:v>
      </x:c>
      <x:c r="K661" s="15" t="str"/>
      <x:c r="L661" s="15" t="str">
        <x:v>2bd10c54-07db-4985-85eb-0568607ef9f3</x:v>
      </x:c>
      <x:c r="M661" s="15" t="str"/>
      <x:c r="N661" s="15" t="str">
        <x:v>factualFindings.contestedFacts[0].sourceCases[0]</x:v>
      </x:c>
      <x:c r="O661" s="15" t="str">
        <x:v>structured_json</x:v>
      </x:c>
      <x:c r="P661" s="15" t="str"/>
      <x:c r="Q661" s="15" t="str">
        <x:v>applied_differently</x:v>
      </x:c>
      <x:c r="R661" s="15" t="str">
        <x:v>Addresses the duty of solicitors to inform clients about relevant risks associated with investments.</x:v>
      </x:c>
      <x:c r="S661" s="15" t="str"/>
    </x:row>
    <x:row r="662">
      <x:c r="A662" s="1" t="str">
        <x:v>O0661</x:v>
      </x:c>
      <x:c r="B662" s="1" t="str">
        <x:v>cmst49zw4001104l7neqlaa0v</x:v>
      </x:c>
      <x:c r="C662" s="1" t="str">
        <x:v>cmst475c6000m04l77l2dz6nu</x:v>
      </x:c>
      <x:c r="D662" s="1" t="str">
        <x:v>skeleton-args-ca2024009268-0b828a88e0027426</x:v>
      </x:c>
      <x:c r="E662" s="1" t="str">
        <x:v>synthetic</x:v>
      </x:c>
      <x:c r="F662" s="15" t="str">
        <x:v>Webb v Ashworth &amp; Partners</x:v>
      </x:c>
      <x:c r="G662" s="16" t="n">
        <x:v>46248.65531836806</x:v>
      </x:c>
      <x:c r="H662" s="15" t="str">
        <x:v>case</x:v>
      </x:c>
      <x:c r="I662" s="15" t="str">
        <x:v>case:goldsmith williams solicitors v e surv ltd</x:v>
      </x:c>
      <x:c r="J662" s="15" t="str">
        <x:v>Goldsmith Williams Solicitors v E.Surv Ltd</x:v>
      </x:c>
      <x:c r="K662" s="15" t="str"/>
      <x:c r="L662" s="15" t="str">
        <x:v>3939ad83-3116-4c2b-9d35-73b063345d71</x:v>
      </x:c>
      <x:c r="M662" s="15" t="str"/>
      <x:c r="N662" s="15" t="str">
        <x:v>factualFindings.contestedFacts[1].sourceCases[0]</x:v>
      </x:c>
      <x:c r="O662" s="15" t="str">
        <x:v>structured_json</x:v>
      </x:c>
      <x:c r="P662" s="15" t="str"/>
      <x:c r="Q662" s="15" t="str">
        <x:v>applied_differently</x:v>
      </x:c>
      <x:c r="R662" s="15" t="str">
        <x:v>Examines circumstances where solicitors' advice regarding independent financial advice was pivotal.</x:v>
      </x:c>
      <x:c r="S662" s="15" t="str"/>
    </x:row>
    <x:row r="663">
      <x:c r="A663" s="1" t="str">
        <x:v>O0662</x:v>
      </x:c>
      <x:c r="B663" s="1" t="str">
        <x:v>cmst49zw4001104l7neqlaa0v</x:v>
      </x:c>
      <x:c r="C663" s="1" t="str">
        <x:v>cmst475c6000m04l77l2dz6nu</x:v>
      </x:c>
      <x:c r="D663" s="1" t="str">
        <x:v>skeleton-args-ca2024009268-0b828a88e0027426</x:v>
      </x:c>
      <x:c r="E663" s="1" t="str">
        <x:v>synthetic</x:v>
      </x:c>
      <x:c r="F663" s="15" t="str">
        <x:v>Webb v Ashworth &amp; Partners</x:v>
      </x:c>
      <x:c r="G663" s="16" t="n">
        <x:v>46248.65531836806</x:v>
      </x:c>
      <x:c r="H663" s="15" t="str">
        <x:v>case</x:v>
      </x:c>
      <x:c r="I663" s="15" t="str">
        <x:v>case:2015 ewca civ 1146</x:v>
      </x:c>
      <x:c r="J663" s="15" t="str">
        <x:v>Wellesley Partners LLP v Withers LLP [2015] EWCA Civ 1146</x:v>
      </x:c>
      <x:c r="K663" s="15" t="str"/>
      <x:c r="L663" s="15" t="str">
        <x:v>3a331a95-fbe2-4221-959f-d81f490c0d90</x:v>
      </x:c>
      <x:c r="M663" s="15" t="str"/>
      <x:c r="N663" s="15" t="str">
        <x:v>reasoningStructure[0].sourceCases[0]</x:v>
      </x:c>
      <x:c r="O663" s="15" t="str">
        <x:v>structured_json</x:v>
      </x:c>
      <x:c r="P663" s="15" t="str"/>
      <x:c r="Q663" s="15" t="str">
        <x:v>same_proposition</x:v>
      </x:c>
      <x:c r="R663" s="15" t="str">
        <x:v>Supports the understanding of solicitors' obligations in informing clients regarding significant risks that affect investment decisions.</x:v>
      </x:c>
      <x:c r="S663" s="15" t="str"/>
    </x:row>
    <x:row r="664">
      <x:c r="A664" s="1" t="str">
        <x:v>O0663</x:v>
      </x:c>
      <x:c r="B664" s="1" t="str">
        <x:v>cmst49zw4001104l7neqlaa0v</x:v>
      </x:c>
      <x:c r="C664" s="1" t="str">
        <x:v>cmst475c6000m04l77l2dz6nu</x:v>
      </x:c>
      <x:c r="D664" s="1" t="str">
        <x:v>skeleton-args-ca2024009268-0b828a88e0027426</x:v>
      </x:c>
      <x:c r="E664" s="1" t="str">
        <x:v>synthetic</x:v>
      </x:c>
      <x:c r="F664" s="15" t="str">
        <x:v>Webb v Ashworth &amp; Partners</x:v>
      </x:c>
      <x:c r="G664" s="16" t="n">
        <x:v>46248.65531836806</x:v>
      </x:c>
      <x:c r="H664" s="15" t="str">
        <x:v>case</x:v>
      </x:c>
      <x:c r="I664" s="15" t="str">
        <x:v>case:goldsmith williams solicitors v e surv ltd</x:v>
      </x:c>
      <x:c r="J664" s="15" t="str">
        <x:v>Goldsmith Williams Solicitors v E.Surv Ltd</x:v>
      </x:c>
      <x:c r="K664" s="15" t="str"/>
      <x:c r="L664" s="15" t="str">
        <x:v>3939ad83-3116-4c2b-9d35-73b063345d71</x:v>
      </x:c>
      <x:c r="M664" s="15" t="str"/>
      <x:c r="N664" s="15" t="str">
        <x:v>reasoningStructure[1].sourceCases[0]</x:v>
      </x:c>
      <x:c r="O664" s="15" t="str">
        <x:v>structured_json</x:v>
      </x:c>
      <x:c r="P664" s="15" t="str"/>
      <x:c r="Q664" s="15" t="str">
        <x:v>applied_differently</x:v>
      </x:c>
      <x:c r="R664" s="15" t="str">
        <x:v>Analyzes the communication effectiveness of solicitors regarding their limits of advice and the necessity for clients to seek further guidance.</x:v>
      </x:c>
      <x:c r="S664" s="15" t="str"/>
    </x:row>
    <x:row r="665">
      <x:c r="A665" s="1" t="str">
        <x:v>O0664</x:v>
      </x:c>
      <x:c r="B665" s="1" t="str">
        <x:v>cmst49zw4001104l7neqlaa0v</x:v>
      </x:c>
      <x:c r="C665" s="1" t="str">
        <x:v>cmst475c6000m04l77l2dz6nu</x:v>
      </x:c>
      <x:c r="D665" s="1" t="str">
        <x:v>skeleton-args-ca2024009268-0b828a88e0027426</x:v>
      </x:c>
      <x:c r="E665" s="1" t="str">
        <x:v>synthetic</x:v>
      </x:c>
      <x:c r="F665" s="15" t="str">
        <x:v>Webb v Ashworth &amp; Partners</x:v>
      </x:c>
      <x:c r="G665" s="16" t="n">
        <x:v>46248.65531836806</x:v>
      </x:c>
      <x:c r="H665" s="15" t="str">
        <x:v>case</x:v>
      </x:c>
      <x:c r="I665" s="15" t="str">
        <x:v>case:main &amp; orsv v giambrone &amp; law 2017</x:v>
      </x:c>
      <x:c r="J665" s="15" t="str">
        <x:v>Main &amp; Orsv v Giambrone &amp; Law (2017)</x:v>
      </x:c>
      <x:c r="K665" s="15" t="str"/>
      <x:c r="L665" s="15" t="str">
        <x:v>5b3c080f-c58b-40db-acc4-59aca37b2a05</x:v>
      </x:c>
      <x:c r="M665" s="15" t="str"/>
      <x:c r="N665" s="15" t="str">
        <x:v>issuesForDetermination.issueMatrix[0].sourceCases[0]</x:v>
      </x:c>
      <x:c r="O665" s="15" t="str">
        <x:v>structured_json</x:v>
      </x:c>
      <x:c r="P665" s="15" t="str"/>
      <x:c r="Q665" s="15" t="str">
        <x:v>applied_differently</x:v>
      </x:c>
      <x:c r="R665" s="15" t="str">
        <x:v>Illustrates the boundaries of solicitors' duties in projects with inherent risks, where disclosure is key to liability issues.</x:v>
      </x:c>
      <x:c r="S665" s="15" t="str"/>
    </x:row>
    <x:row r="666">
      <x:c r="A666" s="1" t="str">
        <x:v>O0665</x:v>
      </x:c>
      <x:c r="B666" s="1" t="str">
        <x:v>cmst49zw4001104l7neqlaa0v</x:v>
      </x:c>
      <x:c r="C666" s="1" t="str">
        <x:v>cmst475c6000m04l77l2dz6nu</x:v>
      </x:c>
      <x:c r="D666" s="1" t="str">
        <x:v>skeleton-args-ca2024009268-0b828a88e0027426</x:v>
      </x:c>
      <x:c r="E666" s="1" t="str">
        <x:v>synthetic</x:v>
      </x:c>
      <x:c r="F666" s="15" t="str">
        <x:v>Webb v Ashworth &amp; Partners</x:v>
      </x:c>
      <x:c r="G666" s="16" t="n">
        <x:v>46248.65531836806</x:v>
      </x:c>
      <x:c r="H666" s="15" t="str">
        <x:v>case</x:v>
      </x:c>
      <x:c r="I666" s="15" t="str">
        <x:v>case:goldsmith williams solicitors v e surv ltd</x:v>
      </x:c>
      <x:c r="J666" s="15" t="str">
        <x:v>Goldsmith Williams Solicitors v E.Surv Ltd</x:v>
      </x:c>
      <x:c r="K666" s="15" t="str"/>
      <x:c r="L666" s="15" t="str">
        <x:v>3939ad83-3116-4c2b-9d35-73b063345d71</x:v>
      </x:c>
      <x:c r="M666" s="15" t="str"/>
      <x:c r="N666" s="15" t="str">
        <x:v>issuesForDetermination.issueMatrix[1].sourceCases[0]</x:v>
      </x:c>
      <x:c r="O666" s="15" t="str">
        <x:v>structured_json</x:v>
      </x:c>
      <x:c r="P666" s="15" t="str"/>
      <x:c r="Q666" s="15" t="str">
        <x:v>distinguished</x:v>
      </x:c>
      <x:c r="R666" s="15" t="str">
        <x:v>This case demonstrates the complexities around advising clients regarding when to seek independent financial counsel.</x:v>
      </x:c>
      <x:c r="S666" s="15" t="str"/>
    </x:row>
    <x:row r="667">
      <x:c r="A667" s="1" t="str">
        <x:v>O0666</x:v>
      </x:c>
      <x:c r="B667" s="1" t="str">
        <x:v>cmst4fdgx001l04l7p4wrw7w7</x:v>
      </x:c>
      <x:c r="C667" s="1" t="str">
        <x:v>cmst4aoqq001604l74y839y4f</x:v>
      </x:c>
      <x:c r="D667" s="1" t="str">
        <x:v>skeleton-args-ca2025001247-4e7222cd1e12236a</x:v>
      </x:c>
      <x:c r="E667" s="1" t="str">
        <x:v>synthetic</x:v>
      </x:c>
      <x:c r="F667" s="15" t="str">
        <x:v>Thornton v GlobalTech Solutions Ltd</x:v>
      </x:c>
      <x:c r="G667" s="16" t="n">
        <x:v>46248.658222025464</x:v>
      </x:c>
      <x:c r="H667" s="15" t="str">
        <x:v>case</x:v>
      </x:c>
      <x:c r="I667" s="15" t="str">
        <x:v>case:2017 ewca civ 1050</x:v>
      </x:c>
      <x:c r="J667" s="15" t="str">
        <x:v>Chesterton Global Ltd v Nurmohamed (2017) EWCA Civ 1050</x:v>
      </x:c>
      <x:c r="K667" s="15" t="str">
        <x:v>Chesterton Global Ltd v Nurmohamed (2017) EWCA Civ 1050</x:v>
      </x:c>
      <x:c r="L667" s="15" t="str"/>
      <x:c r="M667" s="15" t="str"/>
      <x:c r="N667" s="15" t="str">
        <x:v>legalFramework.precedentCitations[0]</x:v>
      </x:c>
      <x:c r="O667" s="15" t="str">
        <x:v>structured_json</x:v>
      </x:c>
      <x:c r="P667" s="15" t="str">
        <x:v>binding</x:v>
      </x:c>
      <x:c r="Q667" s="15" t="str"/>
      <x:c r="R667" s="15" t="str">
        <x:v>Test for determining protected disclosures focuses on the employee's reasonable belief in misconduct.</x:v>
      </x:c>
      <x:c r="S667" s="15" t="str"/>
    </x:row>
    <x:row r="668">
      <x:c r="A668" s="1" t="str">
        <x:v>O0667</x:v>
      </x:c>
      <x:c r="B668" s="1" t="str">
        <x:v>cmst4fdgx001l04l7p4wrw7w7</x:v>
      </x:c>
      <x:c r="C668" s="1" t="str">
        <x:v>cmst4aoqq001604l74y839y4f</x:v>
      </x:c>
      <x:c r="D668" s="1" t="str">
        <x:v>skeleton-args-ca2025001247-4e7222cd1e12236a</x:v>
      </x:c>
      <x:c r="E668" s="1" t="str">
        <x:v>synthetic</x:v>
      </x:c>
      <x:c r="F668" s="15" t="str">
        <x:v>Thornton v GlobalTech Solutions Ltd</x:v>
      </x:c>
      <x:c r="G668" s="16" t="n">
        <x:v>46248.658222025464</x:v>
      </x:c>
      <x:c r="H668" s="15" t="str">
        <x:v>case</x:v>
      </x:c>
      <x:c r="I668" s="15" t="str">
        <x:v>case:2019 ewca civ 1632</x:v>
      </x:c>
      <x:c r="J668" s="15" t="str">
        <x:v>Royal Mail Ltd v Jhuti (2019) EWCA Civ 1632</x:v>
      </x:c>
      <x:c r="K668" s="15" t="str">
        <x:v>Royal Mail Ltd v Jhuti (2019) EWCA Civ 1632</x:v>
      </x:c>
      <x:c r="L668" s="15" t="str"/>
      <x:c r="M668" s="15" t="str"/>
      <x:c r="N668" s="15" t="str">
        <x:v>legalFramework.precedentCitations[1]</x:v>
      </x:c>
      <x:c r="O668" s="15" t="str">
        <x:v>structured_json</x:v>
      </x:c>
      <x:c r="P668" s="15" t="str">
        <x:v>binding</x:v>
      </x:c>
      <x:c r="Q668" s="15" t="str"/>
      <x:c r="R668" s="15" t="str">
        <x:v>The causation mechanism links disclosures to subsequent treatment by employers.</x:v>
      </x:c>
      <x:c r="S668" s="15" t="str"/>
    </x:row>
    <x:row r="669">
      <x:c r="A669" s="1" t="str">
        <x:v>O0668</x:v>
      </x:c>
      <x:c r="B669" s="1" t="str">
        <x:v>cmst4fdgx001l04l7p4wrw7w7</x:v>
      </x:c>
      <x:c r="C669" s="1" t="str">
        <x:v>cmst4aoqq001604l74y839y4f</x:v>
      </x:c>
      <x:c r="D669" s="1" t="str">
        <x:v>skeleton-args-ca2025001247-4e7222cd1e12236a</x:v>
      </x:c>
      <x:c r="E669" s="1" t="str">
        <x:v>synthetic</x:v>
      </x:c>
      <x:c r="F669" s="15" t="str">
        <x:v>Thornton v GlobalTech Solutions Ltd</x:v>
      </x:c>
      <x:c r="G669" s="16" t="n">
        <x:v>46248.658222025464</x:v>
      </x:c>
      <x:c r="H669" s="15" t="str">
        <x:v>legislation</x:v>
      </x:c>
      <x:c r="I669" s="15" t="str">
        <x:v>legislation:employment rights act 1996 103a</x:v>
      </x:c>
      <x:c r="J669" s="15" t="str">
        <x:v>Employment Rights Act 1996</x:v>
      </x:c>
      <x:c r="K669" s="15" t="str">
        <x:v>Employment Rights Act 1996 103A</x:v>
      </x:c>
      <x:c r="L669" s="15" t="str"/>
      <x:c r="M669" s="15" t="str">
        <x:v>103A</x:v>
      </x:c>
      <x:c r="N669" s="15" t="str">
        <x:v>legalFramework.statutoryProvisions[0]</x:v>
      </x:c>
      <x:c r="O669" s="15" t="str">
        <x:v>structured_json</x:v>
      </x:c>
      <x:c r="P669" s="15" t="str"/>
      <x:c r="Q669" s="15" t="str"/>
      <x:c r="R669" s="15" t="str">
        <x:v>Addresses the protections for employees making qualifying disclosures and outlines the criteria for unfair dismissal.</x:v>
      </x:c>
      <x:c r="S669" s="15" t="str"/>
    </x:row>
    <x:row r="670">
      <x:c r="A670" s="1" t="str">
        <x:v>O0669</x:v>
      </x:c>
      <x:c r="B670" s="1" t="str">
        <x:v>cmst4fdgx001l04l7p4wrw7w7</x:v>
      </x:c>
      <x:c r="C670" s="1" t="str">
        <x:v>cmst4aoqq001604l74y839y4f</x:v>
      </x:c>
      <x:c r="D670" s="1" t="str">
        <x:v>skeleton-args-ca2025001247-4e7222cd1e12236a</x:v>
      </x:c>
      <x:c r="E670" s="1" t="str">
        <x:v>synthetic</x:v>
      </x:c>
      <x:c r="F670" s="15" t="str">
        <x:v>Thornton v GlobalTech Solutions Ltd</x:v>
      </x:c>
      <x:c r="G670" s="16" t="n">
        <x:v>46248.658222025464</x:v>
      </x:c>
      <x:c r="H670" s="15" t="str">
        <x:v>legislation</x:v>
      </x:c>
      <x:c r="I670" s="15" t="str">
        <x:v>legislation:senior courts act 1981 s 35a</x:v>
      </x:c>
      <x:c r="J670" s="15" t="str">
        <x:v>Senior Courts Act 1981, s.35A</x:v>
      </x:c>
      <x:c r="K670" s="15" t="str">
        <x:v>Senior Courts Act 1981, s.35A</x:v>
      </x:c>
      <x:c r="L670" s="15" t="str"/>
      <x:c r="M670" s="15" t="str"/>
      <x:c r="N670" s="15" t="str">
        <x:v>decisionAndDisposition.interest.statutoryBasis</x:v>
      </x:c>
      <x:c r="O670" s="15" t="str">
        <x:v>structured_json</x:v>
      </x:c>
      <x:c r="P670" s="15" t="str"/>
      <x:c r="Q670" s="15" t="str"/>
      <x:c r="R670" s="15" t="str"/>
      <x:c r="S670" s="15" t="str"/>
    </x:row>
    <x:row r="671">
      <x:c r="A671" s="1" t="str">
        <x:v>O0670</x:v>
      </x:c>
      <x:c r="B671" s="1" t="str">
        <x:v>cmst4fdgx001l04l7p4wrw7w7</x:v>
      </x:c>
      <x:c r="C671" s="1" t="str">
        <x:v>cmst4aoqq001604l74y839y4f</x:v>
      </x:c>
      <x:c r="D671" s="1" t="str">
        <x:v>skeleton-args-ca2025001247-4e7222cd1e12236a</x:v>
      </x:c>
      <x:c r="E671" s="1" t="str">
        <x:v>synthetic</x:v>
      </x:c>
      <x:c r="F671" s="15" t="str">
        <x:v>Thornton v GlobalTech Solutions Ltd</x:v>
      </x:c>
      <x:c r="G671" s="16" t="n">
        <x:v>46248.658222025464</x:v>
      </x:c>
      <x:c r="H671" s="15" t="str">
        <x:v>case</x:v>
      </x:c>
      <x:c r="I671" s="15" t="str">
        <x:v>case:2019 ewca civ 1632</x:v>
      </x:c>
      <x:c r="J671" s="15" t="str">
        <x:v>Royal Mail Ltd v Jhuti (2019) EWCA Civ 1632</x:v>
      </x:c>
      <x:c r="K671" s="15" t="str">
        <x:v>Royal Mail Ltd v Jhuti (2019) EWCA Civ 1632</x:v>
      </x:c>
      <x:c r="L671" s="15" t="str"/>
      <x:c r="M671" s="15" t="str"/>
      <x:c r="N671" s="15" t="str">
        <x:v>legalFramework.legalTestSummaries[0].sourceAuthority</x:v>
      </x:c>
      <x:c r="O671" s="15" t="str">
        <x:v>structured_json</x:v>
      </x:c>
      <x:c r="P671" s="15" t="str"/>
      <x:c r="Q671" s="15" t="str"/>
      <x:c r="R671" s="15" t="str"/>
      <x:c r="S671" s="15" t="str"/>
    </x:row>
    <x:row r="672">
      <x:c r="A672" s="1" t="str">
        <x:v>O0671</x:v>
      </x:c>
      <x:c r="B672" s="1" t="str">
        <x:v>cmst4fdgx001l04l7p4wrw7w7</x:v>
      </x:c>
      <x:c r="C672" s="1" t="str">
        <x:v>cmst4aoqq001604l74y839y4f</x:v>
      </x:c>
      <x:c r="D672" s="1" t="str">
        <x:v>skeleton-args-ca2025001247-4e7222cd1e12236a</x:v>
      </x:c>
      <x:c r="E672" s="1" t="str">
        <x:v>synthetic</x:v>
      </x:c>
      <x:c r="F672" s="15" t="str">
        <x:v>Thornton v GlobalTech Solutions Ltd</x:v>
      </x:c>
      <x:c r="G672" s="16" t="n">
        <x:v>46248.658222025464</x:v>
      </x:c>
      <x:c r="H672" s="15" t="str">
        <x:v>case</x:v>
      </x:c>
      <x:c r="I672" s="15" t="str">
        <x:v>case:beatt v croydon health services nhs trust</x:v>
      </x:c>
      <x:c r="J672" s="15" t="str">
        <x:v>Beatt v Croydon Health Services NHS Trust</x:v>
      </x:c>
      <x:c r="K672" s="15" t="str">
        <x:v>Beatt v Croydon Health Services NHS Trust</x:v>
      </x:c>
      <x:c r="L672" s="15" t="str"/>
      <x:c r="M672" s="15" t="str"/>
      <x:c r="N672" s="15" t="str">
        <x:v>legalFramework.legalTestSummaries[1].sourceAuthority</x:v>
      </x:c>
      <x:c r="O672" s="15" t="str">
        <x:v>structured_json</x:v>
      </x:c>
      <x:c r="P672" s="15" t="str"/>
      <x:c r="Q672" s="15" t="str"/>
      <x:c r="R672" s="15" t="str"/>
      <x:c r="S672" s="15" t="str"/>
    </x:row>
    <x:row r="673">
      <x:c r="A673" s="1" t="str">
        <x:v>O0672</x:v>
      </x:c>
      <x:c r="B673" s="1" t="str">
        <x:v>cmst4fdgx001l04l7p4wrw7w7</x:v>
      </x:c>
      <x:c r="C673" s="1" t="str">
        <x:v>cmst4aoqq001604l74y839y4f</x:v>
      </x:c>
      <x:c r="D673" s="1" t="str">
        <x:v>skeleton-args-ca2025001247-4e7222cd1e12236a</x:v>
      </x:c>
      <x:c r="E673" s="1" t="str">
        <x:v>synthetic</x:v>
      </x:c>
      <x:c r="F673" s="15" t="str">
        <x:v>Thornton v GlobalTech Solutions Ltd</x:v>
      </x:c>
      <x:c r="G673" s="16" t="n">
        <x:v>46248.658222025464</x:v>
      </x:c>
      <x:c r="H673" s="15" t="str">
        <x:v>case</x:v>
      </x:c>
      <x:c r="I673" s="15" t="str">
        <x:v>case:2019 ewca civ 1632</x:v>
      </x:c>
      <x:c r="J673" s="15" t="str">
        <x:v>Royal Mail Ltd v Jhuti</x:v>
      </x:c>
      <x:c r="K673" s="15" t="str">
        <x:v>[2019] EWCA Civ 1632</x:v>
      </x:c>
      <x:c r="L673" s="15" t="str">
        <x:v>384e0c8e-cdd6-4cc9-b403-66e1f4f34acd</x:v>
      </x:c>
      <x:c r="M673" s="15" t="str"/>
      <x:c r="N673" s="15" t="str">
        <x:v>legalFramework.statutoryProvisions[0].sourceCases[0]</x:v>
      </x:c>
      <x:c r="O673" s="15" t="str">
        <x:v>structured_json</x:v>
      </x:c>
      <x:c r="P673" s="15" t="str"/>
      <x:c r="Q673" s="15" t="str">
        <x:v>applied_differently</x:v>
      </x:c>
      <x:c r="R673" s="15" t="str">
        <x:v>This case directly interacted with section 103A regarding protected disclosures.</x:v>
      </x:c>
      <x:c r="S673" s="15" t="str"/>
    </x:row>
    <x:row r="674">
      <x:c r="A674" s="1" t="str">
        <x:v>O0673</x:v>
      </x:c>
      <x:c r="B674" s="1" t="str">
        <x:v>cmst4fdgx001l04l7p4wrw7w7</x:v>
      </x:c>
      <x:c r="C674" s="1" t="str">
        <x:v>cmst4aoqq001604l74y839y4f</x:v>
      </x:c>
      <x:c r="D674" s="1" t="str">
        <x:v>skeleton-args-ca2025001247-4e7222cd1e12236a</x:v>
      </x:c>
      <x:c r="E674" s="1" t="str">
        <x:v>synthetic</x:v>
      </x:c>
      <x:c r="F674" s="15" t="str">
        <x:v>Thornton v GlobalTech Solutions Ltd</x:v>
      </x:c>
      <x:c r="G674" s="16" t="n">
        <x:v>46248.658222025464</x:v>
      </x:c>
      <x:c r="H674" s="15" t="str">
        <x:v>case</x:v>
      </x:c>
      <x:c r="I674" s="15" t="str">
        <x:v>case:2014 ewca civ 658</x:v>
      </x:c>
      <x:c r="J674" s="15" t="str">
        <x:v>Co-Operative Group Ltd v Baddeley</x:v>
      </x:c>
      <x:c r="K674" s="15" t="str">
        <x:v>[2014] EWCA Civ 658</x:v>
      </x:c>
      <x:c r="L674" s="15" t="str">
        <x:v>0b85ba33-95d2-4cf3-a08d-ed6833230187</x:v>
      </x:c>
      <x:c r="M674" s="15" t="str"/>
      <x:c r="N674" s="15" t="str">
        <x:v>factualFindings.chronology[1].sourceCases[0]</x:v>
      </x:c>
      <x:c r="O674" s="15" t="str">
        <x:v>structured_json</x:v>
      </x:c>
      <x:c r="P674" s="15" t="str"/>
      <x:c r="Q674" s="15" t="str">
        <x:v>applied_differently</x:v>
      </x:c>
      <x:c r="R674" s="15" t="str">
        <x:v>Similar whistleblowing protection discussions that validate HSE reporting as a qualifying disclosure.</x:v>
      </x:c>
      <x:c r="S674" s="15" t="str"/>
    </x:row>
    <x:row r="675">
      <x:c r="A675" s="1" t="str">
        <x:v>O0674</x:v>
      </x:c>
      <x:c r="B675" s="1" t="str">
        <x:v>cmst4fdgx001l04l7p4wrw7w7</x:v>
      </x:c>
      <x:c r="C675" s="1" t="str">
        <x:v>cmst4aoqq001604l74y839y4f</x:v>
      </x:c>
      <x:c r="D675" s="1" t="str">
        <x:v>skeleton-args-ca2025001247-4e7222cd1e12236a</x:v>
      </x:c>
      <x:c r="E675" s="1" t="str">
        <x:v>synthetic</x:v>
      </x:c>
      <x:c r="F675" s="15" t="str">
        <x:v>Thornton v GlobalTech Solutions Ltd</x:v>
      </x:c>
      <x:c r="G675" s="16" t="n">
        <x:v>46248.658222025464</x:v>
      </x:c>
      <x:c r="H675" s="15" t="str">
        <x:v>case</x:v>
      </x:c>
      <x:c r="I675" s="15" t="str">
        <x:v>case:chesterton global ltd v nurmohamed</x:v>
      </x:c>
      <x:c r="J675" s="15" t="str">
        <x:v>Chesterton Global Ltd v Nurmohamed</x:v>
      </x:c>
      <x:c r="K675" s="15" t="str"/>
      <x:c r="L675" s="15" t="str">
        <x:v>8b6843e2-a05d-4712-8f61-9132cd4bb585</x:v>
      </x:c>
      <x:c r="M675" s="15" t="str"/>
      <x:c r="N675" s="15" t="str">
        <x:v>factualFindings.contestedFacts[0].sourceCases[0]</x:v>
      </x:c>
      <x:c r="O675" s="15" t="str">
        <x:v>structured_json</x:v>
      </x:c>
      <x:c r="P675" s="15" t="str"/>
      <x:c r="Q675" s="15" t="str">
        <x:v>applied_differently</x:v>
      </x:c>
      <x:c r="R675" s="15" t="str">
        <x:v>This case discusses the necessary conditions for qualifying disclosures, which is pivotal in analyzing Dr. Thornton's case.</x:v>
      </x:c>
      <x:c r="S675" s="15" t="str"/>
    </x:row>
    <x:row r="676">
      <x:c r="A676" s="1" t="str">
        <x:v>O0675</x:v>
      </x:c>
      <x:c r="B676" s="1" t="str">
        <x:v>cmst4fdgx001l04l7p4wrw7w7</x:v>
      </x:c>
      <x:c r="C676" s="1" t="str">
        <x:v>cmst4aoqq001604l74y839y4f</x:v>
      </x:c>
      <x:c r="D676" s="1" t="str">
        <x:v>skeleton-args-ca2025001247-4e7222cd1e12236a</x:v>
      </x:c>
      <x:c r="E676" s="1" t="str">
        <x:v>synthetic</x:v>
      </x:c>
      <x:c r="F676" s="15" t="str">
        <x:v>Thornton v GlobalTech Solutions Ltd</x:v>
      </x:c>
      <x:c r="G676" s="16" t="n">
        <x:v>46248.658222025464</x:v>
      </x:c>
      <x:c r="H676" s="15" t="str">
        <x:v>case</x:v>
      </x:c>
      <x:c r="I676" s="15" t="str">
        <x:v>case:2019 ewca civ 1632</x:v>
      </x:c>
      <x:c r="J676" s="15" t="str">
        <x:v>Royal Mail Ltd v Jhuti</x:v>
      </x:c>
      <x:c r="K676" s="15" t="str">
        <x:v>[2019] EWCA Civ 1632</x:v>
      </x:c>
      <x:c r="L676" s="15" t="str">
        <x:v>384e0c8e-cdd6-4cc9-b403-66e1f4f34acd</x:v>
      </x:c>
      <x:c r="M676" s="15" t="str"/>
      <x:c r="N676" s="15" t="str">
        <x:v>factualFindings.contestedFacts[0].sourceCases[1]</x:v>
      </x:c>
      <x:c r="O676" s="15" t="str">
        <x:v>structured_json</x:v>
      </x:c>
      <x:c r="P676" s="15" t="str"/>
      <x:c r="Q676" s="15" t="str">
        <x:v>applied_differently</x:v>
      </x:c>
      <x:c r="R676" s="15" t="str">
        <x:v>This case reinforces the concept of protected disclosures under similar circumstances.</x:v>
      </x:c>
      <x:c r="S676" s="15" t="str"/>
    </x:row>
    <x:row r="677">
      <x:c r="A677" s="1" t="str">
        <x:v>O0676</x:v>
      </x:c>
      <x:c r="B677" s="1" t="str">
        <x:v>cmst4fdgx001l04l7p4wrw7w7</x:v>
      </x:c>
      <x:c r="C677" s="1" t="str">
        <x:v>cmst4aoqq001604l74y839y4f</x:v>
      </x:c>
      <x:c r="D677" s="1" t="str">
        <x:v>skeleton-args-ca2025001247-4e7222cd1e12236a</x:v>
      </x:c>
      <x:c r="E677" s="1" t="str">
        <x:v>synthetic</x:v>
      </x:c>
      <x:c r="F677" s="15" t="str">
        <x:v>Thornton v GlobalTech Solutions Ltd</x:v>
      </x:c>
      <x:c r="G677" s="16" t="n">
        <x:v>46248.658222025464</x:v>
      </x:c>
      <x:c r="H677" s="15" t="str">
        <x:v>case</x:v>
      </x:c>
      <x:c r="I677" s="15" t="str">
        <x:v>case:beatt v croydon health services nhs trust</x:v>
      </x:c>
      <x:c r="J677" s="15" t="str">
        <x:v>Beatt v Croydon Health Services NHS Trust</x:v>
      </x:c>
      <x:c r="K677" s="15" t="str"/>
      <x:c r="L677" s="15" t="str">
        <x:v>27be67b1-3e6c-4a07-90e1-cbb8420b8cee</x:v>
      </x:c>
      <x:c r="M677" s="15" t="str"/>
      <x:c r="N677" s="15" t="str">
        <x:v>factualFindings.contestedFacts[1].sourceCases[0]</x:v>
      </x:c>
      <x:c r="O677" s="15" t="str">
        <x:v>structured_json</x:v>
      </x:c>
      <x:c r="P677" s="15" t="str"/>
      <x:c r="Q677" s="15" t="str">
        <x:v>applied_differently</x:v>
      </x:c>
      <x:c r="R677" s="15" t="str">
        <x:v>The circumstances of the redundancy in an employment context relative to disclosures match this case's principles.</x:v>
      </x:c>
      <x:c r="S677" s="15" t="str"/>
    </x:row>
    <x:row r="678">
      <x:c r="A678" s="1" t="str">
        <x:v>O0677</x:v>
      </x:c>
      <x:c r="B678" s="1" t="str">
        <x:v>cmst4fdgx001l04l7p4wrw7w7</x:v>
      </x:c>
      <x:c r="C678" s="1" t="str">
        <x:v>cmst4aoqq001604l74y839y4f</x:v>
      </x:c>
      <x:c r="D678" s="1" t="str">
        <x:v>skeleton-args-ca2025001247-4e7222cd1e12236a</x:v>
      </x:c>
      <x:c r="E678" s="1" t="str">
        <x:v>synthetic</x:v>
      </x:c>
      <x:c r="F678" s="15" t="str">
        <x:v>Thornton v GlobalTech Solutions Ltd</x:v>
      </x:c>
      <x:c r="G678" s="16" t="n">
        <x:v>46248.658222025464</x:v>
      </x:c>
      <x:c r="H678" s="15" t="str">
        <x:v>case</x:v>
      </x:c>
      <x:c r="I678" s="15" t="str">
        <x:v>case:chesterton global ltd v nurmohamed</x:v>
      </x:c>
      <x:c r="J678" s="15" t="str">
        <x:v>Chesterton Global Ltd v Nurmohamed</x:v>
      </x:c>
      <x:c r="K678" s="15" t="str"/>
      <x:c r="L678" s="15" t="str">
        <x:v>8b6843e2-a05d-4712-8f61-9132cd4bb585</x:v>
      </x:c>
      <x:c r="M678" s="15" t="str"/>
      <x:c r="N678" s="15" t="str">
        <x:v>reasoningStructure[0].sourceCases[0]</x:v>
      </x:c>
      <x:c r="O678" s="15" t="str">
        <x:v>structured_json</x:v>
      </x:c>
      <x:c r="P678" s="15" t="str"/>
      <x:c r="Q678" s="15" t="str">
        <x:v>applied_differently</x:v>
      </x:c>
      <x:c r="R678" s="15" t="str">
        <x:v>Establishes the necessary criteria for qualifying disclosures, supporting the claim's merit.</x:v>
      </x:c>
      <x:c r="S678" s="15" t="str"/>
    </x:row>
    <x:row r="679">
      <x:c r="A679" s="1" t="str">
        <x:v>O0678</x:v>
      </x:c>
      <x:c r="B679" s="1" t="str">
        <x:v>cmst4fdgx001l04l7p4wrw7w7</x:v>
      </x:c>
      <x:c r="C679" s="1" t="str">
        <x:v>cmst4aoqq001604l74y839y4f</x:v>
      </x:c>
      <x:c r="D679" s="1" t="str">
        <x:v>skeleton-args-ca2025001247-4e7222cd1e12236a</x:v>
      </x:c>
      <x:c r="E679" s="1" t="str">
        <x:v>synthetic</x:v>
      </x:c>
      <x:c r="F679" s="15" t="str">
        <x:v>Thornton v GlobalTech Solutions Ltd</x:v>
      </x:c>
      <x:c r="G679" s="16" t="n">
        <x:v>46248.658222025464</x:v>
      </x:c>
      <x:c r="H679" s="15" t="str">
        <x:v>case</x:v>
      </x:c>
      <x:c r="I679" s="15" t="str">
        <x:v>case:2019 ewca civ 1632</x:v>
      </x:c>
      <x:c r="J679" s="15" t="str">
        <x:v>Royal Mail Ltd v Jhuti</x:v>
      </x:c>
      <x:c r="K679" s="15" t="str">
        <x:v>[2019] EWCA Civ 1632</x:v>
      </x:c>
      <x:c r="L679" s="15" t="str">
        <x:v>384e0c8e-cdd6-4cc9-b403-66e1f4f34acd</x:v>
      </x:c>
      <x:c r="M679" s="15" t="str"/>
      <x:c r="N679" s="15" t="str">
        <x:v>reasoningStructure[0].sourceCases[1]</x:v>
      </x:c>
      <x:c r="O679" s="15" t="str">
        <x:v>structured_json</x:v>
      </x:c>
      <x:c r="P679" s="15" t="str"/>
      <x:c r="Q679" s="15" t="str">
        <x:v>applied_differently</x:v>
      </x:c>
      <x:c r="R679" s="15" t="str">
        <x:v>Clarifies conditions under which disclosures are considered protected.</x:v>
      </x:c>
      <x:c r="S679" s="15" t="str"/>
    </x:row>
    <x:row r="680">
      <x:c r="A680" s="1" t="str">
        <x:v>O0679</x:v>
      </x:c>
      <x:c r="B680" s="1" t="str">
        <x:v>cmst4fdgx001l04l7p4wrw7w7</x:v>
      </x:c>
      <x:c r="C680" s="1" t="str">
        <x:v>cmst4aoqq001604l74y839y4f</x:v>
      </x:c>
      <x:c r="D680" s="1" t="str">
        <x:v>skeleton-args-ca2025001247-4e7222cd1e12236a</x:v>
      </x:c>
      <x:c r="E680" s="1" t="str">
        <x:v>synthetic</x:v>
      </x:c>
      <x:c r="F680" s="15" t="str">
        <x:v>Thornton v GlobalTech Solutions Ltd</x:v>
      </x:c>
      <x:c r="G680" s="16" t="n">
        <x:v>46248.658222025464</x:v>
      </x:c>
      <x:c r="H680" s="15" t="str">
        <x:v>case</x:v>
      </x:c>
      <x:c r="I680" s="15" t="str">
        <x:v>case:beatt v croydon health services nhs trust</x:v>
      </x:c>
      <x:c r="J680" s="15" t="str">
        <x:v>Beatt v Croydon Health Services NHS Trust</x:v>
      </x:c>
      <x:c r="K680" s="15" t="str"/>
      <x:c r="L680" s="15" t="str">
        <x:v>27be67b1-3e6c-4a07-90e1-cbb8420b8cee</x:v>
      </x:c>
      <x:c r="M680" s="15" t="str"/>
      <x:c r="N680" s="15" t="str">
        <x:v>reasoningStructure[1].sourceCases[0]</x:v>
      </x:c>
      <x:c r="O680" s="15" t="str">
        <x:v>structured_json</x:v>
      </x:c>
      <x:c r="P680" s="15" t="str"/>
      <x:c r="Q680" s="15" t="str">
        <x:v>applied_differently</x:v>
      </x:c>
      <x:c r="R680" s="15" t="str">
        <x:v>Addresses the circumstances surrounding redundancy in relation to whistleblowing protections.</x:v>
      </x:c>
      <x:c r="S680" s="15" t="str"/>
    </x:row>
    <x:row r="681">
      <x:c r="A681" s="1" t="str">
        <x:v>O0680</x:v>
      </x:c>
      <x:c r="B681" s="1" t="str">
        <x:v>cmst4fdgx001l04l7p4wrw7w7</x:v>
      </x:c>
      <x:c r="C681" s="1" t="str">
        <x:v>cmst4aoqq001604l74y839y4f</x:v>
      </x:c>
      <x:c r="D681" s="1" t="str">
        <x:v>skeleton-args-ca2025001247-4e7222cd1e12236a</x:v>
      </x:c>
      <x:c r="E681" s="1" t="str">
        <x:v>synthetic</x:v>
      </x:c>
      <x:c r="F681" s="15" t="str">
        <x:v>Thornton v GlobalTech Solutions Ltd</x:v>
      </x:c>
      <x:c r="G681" s="16" t="n">
        <x:v>46248.658222025464</x:v>
      </x:c>
      <x:c r="H681" s="15" t="str">
        <x:v>case</x:v>
      </x:c>
      <x:c r="I681" s="15" t="str">
        <x:v>case:chesterton global ltd v nurmohamed</x:v>
      </x:c>
      <x:c r="J681" s="15" t="str">
        <x:v>Chesterton Global Ltd v Nurmohamed</x:v>
      </x:c>
      <x:c r="K681" s="15" t="str"/>
      <x:c r="L681" s="15" t="str">
        <x:v>8b6843e2-a05d-4712-8f61-9132cd4bb585</x:v>
      </x:c>
      <x:c r="M681" s="15" t="str"/>
      <x:c r="N681" s="15" t="str">
        <x:v>issuesForDetermination.issueMatrix[0].sourceCases[0]</x:v>
      </x:c>
      <x:c r="O681" s="15" t="str">
        <x:v>structured_json</x:v>
      </x:c>
      <x:c r="P681" s="15" t="str"/>
      <x:c r="Q681" s="15" t="str">
        <x:v>applied_differently</x:v>
      </x:c>
      <x:c r="R681" s="15" t="str">
        <x:v>Similar case establishing criteria for qualifying disclosures.</x:v>
      </x:c>
      <x:c r="S681" s="15" t="str"/>
    </x:row>
    <x:row r="682">
      <x:c r="A682" s="1" t="str">
        <x:v>O0681</x:v>
      </x:c>
      <x:c r="B682" s="1" t="str">
        <x:v>cmst4fdgx001l04l7p4wrw7w7</x:v>
      </x:c>
      <x:c r="C682" s="1" t="str">
        <x:v>cmst4aoqq001604l74y839y4f</x:v>
      </x:c>
      <x:c r="D682" s="1" t="str">
        <x:v>skeleton-args-ca2025001247-4e7222cd1e12236a</x:v>
      </x:c>
      <x:c r="E682" s="1" t="str">
        <x:v>synthetic</x:v>
      </x:c>
      <x:c r="F682" s="15" t="str">
        <x:v>Thornton v GlobalTech Solutions Ltd</x:v>
      </x:c>
      <x:c r="G682" s="16" t="n">
        <x:v>46248.658222025464</x:v>
      </x:c>
      <x:c r="H682" s="15" t="str">
        <x:v>case</x:v>
      </x:c>
      <x:c r="I682" s="15" t="str">
        <x:v>case:2019 ewca civ 1632</x:v>
      </x:c>
      <x:c r="J682" s="15" t="str">
        <x:v>Royal Mail Ltd v Jhuti</x:v>
      </x:c>
      <x:c r="K682" s="15" t="str">
        <x:v>[2019] EWCA Civ 1632</x:v>
      </x:c>
      <x:c r="L682" s="15" t="str">
        <x:v>384e0c8e-cdd6-4cc9-b403-66e1f4f34acd</x:v>
      </x:c>
      <x:c r="M682" s="15" t="str"/>
      <x:c r="N682" s="15" t="str">
        <x:v>issuesForDetermination.issueMatrix[0].sourceCases[1]</x:v>
      </x:c>
      <x:c r="O682" s="15" t="str">
        <x:v>structured_json</x:v>
      </x:c>
      <x:c r="P682" s="15" t="str"/>
      <x:c r="Q682" s="15" t="str">
        <x:v>applied_differently</x:v>
      </x:c>
      <x:c r="R682" s="15" t="str">
        <x:v>Clarifying frameworks around protected disclosures in an employment context.</x:v>
      </x:c>
      <x:c r="S682" s="15" t="str"/>
    </x:row>
    <x:row r="683">
      <x:c r="A683" s="1" t="str">
        <x:v>O0682</x:v>
      </x:c>
      <x:c r="B683" s="1" t="str">
        <x:v>cmst4fdgx001l04l7p4wrw7w7</x:v>
      </x:c>
      <x:c r="C683" s="1" t="str">
        <x:v>cmst4aoqq001604l74y839y4f</x:v>
      </x:c>
      <x:c r="D683" s="1" t="str">
        <x:v>skeleton-args-ca2025001247-4e7222cd1e12236a</x:v>
      </x:c>
      <x:c r="E683" s="1" t="str">
        <x:v>synthetic</x:v>
      </x:c>
      <x:c r="F683" s="15" t="str">
        <x:v>Thornton v GlobalTech Solutions Ltd</x:v>
      </x:c>
      <x:c r="G683" s="16" t="n">
        <x:v>46248.658222025464</x:v>
      </x:c>
      <x:c r="H683" s="15" t="str">
        <x:v>case</x:v>
      </x:c>
      <x:c r="I683" s="15" t="str">
        <x:v>case:beatt v croydon health services nhs trust</x:v>
      </x:c>
      <x:c r="J683" s="15" t="str">
        <x:v>Beatt v Croydon Health Services NHS Trust</x:v>
      </x:c>
      <x:c r="K683" s="15" t="str"/>
      <x:c r="L683" s="15" t="str">
        <x:v>27be67b1-3e6c-4a07-90e1-cbb8420b8cee</x:v>
      </x:c>
      <x:c r="M683" s="15" t="str"/>
      <x:c r="N683" s="15" t="str">
        <x:v>issuesForDetermination.issueMatrix[1].sourceCases[0]</x:v>
      </x:c>
      <x:c r="O683" s="15" t="str">
        <x:v>structured_json</x:v>
      </x:c>
      <x:c r="P683" s="15" t="str"/>
      <x:c r="Q683" s="15" t="str">
        <x:v>applied_differently</x:v>
      </x:c>
      <x:c r="R683" s="15" t="str">
        <x:v>This case discusses the implications of redundancy in relation to disclosures; applicable in this context.</x:v>
      </x:c>
      <x:c r="S683" s="15" t="str"/>
    </x:row>
    <x:row r="684">
      <x:c r="A684" s="1" t="str">
        <x:v>O0683</x:v>
      </x:c>
      <x:c r="B684" s="1" t="str">
        <x:v>cmst4kl1t000h04js7g8j67zy</x:v>
      </x:c>
      <x:c r="C684" s="1" t="str">
        <x:v>cmst4gypt000204jslfhbfuuf</x:v>
      </x:c>
      <x:c r="D684" s="1" t="str">
        <x:v>skeleton-args-ca2019005474-f7265b45a4e3f0ae</x:v>
      </x:c>
      <x:c r="E684" s="1" t="str">
        <x:v>synthetic</x:v>
      </x:c>
      <x:c r="F684" s="15" t="str">
        <x:v>Heritage Brewing Company Ltd v Traditional Ales Holdings Plc</x:v>
      </x:c>
      <x:c r="G684" s="16" t="n">
        <x:v>46248.661035729165</x:v>
      </x:c>
      <x:c r="H684" s="15" t="str">
        <x:v>case</x:v>
      </x:c>
      <x:c r="I684" s="15" t="str">
        <x:v>case:phones 4u ltd v phone4u co uk internet ltd</x:v>
      </x:c>
      <x:c r="J684" s="15" t="str">
        <x:v>Phones 4U Ltd v Phone4u.co.uk Internet Ltd</x:v>
      </x:c>
      <x:c r="K684" s="15" t="str">
        <x:v>Phones 4U Ltd v Phone4u.co.uk Internet Ltd</x:v>
      </x:c>
      <x:c r="L684" s="15" t="str"/>
      <x:c r="M684" s="15" t="str"/>
      <x:c r="N684" s="15" t="str">
        <x:v>legalFramework.precedentCitations[0]</x:v>
      </x:c>
      <x:c r="O684" s="15" t="str">
        <x:v>structured_json</x:v>
      </x:c>
      <x:c r="P684" s="15" t="str">
        <x:v>binding</x:v>
      </x:c>
      <x:c r="Q684" s="15" t="str"/>
      <x:c r="R684" s="15" t="str">
        <x:v>Establishes the conditions under which registration can be refused.</x:v>
      </x:c>
      <x:c r="S684" s="15" t="str"/>
    </x:row>
    <x:row r="685">
      <x:c r="A685" s="1" t="str">
        <x:v>O0684</x:v>
      </x:c>
      <x:c r="B685" s="1" t="str">
        <x:v>cmst4kl1t000h04js7g8j67zy</x:v>
      </x:c>
      <x:c r="C685" s="1" t="str">
        <x:v>cmst4gypt000204jslfhbfuuf</x:v>
      </x:c>
      <x:c r="D685" s="1" t="str">
        <x:v>skeleton-args-ca2019005474-f7265b45a4e3f0ae</x:v>
      </x:c>
      <x:c r="E685" s="1" t="str">
        <x:v>synthetic</x:v>
      </x:c>
      <x:c r="F685" s="15" t="str">
        <x:v>Heritage Brewing Company Ltd v Traditional Ales Holdings Plc</x:v>
      </x:c>
      <x:c r="G685" s="16" t="n">
        <x:v>46248.661035729165</x:v>
      </x:c>
      <x:c r="H685" s="15" t="str">
        <x:v>case</x:v>
      </x:c>
      <x:c r="I685" s="15" t="str">
        <x:v>case:flannery v halifax estate agencies ltd</x:v>
      </x:c>
      <x:c r="J685" s="15" t="str">
        <x:v>Flannery v Halifax Estate Agencies Ltd</x:v>
      </x:c>
      <x:c r="K685" s="15" t="str">
        <x:v>Flannery v Halifax Estate Agencies Ltd</x:v>
      </x:c>
      <x:c r="L685" s="15" t="str"/>
      <x:c r="M685" s="15" t="str"/>
      <x:c r="N685" s="15" t="str">
        <x:v>legalFramework.precedentCitations[1]</x:v>
      </x:c>
      <x:c r="O685" s="15" t="str">
        <x:v>structured_json</x:v>
      </x:c>
      <x:c r="P685" s="15" t="str">
        <x:v>persuasive</x:v>
      </x:c>
      <x:c r="Q685" s="15" t="str"/>
      <x:c r="R685" s="15" t="str">
        <x:v>Duties owed to provide reasons for actions taken in trade mark disputes.</x:v>
      </x:c>
      <x:c r="S685" s="15" t="str"/>
    </x:row>
    <x:row r="686">
      <x:c r="A686" s="1" t="str">
        <x:v>O0685</x:v>
      </x:c>
      <x:c r="B686" s="1" t="str">
        <x:v>cmst4kl1t000h04js7g8j67zy</x:v>
      </x:c>
      <x:c r="C686" s="1" t="str">
        <x:v>cmst4gypt000204jslfhbfuuf</x:v>
      </x:c>
      <x:c r="D686" s="1" t="str">
        <x:v>skeleton-args-ca2019005474-f7265b45a4e3f0ae</x:v>
      </x:c>
      <x:c r="E686" s="1" t="str">
        <x:v>synthetic</x:v>
      </x:c>
      <x:c r="F686" s="15" t="str">
        <x:v>Heritage Brewing Company Ltd v Traditional Ales Holdings Plc</x:v>
      </x:c>
      <x:c r="G686" s="16" t="n">
        <x:v>46248.661035729165</x:v>
      </x:c>
      <x:c r="H686" s="15" t="str">
        <x:v>legislation</x:v>
      </x:c>
      <x:c r="I686" s="15" t="str">
        <x:v>legislation:trade marks act 1994 s 5</x:v>
      </x:c>
      <x:c r="J686" s="15" t="str">
        <x:v>Trade Marks Act 1994</x:v>
      </x:c>
      <x:c r="K686" s="15" t="str">
        <x:v>Trade Marks Act 1994 Section 5</x:v>
      </x:c>
      <x:c r="L686" s="15" t="str"/>
      <x:c r="M686" s="15" t="str">
        <x:v>Section 5</x:v>
      </x:c>
      <x:c r="N686" s="15" t="str">
        <x:v>legalFramework.statutoryProvisions[0]</x:v>
      </x:c>
      <x:c r="O686" s="15" t="str">
        <x:v>structured_json</x:v>
      </x:c>
      <x:c r="P686" s="15" t="str"/>
      <x:c r="Q686" s="15" t="str"/>
      <x:c r="R686" s="15" t="str">
        <x:v>Regulates grounds for refusing registration due to prior use or confusion.</x:v>
      </x:c>
      <x:c r="S686" s="15" t="str">
        <x:v>https://www.legislation.gov.uk/ukpga/1994/26/contents</x:v>
      </x:c>
    </x:row>
    <x:row r="687">
      <x:c r="A687" s="1" t="str">
        <x:v>O0686</x:v>
      </x:c>
      <x:c r="B687" s="1" t="str">
        <x:v>cmst4kl1t000h04js7g8j67zy</x:v>
      </x:c>
      <x:c r="C687" s="1" t="str">
        <x:v>cmst4gypt000204jslfhbfuuf</x:v>
      </x:c>
      <x:c r="D687" s="1" t="str">
        <x:v>skeleton-args-ca2019005474-f7265b45a4e3f0ae</x:v>
      </x:c>
      <x:c r="E687" s="1" t="str">
        <x:v>synthetic</x:v>
      </x:c>
      <x:c r="F687" s="15" t="str">
        <x:v>Heritage Brewing Company Ltd v Traditional Ales Holdings Plc</x:v>
      </x:c>
      <x:c r="G687" s="16" t="n">
        <x:v>46248.661035729165</x:v>
      </x:c>
      <x:c r="H687" s="15" t="str">
        <x:v>legislation</x:v>
      </x:c>
      <x:c r="I687" s="15" t="str">
        <x:v>legislation:intellectual property act 2014 s 5a</x:v>
      </x:c>
      <x:c r="J687" s="15" t="str">
        <x:v>Intellectual Property Act 2014</x:v>
      </x:c>
      <x:c r="K687" s="15" t="str">
        <x:v>Intellectual Property Act 2014 Section 5A</x:v>
      </x:c>
      <x:c r="L687" s="15" t="str"/>
      <x:c r="M687" s="15" t="str">
        <x:v>Section 5A</x:v>
      </x:c>
      <x:c r="N687" s="15" t="str">
        <x:v>legalFramework.statutoryProvisions[1]</x:v>
      </x:c>
      <x:c r="O687" s="15" t="str">
        <x:v>structured_json</x:v>
      </x:c>
      <x:c r="P687" s="15" t="str"/>
      <x:c r="Q687" s="15" t="str"/>
      <x:c r="R687" s="15" t="str">
        <x:v>Addresses bad faith in trade mark registrations.</x:v>
      </x:c>
      <x:c r="S687" s="15" t="str">
        <x:v>https://www.legislation.gov.uk/ukpga/2014/18/contents/enacted</x:v>
      </x:c>
    </x:row>
    <x:row r="688">
      <x:c r="A688" s="1" t="str">
        <x:v>O0687</x:v>
      </x:c>
      <x:c r="B688" s="1" t="str">
        <x:v>cmst4kl1t000h04js7g8j67zy</x:v>
      </x:c>
      <x:c r="C688" s="1" t="str">
        <x:v>cmst4gypt000204jslfhbfuuf</x:v>
      </x:c>
      <x:c r="D688" s="1" t="str">
        <x:v>skeleton-args-ca2019005474-f7265b45a4e3f0ae</x:v>
      </x:c>
      <x:c r="E688" s="1" t="str">
        <x:v>synthetic</x:v>
      </x:c>
      <x:c r="F688" s="15" t="str">
        <x:v>Heritage Brewing Company Ltd v Traditional Ales Holdings Plc</x:v>
      </x:c>
      <x:c r="G688" s="16" t="n">
        <x:v>46248.661035729165</x:v>
      </x:c>
      <x:c r="H688" s="15" t="str">
        <x:v>legislation</x:v>
      </x:c>
      <x:c r="I688" s="15" t="str">
        <x:v>legislation:senior courts act 1981 s 35a</x:v>
      </x:c>
      <x:c r="J688" s="15" t="str">
        <x:v>Senior Courts Act 1981, s.35A</x:v>
      </x:c>
      <x:c r="K688" s="15" t="str">
        <x:v>Senior Courts Act 1981, s.35A</x:v>
      </x:c>
      <x:c r="L688" s="15" t="str"/>
      <x:c r="M688" s="15" t="str"/>
      <x:c r="N688" s="15" t="str">
        <x:v>decisionAndDisposition.interest.statutoryBasis</x:v>
      </x:c>
      <x:c r="O688" s="15" t="str">
        <x:v>structured_json</x:v>
      </x:c>
      <x:c r="P688" s="15" t="str"/>
      <x:c r="Q688" s="15" t="str"/>
      <x:c r="R688" s="15" t="str"/>
      <x:c r="S688" s="15" t="str"/>
    </x:row>
    <x:row r="689">
      <x:c r="A689" s="1" t="str">
        <x:v>O0688</x:v>
      </x:c>
      <x:c r="B689" s="1" t="str">
        <x:v>cmst4kl1t000h04js7g8j67zy</x:v>
      </x:c>
      <x:c r="C689" s="1" t="str">
        <x:v>cmst4gypt000204jslfhbfuuf</x:v>
      </x:c>
      <x:c r="D689" s="1" t="str">
        <x:v>skeleton-args-ca2019005474-f7265b45a4e3f0ae</x:v>
      </x:c>
      <x:c r="E689" s="1" t="str">
        <x:v>synthetic</x:v>
      </x:c>
      <x:c r="F689" s="15" t="str">
        <x:v>Heritage Brewing Company Ltd v Traditional Ales Holdings Plc</x:v>
      </x:c>
      <x:c r="G689" s="16" t="n">
        <x:v>46248.661035729165</x:v>
      </x:c>
      <x:c r="H689" s="15" t="str">
        <x:v>case</x:v>
      </x:c>
      <x:c r="I689" s="15" t="str">
        <x:v>case:2022 ewca civ 1433</x:v>
      </x:c>
      <x:c r="J689" s="15" t="str">
        <x:v>Lidl Great Britain Ltd &amp; Lidl Stiftung &amp; Co KG v Tesco Stores Ltd &amp; Tesco PLC</x:v>
      </x:c>
      <x:c r="K689" s="15" t="str">
        <x:v>[2022] EWCA Civ 1433</x:v>
      </x:c>
      <x:c r="L689" s="15" t="str">
        <x:v>lidl_case_id</x:v>
      </x:c>
      <x:c r="M689" s="15" t="str"/>
      <x:c r="N689" s="15" t="str">
        <x:v>legalFramework.precedentCitations[0].sourceCases[0]</x:v>
      </x:c>
      <x:c r="O689" s="15" t="str">
        <x:v>structured_json</x:v>
      </x:c>
      <x:c r="P689" s="15" t="str"/>
      <x:c r="Q689" s="15" t="str">
        <x:v>same_proposition</x:v>
      </x:c>
      <x:c r="R689" s="15" t="str">
        <x:v>Reiterates the significance of bad faith in registration processes.</x:v>
      </x:c>
      <x:c r="S689" s="15" t="str"/>
    </x:row>
    <x:row r="690">
      <x:c r="A690" s="1" t="str">
        <x:v>O0689</x:v>
      </x:c>
      <x:c r="B690" s="1" t="str">
        <x:v>cmst4kl1t000h04js7g8j67zy</x:v>
      </x:c>
      <x:c r="C690" s="1" t="str">
        <x:v>cmst4gypt000204jslfhbfuuf</x:v>
      </x:c>
      <x:c r="D690" s="1" t="str">
        <x:v>skeleton-args-ca2019005474-f7265b45a4e3f0ae</x:v>
      </x:c>
      <x:c r="E690" s="1" t="str">
        <x:v>synthetic</x:v>
      </x:c>
      <x:c r="F690" s="15" t="str">
        <x:v>Heritage Brewing Company Ltd v Traditional Ales Holdings Plc</x:v>
      </x:c>
      <x:c r="G690" s="16" t="n">
        <x:v>46248.661035729165</x:v>
      </x:c>
      <x:c r="H690" s="15" t="str">
        <x:v>case</x:v>
      </x:c>
      <x:c r="I690" s="15" t="str">
        <x:v>case:2016 ewca civ 41</x:v>
      </x:c>
      <x:c r="J690" s="15" t="str">
        <x:v>Comic Enterprises Ltd v Twentieth Century Fox Film Corporation</x:v>
      </x:c>
      <x:c r="K690" s="15" t="str">
        <x:v>[2016] EWCA Civ 41</x:v>
      </x:c>
      <x:c r="L690" s="15" t="str">
        <x:v>b88b59e2-6c25-4730-93fe-b134e9a5176b</x:v>
      </x:c>
      <x:c r="M690" s="15" t="str"/>
      <x:c r="N690" s="15" t="str">
        <x:v>factualFindings.contestedFacts[1].sourceCases[0]</x:v>
      </x:c>
      <x:c r="O690" s="15" t="str">
        <x:v>structured_json</x:v>
      </x:c>
      <x:c r="P690" s="15" t="str"/>
      <x:c r="Q690" s="15" t="str">
        <x:v>applied_differently</x:v>
      </x:c>
      <x:c r="R690" s="15" t="str">
        <x:v>Discusses confusion under trade mark law in a similar context.</x:v>
      </x:c>
      <x:c r="S690" s="15" t="str"/>
    </x:row>
    <x:row r="691">
      <x:c r="A691" s="1" t="str">
        <x:v>O0690</x:v>
      </x:c>
      <x:c r="B691" s="1" t="str">
        <x:v>cmst4kl1t000h04js7g8j67zy</x:v>
      </x:c>
      <x:c r="C691" s="1" t="str">
        <x:v>cmst4gypt000204jslfhbfuuf</x:v>
      </x:c>
      <x:c r="D691" s="1" t="str">
        <x:v>skeleton-args-ca2019005474-f7265b45a4e3f0ae</x:v>
      </x:c>
      <x:c r="E691" s="1" t="str">
        <x:v>synthetic</x:v>
      </x:c>
      <x:c r="F691" s="15" t="str">
        <x:v>Heritage Brewing Company Ltd v Traditional Ales Holdings Plc</x:v>
      </x:c>
      <x:c r="G691" s="16" t="n">
        <x:v>46248.661035729165</x:v>
      </x:c>
      <x:c r="H691" s="15" t="str">
        <x:v>case</x:v>
      </x:c>
      <x:c r="I691" s="15" t="str">
        <x:v>case:2022 ewca civ 1433</x:v>
      </x:c>
      <x:c r="J691" s="15" t="str">
        <x:v>Lidl Great Britain Ltd &amp; Lidl Stiftung &amp; Co KG v Tesco Stores Ltd &amp; Tesco PLC</x:v>
      </x:c>
      <x:c r="K691" s="15" t="str">
        <x:v>[2022] EWCA Civ 1433</x:v>
      </x:c>
      <x:c r="L691" s="15" t="str">
        <x:v>b9f08a72-1e62-405b-9fe9-eaba231f1c88</x:v>
      </x:c>
      <x:c r="M691" s="15" t="str"/>
      <x:c r="N691" s="15" t="str">
        <x:v>reasoningStructure[0].sourceCases[0]</x:v>
      </x:c>
      <x:c r="O691" s="15" t="str">
        <x:v>structured_json</x:v>
      </x:c>
      <x:c r="P691" s="15" t="str"/>
      <x:c r="Q691" s="15" t="str">
        <x:v>applied_differently</x:v>
      </x:c>
      <x:c r="R691" s="15" t="str">
        <x:v>Provides context on bad faith related to trade marks.</x:v>
      </x:c>
      <x:c r="S691" s="15" t="str"/>
    </x:row>
    <x:row r="692">
      <x:c r="A692" s="1" t="str">
        <x:v>O0691</x:v>
      </x:c>
      <x:c r="B692" s="1" t="str">
        <x:v>cmst4kl1t000h04js7g8j67zy</x:v>
      </x:c>
      <x:c r="C692" s="1" t="str">
        <x:v>cmst4gypt000204jslfhbfuuf</x:v>
      </x:c>
      <x:c r="D692" s="1" t="str">
        <x:v>skeleton-args-ca2019005474-f7265b45a4e3f0ae</x:v>
      </x:c>
      <x:c r="E692" s="1" t="str">
        <x:v>synthetic</x:v>
      </x:c>
      <x:c r="F692" s="15" t="str">
        <x:v>Heritage Brewing Company Ltd v Traditional Ales Holdings Plc</x:v>
      </x:c>
      <x:c r="G692" s="16" t="n">
        <x:v>46248.661035729165</x:v>
      </x:c>
      <x:c r="H692" s="15" t="str">
        <x:v>case</x:v>
      </x:c>
      <x:c r="I692" s="15" t="str">
        <x:v>case:2016 ewca civ 41</x:v>
      </x:c>
      <x:c r="J692" s="15" t="str">
        <x:v>Comic Enterprises Ltd v Twentieth Century Fox Film Corporation</x:v>
      </x:c>
      <x:c r="K692" s="15" t="str">
        <x:v>[2016] EWCA Civ 41</x:v>
      </x:c>
      <x:c r="L692" s="15" t="str">
        <x:v>b88b59e2-6c25-4730-93fe-b134e9a5176b</x:v>
      </x:c>
      <x:c r="M692" s="15" t="str"/>
      <x:c r="N692" s="15" t="str">
        <x:v>reasoningStructure[1].sourceCases[0]</x:v>
      </x:c>
      <x:c r="O692" s="15" t="str">
        <x:v>structured_json</x:v>
      </x:c>
      <x:c r="P692" s="15" t="str"/>
      <x:c r="Q692" s="15" t="str">
        <x:v>applied_differently</x:v>
      </x:c>
      <x:c r="R692" s="15" t="str">
        <x:v>Highlights issues of confusion relevant to this case's context.</x:v>
      </x:c>
      <x:c r="S692" s="15" t="str"/>
    </x:row>
    <x:row r="693">
      <x:c r="A693" s="1" t="str">
        <x:v>O0692</x:v>
      </x:c>
      <x:c r="B693" s="1" t="str">
        <x:v>cmst4kl1t000h04js7g8j67zy</x:v>
      </x:c>
      <x:c r="C693" s="1" t="str">
        <x:v>cmst4gypt000204jslfhbfuuf</x:v>
      </x:c>
      <x:c r="D693" s="1" t="str">
        <x:v>skeleton-args-ca2019005474-f7265b45a4e3f0ae</x:v>
      </x:c>
      <x:c r="E693" s="1" t="str">
        <x:v>synthetic</x:v>
      </x:c>
      <x:c r="F693" s="15" t="str">
        <x:v>Heritage Brewing Company Ltd v Traditional Ales Holdings Plc</x:v>
      </x:c>
      <x:c r="G693" s="16" t="n">
        <x:v>46248.661035729165</x:v>
      </x:c>
      <x:c r="H693" s="15" t="str">
        <x:v>case</x:v>
      </x:c>
      <x:c r="I693" s="15" t="str">
        <x:v>case:2022 ewca civ 1433</x:v>
      </x:c>
      <x:c r="J693" s="15" t="str">
        <x:v>Lidl Great Britain Ltd &amp; Lidl Stiftung &amp; Co KG v Tesco Stores Ltd &amp; Tesco PLC</x:v>
      </x:c>
      <x:c r="K693" s="15" t="str">
        <x:v>[2022] EWCA Civ 1433</x:v>
      </x:c>
      <x:c r="L693" s="15" t="str">
        <x:v>b9f08a72-1e62-405b-9fe9-eaba231f1c88</x:v>
      </x:c>
      <x:c r="M693" s="15" t="str"/>
      <x:c r="N693" s="15" t="str">
        <x:v>issuesForDetermination.issueMatrix[0].sourceCases[0]</x:v>
      </x:c>
      <x:c r="O693" s="15" t="str">
        <x:v>structured_json</x:v>
      </x:c>
      <x:c r="P693" s="15" t="str"/>
      <x:c r="Q693" s="15" t="str">
        <x:v>applied_differently</x:v>
      </x:c>
      <x:c r="R693" s="15" t="str">
        <x:v>Explores the concepts of bad faith registrations directly related to trade marks.</x:v>
      </x:c>
      <x:c r="S693" s="15" t="str"/>
    </x:row>
    <x:row r="694">
      <x:c r="A694" s="1" t="str">
        <x:v>O0693</x:v>
      </x:c>
      <x:c r="B694" s="1" t="str">
        <x:v>cmst4kl1t000h04js7g8j67zy</x:v>
      </x:c>
      <x:c r="C694" s="1" t="str">
        <x:v>cmst4gypt000204jslfhbfuuf</x:v>
      </x:c>
      <x:c r="D694" s="1" t="str">
        <x:v>skeleton-args-ca2019005474-f7265b45a4e3f0ae</x:v>
      </x:c>
      <x:c r="E694" s="1" t="str">
        <x:v>synthetic</x:v>
      </x:c>
      <x:c r="F694" s="15" t="str">
        <x:v>Heritage Brewing Company Ltd v Traditional Ales Holdings Plc</x:v>
      </x:c>
      <x:c r="G694" s="16" t="n">
        <x:v>46248.661035729165</x:v>
      </x:c>
      <x:c r="H694" s="15" t="str">
        <x:v>case</x:v>
      </x:c>
      <x:c r="I694" s="15" t="str">
        <x:v>case:2016 ewca civ 41</x:v>
      </x:c>
      <x:c r="J694" s="15" t="str">
        <x:v>Comic Enterprises Ltd v Twentieth Century Fox Film Corporation</x:v>
      </x:c>
      <x:c r="K694" s="15" t="str">
        <x:v>[2016] EWCA Civ 41</x:v>
      </x:c>
      <x:c r="L694" s="15" t="str">
        <x:v>b88b59e2-6c25-4730-93fe-b134e9a5176b</x:v>
      </x:c>
      <x:c r="M694" s="15" t="str"/>
      <x:c r="N694" s="15" t="str">
        <x:v>issuesForDetermination.issueMatrix[1].sourceCases[0]</x:v>
      </x:c>
      <x:c r="O694" s="15" t="str">
        <x:v>structured_json</x:v>
      </x:c>
      <x:c r="P694" s="15" t="str"/>
      <x:c r="Q694" s="15" t="str">
        <x:v>applied_differently</x:v>
      </x:c>
      <x:c r="R694" s="15" t="str">
        <x:v>Clarifies factors influencing the likelihood of confusion applicable to this case context.</x:v>
      </x:c>
      <x:c r="S694" s="15" t="str"/>
    </x:row>
    <x:row r="695">
      <x:c r="A695" s="1" t="str">
        <x:v>O0694</x:v>
      </x:c>
      <x:c r="B695" s="1" t="str">
        <x:v>cmst7uoeu00d804l5ayb3b9q8</x:v>
      </x:c>
      <x:c r="C695" s="1" t="str">
        <x:v>cmst7mv8q00ct04l5l58ijl5a</x:v>
      </x:c>
      <x:c r="D695" s="1" t="str">
        <x:v>skeleton-args-ca2022000651-1294462417e10289</x:v>
      </x:c>
      <x:c r="E695" s="1" t="str">
        <x:v>synthetic</x:v>
      </x:c>
      <x:c r="F695" s="15" t="str">
        <x:v>Sterling Investments Ltd v Blackwood Capital Partners LLP</x:v>
      </x:c>
      <x:c r="G695" s="16" t="n">
        <x:v>46248.72480615741</x:v>
      </x:c>
      <x:c r="H695" s="15" t="str">
        <x:v>case</x:v>
      </x:c>
      <x:c r="I695" s="15" t="str">
        <x:v>case:hedley byrne &amp; co ltd v heller &amp; partners ltd 1964</x:v>
      </x:c>
      <x:c r="J695" s="15" t="str">
        <x:v>Hedley Byrne &amp; Co Ltd v Heller &amp; Partners Ltd [1964]</x:v>
      </x:c>
      <x:c r="K695" s="15" t="str">
        <x:v>Hedley Byrne &amp; Co Ltd v Heller &amp; Partners Ltd [1964]</x:v>
      </x:c>
      <x:c r="L695" s="15" t="str"/>
      <x:c r="M695" s="15" t="str"/>
      <x:c r="N695" s="15" t="str">
        <x:v>legalFramework.precedentCitations[0]</x:v>
      </x:c>
      <x:c r="O695" s="15" t="str">
        <x:v>structured_json</x:v>
      </x:c>
      <x:c r="P695" s="15" t="str">
        <x:v>binding</x:v>
      </x:c>
      <x:c r="Q695" s="15" t="str"/>
      <x:c r="R695" s="15" t="str">
        <x:v>Establishes the duty of care in providing financial advice.</x:v>
      </x:c>
      <x:c r="S695" s="15" t="str"/>
    </x:row>
    <x:row r="696">
      <x:c r="A696" s="1" t="str">
        <x:v>O0695</x:v>
      </x:c>
      <x:c r="B696" s="1" t="str">
        <x:v>cmst7uoeu00d804l5ayb3b9q8</x:v>
      </x:c>
      <x:c r="C696" s="1" t="str">
        <x:v>cmst7mv8q00ct04l5l58ijl5a</x:v>
      </x:c>
      <x:c r="D696" s="1" t="str">
        <x:v>skeleton-args-ca2022000651-1294462417e10289</x:v>
      </x:c>
      <x:c r="E696" s="1" t="str">
        <x:v>synthetic</x:v>
      </x:c>
      <x:c r="F696" s="15" t="str">
        <x:v>Sterling Investments Ltd v Blackwood Capital Partners LLP</x:v>
      </x:c>
      <x:c r="G696" s="16" t="n">
        <x:v>46248.72480615741</x:v>
      </x:c>
      <x:c r="H696" s="15" t="str">
        <x:v>case</x:v>
      </x:c>
      <x:c r="I696" s="15" t="str">
        <x:v>case:henderson v merrett syndicates ltd 1995</x:v>
      </x:c>
      <x:c r="J696" s="15" t="str">
        <x:v>Henderson v Merrett Syndicates Ltd [1995]</x:v>
      </x:c>
      <x:c r="K696" s="15" t="str">
        <x:v>Henderson v Merrett Syndicates Ltd [1995]</x:v>
      </x:c>
      <x:c r="L696" s="15" t="str"/>
      <x:c r="M696" s="15" t="str"/>
      <x:c r="N696" s="15" t="str">
        <x:v>legalFramework.precedentCitations[1]</x:v>
      </x:c>
      <x:c r="O696" s="15" t="str">
        <x:v>structured_json</x:v>
      </x:c>
      <x:c r="P696" s="15" t="str">
        <x:v>binding</x:v>
      </x:c>
      <x:c r="Q696" s="15" t="str"/>
      <x:c r="R696" s="15" t="str">
        <x:v>Outlines standards of liability for fiduciaries in investment management contexts.</x:v>
      </x:c>
      <x:c r="S696" s="15" t="str"/>
    </x:row>
    <x:row r="697">
      <x:c r="A697" s="1" t="str">
        <x:v>O0696</x:v>
      </x:c>
      <x:c r="B697" s="1" t="str">
        <x:v>cmst7uoeu00d804l5ayb3b9q8</x:v>
      </x:c>
      <x:c r="C697" s="1" t="str">
        <x:v>cmst7mv8q00ct04l5l58ijl5a</x:v>
      </x:c>
      <x:c r="D697" s="1" t="str">
        <x:v>skeleton-args-ca2022000651-1294462417e10289</x:v>
      </x:c>
      <x:c r="E697" s="1" t="str">
        <x:v>synthetic</x:v>
      </x:c>
      <x:c r="F697" s="15" t="str">
        <x:v>Sterling Investments Ltd v Blackwood Capital Partners LLP</x:v>
      </x:c>
      <x:c r="G697" s="16" t="n">
        <x:v>46248.72480615741</x:v>
      </x:c>
      <x:c r="H697" s="15" t="str">
        <x:v>case</x:v>
      </x:c>
      <x:c r="I697" s="15" t="str">
        <x:v>case:bolam v friern hospital management committee 1957</x:v>
      </x:c>
      <x:c r="J697" s="15" t="str">
        <x:v>Bolam v Friern Hospital Management Committee [1957]</x:v>
      </x:c>
      <x:c r="K697" s="15" t="str">
        <x:v>Bolam v Friern Hospital Management Committee [1957]</x:v>
      </x:c>
      <x:c r="L697" s="15" t="str"/>
      <x:c r="M697" s="15" t="str"/>
      <x:c r="N697" s="15" t="str">
        <x:v>legalFramework.precedentCitations[2]</x:v>
      </x:c>
      <x:c r="O697" s="15" t="str">
        <x:v>structured_json</x:v>
      </x:c>
      <x:c r="P697" s="15" t="str">
        <x:v>binding</x:v>
      </x:c>
      <x:c r="Q697" s="15" t="str"/>
      <x:c r="R697" s="15" t="str">
        <x:v>Standards for assessing professional negligence across various fields, including finance.</x:v>
      </x:c>
      <x:c r="S697" s="15" t="str"/>
    </x:row>
    <x:row r="698">
      <x:c r="A698" s="1" t="str">
        <x:v>O0697</x:v>
      </x:c>
      <x:c r="B698" s="1" t="str">
        <x:v>cmst7uoeu00d804l5ayb3b9q8</x:v>
      </x:c>
      <x:c r="C698" s="1" t="str">
        <x:v>cmst7mv8q00ct04l5l58ijl5a</x:v>
      </x:c>
      <x:c r="D698" s="1" t="str">
        <x:v>skeleton-args-ca2022000651-1294462417e10289</x:v>
      </x:c>
      <x:c r="E698" s="1" t="str">
        <x:v>synthetic</x:v>
      </x:c>
      <x:c r="F698" s="15" t="str">
        <x:v>Sterling Investments Ltd v Blackwood Capital Partners LLP</x:v>
      </x:c>
      <x:c r="G698" s="16" t="n">
        <x:v>46248.72480615741</x:v>
      </x:c>
      <x:c r="H698" s="15" t="str">
        <x:v>case</x:v>
      </x:c>
      <x:c r="I698" s="15" t="str">
        <x:v>case:2000 1 wlr 377</x:v>
      </x:c>
      <x:c r="J698" s="15" t="str">
        <x:v>Flannery v Halifax Estate Agencies Ltd [2000] 1 WLR 377</x:v>
      </x:c>
      <x:c r="K698" s="15" t="str">
        <x:v>Flannery v Halifax Estate Agencies Ltd [2000] 1 WLR 377</x:v>
      </x:c>
      <x:c r="L698" s="15" t="str"/>
      <x:c r="M698" s="15" t="str"/>
      <x:c r="N698" s="15" t="str">
        <x:v>legalFramework.precedentCitations[3]</x:v>
      </x:c>
      <x:c r="O698" s="15" t="str">
        <x:v>structured_json</x:v>
      </x:c>
      <x:c r="P698" s="15" t="str">
        <x:v>binding</x:v>
      </x:c>
      <x:c r="Q698" s="15" t="str"/>
      <x:c r="R698" s="15" t="str">
        <x:v>Affirms that sufficient reasoning must accompany claims and defenses.</x:v>
      </x:c>
      <x:c r="S698" s="15" t="str"/>
    </x:row>
    <x:row r="699">
      <x:c r="A699" s="1" t="str">
        <x:v>O0698</x:v>
      </x:c>
      <x:c r="B699" s="1" t="str">
        <x:v>cmst7uoeu00d804l5ayb3b9q8</x:v>
      </x:c>
      <x:c r="C699" s="1" t="str">
        <x:v>cmst7mv8q00ct04l5l58ijl5a</x:v>
      </x:c>
      <x:c r="D699" s="1" t="str">
        <x:v>skeleton-args-ca2022000651-1294462417e10289</x:v>
      </x:c>
      <x:c r="E699" s="1" t="str">
        <x:v>synthetic</x:v>
      </x:c>
      <x:c r="F699" s="15" t="str">
        <x:v>Sterling Investments Ltd v Blackwood Capital Partners LLP</x:v>
      </x:c>
      <x:c r="G699" s="16" t="n">
        <x:v>46248.72480615741</x:v>
      </x:c>
      <x:c r="H699" s="15" t="str">
        <x:v>legislation</x:v>
      </x:c>
      <x:c r="I699" s="15" t="str">
        <x:v>legislation:financial services and markets act 2000 138d</x:v>
      </x:c>
      <x:c r="J699" s="15" t="str">
        <x:v>Financial Services and Markets Act 2000</x:v>
      </x:c>
      <x:c r="K699" s="15" t="str">
        <x:v>Financial Services and Markets Act 2000 138D</x:v>
      </x:c>
      <x:c r="L699" s="15" t="str"/>
      <x:c r="M699" s="15" t="str">
        <x:v>138D</x:v>
      </x:c>
      <x:c r="N699" s="15" t="str">
        <x:v>legalFramework.statutoryProvisions[0]</x:v>
      </x:c>
      <x:c r="O699" s="15" t="str">
        <x:v>structured_json</x:v>
      </x:c>
      <x:c r="P699" s="15" t="str"/>
      <x:c r="Q699" s="15" t="str"/>
      <x:c r="R699" s="15" t="str">
        <x:v>Details the obligations and care required of financial services providers.</x:v>
      </x:c>
      <x:c r="S699" s="15" t="str"/>
    </x:row>
    <x:row r="700">
      <x:c r="A700" s="1" t="str">
        <x:v>O0699</x:v>
      </x:c>
      <x:c r="B700" s="1" t="str">
        <x:v>cmst7uoeu00d804l5ayb3b9q8</x:v>
      </x:c>
      <x:c r="C700" s="1" t="str">
        <x:v>cmst7mv8q00ct04l5l58ijl5a</x:v>
      </x:c>
      <x:c r="D700" s="1" t="str">
        <x:v>skeleton-args-ca2022000651-1294462417e10289</x:v>
      </x:c>
      <x:c r="E700" s="1" t="str">
        <x:v>synthetic</x:v>
      </x:c>
      <x:c r="F700" s="15" t="str">
        <x:v>Sterling Investments Ltd v Blackwood Capital Partners LLP</x:v>
      </x:c>
      <x:c r="G700" s="16" t="n">
        <x:v>46248.72480615741</x:v>
      </x:c>
      <x:c r="H700" s="15" t="str">
        <x:v>legislation</x:v>
      </x:c>
      <x:c r="I700" s="15" t="str">
        <x:v>legislation:senior courts act 1981 35a</x:v>
      </x:c>
      <x:c r="J700" s="15" t="str">
        <x:v>Senior Courts Act 1981</x:v>
      </x:c>
      <x:c r="K700" s="15" t="str">
        <x:v>Senior Courts Act 1981 35A</x:v>
      </x:c>
      <x:c r="L700" s="15" t="str"/>
      <x:c r="M700" s="15" t="str">
        <x:v>35A</x:v>
      </x:c>
      <x:c r="N700" s="15" t="str">
        <x:v>legalFramework.statutoryProvisions[1]</x:v>
      </x:c>
      <x:c r="O700" s="15" t="str">
        <x:v>structured_json</x:v>
      </x:c>
      <x:c r="P700" s="15" t="str"/>
      <x:c r="Q700" s="15" t="str"/>
      <x:c r="R700" s="15" t="str">
        <x:v>Concerns the procedural aspects of claiming interest on damages awarded.</x:v>
      </x:c>
      <x:c r="S700" s="15" t="str"/>
    </x:row>
    <x:row r="701">
      <x:c r="A701" s="1" t="str">
        <x:v>O0700</x:v>
      </x:c>
      <x:c r="B701" s="1" t="str">
        <x:v>cmst7uoeu00d804l5ayb3b9q8</x:v>
      </x:c>
      <x:c r="C701" s="1" t="str">
        <x:v>cmst7mv8q00ct04l5l58ijl5a</x:v>
      </x:c>
      <x:c r="D701" s="1" t="str">
        <x:v>skeleton-args-ca2022000651-1294462417e10289</x:v>
      </x:c>
      <x:c r="E701" s="1" t="str">
        <x:v>synthetic</x:v>
      </x:c>
      <x:c r="F701" s="15" t="str">
        <x:v>Sterling Investments Ltd v Blackwood Capital Partners LLP</x:v>
      </x:c>
      <x:c r="G701" s="16" t="n">
        <x:v>46248.72480615741</x:v>
      </x:c>
      <x:c r="H701" s="15" t="str">
        <x:v>legislation</x:v>
      </x:c>
      <x:c r="I701" s="15" t="str">
        <x:v>legislation:senior courts act 1981 35a</x:v>
      </x:c>
      <x:c r="J701" s="15" t="str">
        <x:v>Senior Courts Act 1981</x:v>
      </x:c>
      <x:c r="K701" s="15" t="str">
        <x:v>Senior Courts Act 1981 35A</x:v>
      </x:c>
      <x:c r="L701" s="15" t="str"/>
      <x:c r="M701" s="15" t="str">
        <x:v>35A</x:v>
      </x:c>
      <x:c r="N701" s="15" t="str">
        <x:v>legalFramework.statutoryProvisions[2]</x:v>
      </x:c>
      <x:c r="O701" s="15" t="str">
        <x:v>structured_json</x:v>
      </x:c>
      <x:c r="P701" s="15" t="str"/>
      <x:c r="Q701" s="15" t="str"/>
      <x:c r="R701" s="15" t="str">
        <x:v>Procedural rights in civil proceedings.</x:v>
      </x:c>
      <x:c r="S701" s="15" t="str"/>
    </x:row>
    <x:row r="702">
      <x:c r="A702" s="1" t="str">
        <x:v>O0701</x:v>
      </x:c>
      <x:c r="B702" s="1" t="str">
        <x:v>cmst7uoeu00d804l5ayb3b9q8</x:v>
      </x:c>
      <x:c r="C702" s="1" t="str">
        <x:v>cmst7mv8q00ct04l5l58ijl5a</x:v>
      </x:c>
      <x:c r="D702" s="1" t="str">
        <x:v>skeleton-args-ca2022000651-1294462417e10289</x:v>
      </x:c>
      <x:c r="E702" s="1" t="str">
        <x:v>synthetic</x:v>
      </x:c>
      <x:c r="F702" s="15" t="str">
        <x:v>Sterling Investments Ltd v Blackwood Capital Partners LLP</x:v>
      </x:c>
      <x:c r="G702" s="16" t="n">
        <x:v>46248.72480615741</x:v>
      </x:c>
      <x:c r="H702" s="15" t="str">
        <x:v>legislation</x:v>
      </x:c>
      <x:c r="I702" s="15" t="str">
        <x:v>legislation:senior courts act 1981 s 35a</x:v>
      </x:c>
      <x:c r="J702" s="15" t="str">
        <x:v>Senior Courts Act 1981, s.35A</x:v>
      </x:c>
      <x:c r="K702" s="15" t="str">
        <x:v>Senior Courts Act 1981, s.35A</x:v>
      </x:c>
      <x:c r="L702" s="15" t="str"/>
      <x:c r="M702" s="15" t="str"/>
      <x:c r="N702" s="15" t="str">
        <x:v>decisionAndDisposition.interest.statutoryBasis</x:v>
      </x:c>
      <x:c r="O702" s="15" t="str">
        <x:v>structured_json</x:v>
      </x:c>
      <x:c r="P702" s="15" t="str"/>
      <x:c r="Q702" s="15" t="str"/>
      <x:c r="R702" s="15" t="str"/>
      <x:c r="S702" s="15" t="str"/>
    </x:row>
    <x:row r="703">
      <x:c r="A703" s="1" t="str">
        <x:v>O0702</x:v>
      </x:c>
      <x:c r="B703" s="1" t="str">
        <x:v>cmst7uoeu00d804l5ayb3b9q8</x:v>
      </x:c>
      <x:c r="C703" s="1" t="str">
        <x:v>cmst7mv8q00ct04l5l58ijl5a</x:v>
      </x:c>
      <x:c r="D703" s="1" t="str">
        <x:v>skeleton-args-ca2022000651-1294462417e10289</x:v>
      </x:c>
      <x:c r="E703" s="1" t="str">
        <x:v>synthetic</x:v>
      </x:c>
      <x:c r="F703" s="15" t="str">
        <x:v>Sterling Investments Ltd v Blackwood Capital Partners LLP</x:v>
      </x:c>
      <x:c r="G703" s="16" t="n">
        <x:v>46248.72480615741</x:v>
      </x:c>
      <x:c r="H703" s="15" t="str">
        <x:v>case</x:v>
      </x:c>
      <x:c r="I703" s="15" t="str">
        <x:v>case:2023 ewca civ 440</x:v>
      </x:c>
      <x:c r="J703" s="15" t="str">
        <x:v>Floreat Investment Management Ltd v Churchill &amp; Ors</x:v>
      </x:c>
      <x:c r="K703" s="15" t="str">
        <x:v>[2023] EWCA Civ 440</x:v>
      </x:c>
      <x:c r="L703" s="15" t="str">
        <x:v>cfb9db03-44c0-4604-926a-a76e01575d88</x:v>
      </x:c>
      <x:c r="M703" s="15" t="str"/>
      <x:c r="N703" s="15" t="str">
        <x:v>factualFindings.chronology[1].sourceCases[0]</x:v>
      </x:c>
      <x:c r="O703" s="15" t="str">
        <x:v>structured_json</x:v>
      </x:c>
      <x:c r="P703" s="15" t="str"/>
      <x:c r="Q703" s="15" t="str">
        <x:v>distinguished</x:v>
      </x:c>
      <x:c r="R703" s="15" t="str">
        <x:v>Involves similar issues of risk concentration and investment management standards.</x:v>
      </x:c>
      <x:c r="S703" s="15" t="str"/>
    </x:row>
    <x:row r="704">
      <x:c r="A704" s="1" t="str">
        <x:v>O0703</x:v>
      </x:c>
      <x:c r="B704" s="1" t="str">
        <x:v>cmst7uoeu00d804l5ayb3b9q8</x:v>
      </x:c>
      <x:c r="C704" s="1" t="str">
        <x:v>cmst7mv8q00ct04l5l58ijl5a</x:v>
      </x:c>
      <x:c r="D704" s="1" t="str">
        <x:v>skeleton-args-ca2022000651-1294462417e10289</x:v>
      </x:c>
      <x:c r="E704" s="1" t="str">
        <x:v>synthetic</x:v>
      </x:c>
      <x:c r="F704" s="15" t="str">
        <x:v>Sterling Investments Ltd v Blackwood Capital Partners LLP</x:v>
      </x:c>
      <x:c r="G704" s="16" t="n">
        <x:v>46248.72480615741</x:v>
      </x:c>
      <x:c r="H704" s="15" t="str">
        <x:v>case</x:v>
      </x:c>
      <x:c r="I704" s="15" t="str">
        <x:v>case:2022 ewca civ 353</x:v>
      </x:c>
      <x:c r="J704" s="15" t="str">
        <x:v>Allianz Global Investors GmbH &amp; Ors v Barclays Bank Plc &amp; Ors (Rev1)</x:v>
      </x:c>
      <x:c r="K704" s="15" t="str">
        <x:v>[2022] EWCA Civ 353</x:v>
      </x:c>
      <x:c r="L704" s="15" t="str">
        <x:v>dbcf0178-be49-4907-95d1-ab35a968b855</x:v>
      </x:c>
      <x:c r="M704" s="15" t="str"/>
      <x:c r="N704" s="15" t="str">
        <x:v>factualFindings.contestedFacts[0].sourceCases[0]</x:v>
      </x:c>
      <x:c r="O704" s="15" t="str">
        <x:v>structured_json</x:v>
      </x:c>
      <x:c r="P704" s="15" t="str"/>
      <x:c r="Q704" s="15" t="str">
        <x:v>applied_differently</x:v>
      </x:c>
      <x:c r="R704" s="15" t="str">
        <x:v>Addresses investment discretion within fiduciary contexts in a financial services setting.</x:v>
      </x:c>
      <x:c r="S704" s="15" t="str"/>
    </x:row>
    <x:row r="705">
      <x:c r="A705" s="1" t="str">
        <x:v>O0704</x:v>
      </x:c>
      <x:c r="B705" s="1" t="str">
        <x:v>cmst7uoeu00d804l5ayb3b9q8</x:v>
      </x:c>
      <x:c r="C705" s="1" t="str">
        <x:v>cmst7mv8q00ct04l5l58ijl5a</x:v>
      </x:c>
      <x:c r="D705" s="1" t="str">
        <x:v>skeleton-args-ca2022000651-1294462417e10289</x:v>
      </x:c>
      <x:c r="E705" s="1" t="str">
        <x:v>synthetic</x:v>
      </x:c>
      <x:c r="F705" s="15" t="str">
        <x:v>Sterling Investments Ltd v Blackwood Capital Partners LLP</x:v>
      </x:c>
      <x:c r="G705" s="16" t="n">
        <x:v>46248.72480615741</x:v>
      </x:c>
      <x:c r="H705" s="15" t="str">
        <x:v>case</x:v>
      </x:c>
      <x:c r="I705" s="15" t="str">
        <x:v>case:the financial conduct authority v capital alternatives ltd &amp; ors</x:v>
      </x:c>
      <x:c r="J705" s="15" t="str">
        <x:v>The Financial Conduct Authority v Capital Alternatives Ltd &amp; Ors</x:v>
      </x:c>
      <x:c r="K705" s="15" t="str"/>
      <x:c r="L705" s="15" t="str">
        <x:v>e3367bf1-963c-47c9-aea9-8dc4a1dc25bc</x:v>
      </x:c>
      <x:c r="M705" s="15" t="str"/>
      <x:c r="N705" s="15" t="str">
        <x:v>factualFindings.contestedFacts[1].sourceCases[0]</x:v>
      </x:c>
      <x:c r="O705" s="15" t="str">
        <x:v>structured_json</x:v>
      </x:c>
      <x:c r="P705" s="15" t="str"/>
      <x:c r="Q705" s="15" t="str">
        <x:v>same_proposition</x:v>
      </x:c>
      <x:c r="R705" s="15" t="str">
        <x:v>Establishes importance of documentation in fiduciary duties.</x:v>
      </x:c>
      <x:c r="S705" s="15" t="str"/>
    </x:row>
    <x:row r="706">
      <x:c r="A706" s="1" t="str">
        <x:v>O0705</x:v>
      </x:c>
      <x:c r="B706" s="1" t="str">
        <x:v>cmst7uoeu00d804l5ayb3b9q8</x:v>
      </x:c>
      <x:c r="C706" s="1" t="str">
        <x:v>cmst7mv8q00ct04l5l58ijl5a</x:v>
      </x:c>
      <x:c r="D706" s="1" t="str">
        <x:v>skeleton-args-ca2022000651-1294462417e10289</x:v>
      </x:c>
      <x:c r="E706" s="1" t="str">
        <x:v>synthetic</x:v>
      </x:c>
      <x:c r="F706" s="15" t="str">
        <x:v>Sterling Investments Ltd v Blackwood Capital Partners LLP</x:v>
      </x:c>
      <x:c r="G706" s="16" t="n">
        <x:v>46248.72480615741</x:v>
      </x:c>
      <x:c r="H706" s="15" t="str">
        <x:v>case</x:v>
      </x:c>
      <x:c r="I706" s="15" t="str">
        <x:v>case:2023 ewca civ 440</x:v>
      </x:c>
      <x:c r="J706" s="15" t="str">
        <x:v>Floreat Investment Management Ltd v Churchill &amp; Ors</x:v>
      </x:c>
      <x:c r="K706" s="15" t="str">
        <x:v>[2023] EWCA Civ 440</x:v>
      </x:c>
      <x:c r="L706" s="15" t="str">
        <x:v>cfb9db03-44c0-4604-926a-a76e01575d88</x:v>
      </x:c>
      <x:c r="M706" s="15" t="str"/>
      <x:c r="N706" s="15" t="str">
        <x:v>reasoningStructure[0].sourceCases[0]</x:v>
      </x:c>
      <x:c r="O706" s="15" t="str">
        <x:v>structured_json</x:v>
      </x:c>
      <x:c r="P706" s="15" t="str"/>
      <x:c r="Q706" s="15" t="str">
        <x:v>applied_differently</x:v>
      </x:c>
      <x:c r="R706" s="15" t="str">
        <x:v>Identifies how risk concentrations can breach fiduciary duties.</x:v>
      </x:c>
      <x:c r="S706" s="15" t="str"/>
    </x:row>
    <x:row r="707">
      <x:c r="A707" s="1" t="str">
        <x:v>O0706</x:v>
      </x:c>
      <x:c r="B707" s="1" t="str">
        <x:v>cmst7uoeu00d804l5ayb3b9q8</x:v>
      </x:c>
      <x:c r="C707" s="1" t="str">
        <x:v>cmst7mv8q00ct04l5l58ijl5a</x:v>
      </x:c>
      <x:c r="D707" s="1" t="str">
        <x:v>skeleton-args-ca2022000651-1294462417e10289</x:v>
      </x:c>
      <x:c r="E707" s="1" t="str">
        <x:v>synthetic</x:v>
      </x:c>
      <x:c r="F707" s="15" t="str">
        <x:v>Sterling Investments Ltd v Blackwood Capital Partners LLP</x:v>
      </x:c>
      <x:c r="G707" s="16" t="n">
        <x:v>46248.72480615741</x:v>
      </x:c>
      <x:c r="H707" s="15" t="str">
        <x:v>case</x:v>
      </x:c>
      <x:c r="I707" s="15" t="str">
        <x:v>case:the financial conduct authority v capital alternatives ltd &amp; ors</x:v>
      </x:c>
      <x:c r="J707" s="15" t="str">
        <x:v>The Financial Conduct Authority v Capital Alternatives Ltd &amp; Ors</x:v>
      </x:c>
      <x:c r="K707" s="15" t="str"/>
      <x:c r="L707" s="15" t="str">
        <x:v>e3367bf1-963c-47c9-aea9-8dc4a1dc25bc</x:v>
      </x:c>
      <x:c r="M707" s="15" t="str"/>
      <x:c r="N707" s="15" t="str">
        <x:v>reasoningStructure[1].sourceCases[0]</x:v>
      </x:c>
      <x:c r="O707" s="15" t="str">
        <x:v>structured_json</x:v>
      </x:c>
      <x:c r="P707" s="15" t="str"/>
      <x:c r="Q707" s="15" t="str">
        <x:v>same_proposition</x:v>
      </x:c>
      <x:c r="R707" s="15" t="str">
        <x:v>Directly addresses the necessity for adequate documentation and transparency in fiduciary contexts.</x:v>
      </x:c>
      <x:c r="S707" s="15" t="str"/>
    </x:row>
    <x:row r="708">
      <x:c r="A708" s="1" t="str">
        <x:v>O0707</x:v>
      </x:c>
      <x:c r="B708" s="1" t="str">
        <x:v>cmst7uoeu00d804l5ayb3b9q8</x:v>
      </x:c>
      <x:c r="C708" s="1" t="str">
        <x:v>cmst7mv8q00ct04l5l58ijl5a</x:v>
      </x:c>
      <x:c r="D708" s="1" t="str">
        <x:v>skeleton-args-ca2022000651-1294462417e10289</x:v>
      </x:c>
      <x:c r="E708" s="1" t="str">
        <x:v>synthetic</x:v>
      </x:c>
      <x:c r="F708" s="15" t="str">
        <x:v>Sterling Investments Ltd v Blackwood Capital Partners LLP</x:v>
      </x:c>
      <x:c r="G708" s="16" t="n">
        <x:v>46248.72480615741</x:v>
      </x:c>
      <x:c r="H708" s="15" t="str">
        <x:v>case</x:v>
      </x:c>
      <x:c r="I708" s="15" t="str">
        <x:v>case:2023 ewca civ 440</x:v>
      </x:c>
      <x:c r="J708" s="15" t="str">
        <x:v>Floreat Investment Management Ltd v Churchill &amp; Ors</x:v>
      </x:c>
      <x:c r="K708" s="15" t="str">
        <x:v>[2023] EWCA Civ 440</x:v>
      </x:c>
      <x:c r="L708" s="15" t="str">
        <x:v>cfb9db03-44c0-4604-926a-a76e01575d88</x:v>
      </x:c>
      <x:c r="M708" s="15" t="str"/>
      <x:c r="N708" s="15" t="str">
        <x:v>issuesForDetermination.issueMatrix[0].sourceCases[0]</x:v>
      </x:c>
      <x:c r="O708" s="15" t="str">
        <x:v>structured_json</x:v>
      </x:c>
      <x:c r="P708" s="15" t="str"/>
      <x:c r="Q708" s="15" t="str">
        <x:v>applied_differently</x:v>
      </x:c>
      <x:c r="R708" s="15" t="str">
        <x:v>Relevant for evaluating fiduciary responsibilities and investment strategies during varying market conditions.</x:v>
      </x:c>
      <x:c r="S708" s="15" t="str"/>
    </x:row>
    <x:row r="709">
      <x:c r="A709" s="1" t="str">
        <x:v>O0708</x:v>
      </x:c>
      <x:c r="B709" s="1" t="str">
        <x:v>cmst7uoeu00d804l5ayb3b9q8</x:v>
      </x:c>
      <x:c r="C709" s="1" t="str">
        <x:v>cmst7mv8q00ct04l5l58ijl5a</x:v>
      </x:c>
      <x:c r="D709" s="1" t="str">
        <x:v>skeleton-args-ca2022000651-1294462417e10289</x:v>
      </x:c>
      <x:c r="E709" s="1" t="str">
        <x:v>synthetic</x:v>
      </x:c>
      <x:c r="F709" s="15" t="str">
        <x:v>Sterling Investments Ltd v Blackwood Capital Partners LLP</x:v>
      </x:c>
      <x:c r="G709" s="16" t="n">
        <x:v>46248.72480615741</x:v>
      </x:c>
      <x:c r="H709" s="15" t="str">
        <x:v>case</x:v>
      </x:c>
      <x:c r="I709" s="15" t="str">
        <x:v>case:the financial conduct authority v capital alternatives ltd &amp; ors</x:v>
      </x:c>
      <x:c r="J709" s="15" t="str">
        <x:v>The Financial Conduct Authority v Capital Alternatives Ltd &amp; Ors</x:v>
      </x:c>
      <x:c r="K709" s="15" t="str"/>
      <x:c r="L709" s="15" t="str">
        <x:v>e3367bf1-963c-47c9-aea9-8dc4a1dc25bc</x:v>
      </x:c>
      <x:c r="M709" s="15" t="str"/>
      <x:c r="N709" s="15" t="str">
        <x:v>issuesForDetermination.issueMatrix[1].sourceCases[0]</x:v>
      </x:c>
      <x:c r="O709" s="15" t="str">
        <x:v>structured_json</x:v>
      </x:c>
      <x:c r="P709" s="15" t="str"/>
      <x:c r="Q709" s="15" t="str">
        <x:v>same_proposition</x:v>
      </x:c>
      <x:c r="R709" s="15" t="str">
        <x:v>Similar context regarding documentation and fiduciary duty standards.</x:v>
      </x:c>
      <x:c r="S709" s="15" t="str"/>
    </x:row>
    <x:row r="710">
      <x:c r="A710" s="1" t="str">
        <x:v>O0709</x:v>
      </x:c>
      <x:c r="B710" s="1" t="str">
        <x:v>cmst80ckg000h04i9rasplurj</x:v>
      </x:c>
      <x:c r="C710" s="1" t="str">
        <x:v>cmst7xl0r000204i9bv14oc5k</x:v>
      </x:c>
      <x:c r="D710" s="1" t="str">
        <x:v>skeleton-args-ca2022004921-cb64a3102cee5019</x:v>
      </x:c>
      <x:c r="E710" s="1" t="str">
        <x:v>synthetic</x:v>
      </x:c>
      <x:c r="F710" s="15" t="str">
        <x:v>Thompson v Clearview Credit Services Ltd</x:v>
      </x:c>
      <x:c r="G710" s="16" t="n">
        <x:v>46248.727868483795</x:v>
      </x:c>
      <x:c r="H710" s="15" t="str">
        <x:v>case</x:v>
      </x:c>
      <x:c r="I710" s="15" t="str">
        <x:v>case:2002 ewca civ 605</x:v>
      </x:c>
      <x:c r="J710" s="15" t="str">
        <x:v>[2002] EWCA Civ 605</x:v>
      </x:c>
      <x:c r="K710" s="15" t="str">
        <x:v>[2002] EWCA Civ 605</x:v>
      </x:c>
      <x:c r="L710" s="15" t="str"/>
      <x:c r="M710" s="15" t="str"/>
      <x:c r="N710" s="15" t="str">
        <x:v>legalFramework.precedentCitations[0]</x:v>
      </x:c>
      <x:c r="O710" s="15" t="str">
        <x:v>structured_json</x:v>
      </x:c>
      <x:c r="P710" s="15" t="str">
        <x:v>binding</x:v>
      </x:c>
      <x:c r="Q710" s="15" t="str"/>
      <x:c r="R710" s="15" t="str">
        <x:v>A judgment must provide adequate reasoning behind findings to meet standards of legal accountability.</x:v>
      </x:c>
      <x:c r="S710" s="15" t="str"/>
    </x:row>
    <x:row r="711">
      <x:c r="A711" s="1" t="str">
        <x:v>O0710</x:v>
      </x:c>
      <x:c r="B711" s="1" t="str">
        <x:v>cmst80ckg000h04i9rasplurj</x:v>
      </x:c>
      <x:c r="C711" s="1" t="str">
        <x:v>cmst7xl0r000204i9bv14oc5k</x:v>
      </x:c>
      <x:c r="D711" s="1" t="str">
        <x:v>skeleton-args-ca2022004921-cb64a3102cee5019</x:v>
      </x:c>
      <x:c r="E711" s="1" t="str">
        <x:v>synthetic</x:v>
      </x:c>
      <x:c r="F711" s="15" t="str">
        <x:v>Thompson v Clearview Credit Services Ltd</x:v>
      </x:c>
      <x:c r="G711" s="16" t="n">
        <x:v>46248.727868483795</x:v>
      </x:c>
      <x:c r="H711" s="15" t="str">
        <x:v>other</x:v>
      </x:c>
      <x:c r="I711" s="15" t="str">
        <x:v>other:2000 1 wlr 377</x:v>
      </x:c>
      <x:c r="J711" s="15" t="str">
        <x:v>[2000] 1 WLR 377</x:v>
      </x:c>
      <x:c r="K711" s="15" t="str">
        <x:v>[2000] 1 WLR 377</x:v>
      </x:c>
      <x:c r="L711" s="15" t="str"/>
      <x:c r="M711" s="15" t="str"/>
      <x:c r="N711" s="15" t="str">
        <x:v>legalFramework.precedentCitations[1]</x:v>
      </x:c>
      <x:c r="O711" s="15" t="str">
        <x:v>structured_json</x:v>
      </x:c>
      <x:c r="P711" s="15" t="str">
        <x:v>binding</x:v>
      </x:c>
      <x:c r="Q711" s="15" t="str"/>
      <x:c r="R711" s="15" t="str">
        <x:v>Parties to an action are entitled to reasons behind judicial decisions affecting their rights.</x:v>
      </x:c>
      <x:c r="S711" s="15" t="str"/>
    </x:row>
    <x:row r="712">
      <x:c r="A712" s="1" t="str">
        <x:v>O0711</x:v>
      </x:c>
      <x:c r="B712" s="1" t="str">
        <x:v>cmst80ckg000h04i9rasplurj</x:v>
      </x:c>
      <x:c r="C712" s="1" t="str">
        <x:v>cmst7xl0r000204i9bv14oc5k</x:v>
      </x:c>
      <x:c r="D712" s="1" t="str">
        <x:v>skeleton-args-ca2022004921-cb64a3102cee5019</x:v>
      </x:c>
      <x:c r="E712" s="1" t="str">
        <x:v>synthetic</x:v>
      </x:c>
      <x:c r="F712" s="15" t="str">
        <x:v>Thompson v Clearview Credit Services Ltd</x:v>
      </x:c>
      <x:c r="G712" s="16" t="n">
        <x:v>46248.727868483795</x:v>
      </x:c>
      <x:c r="H712" s="15" t="str">
        <x:v>legislation</x:v>
      </x:c>
      <x:c r="I712" s="15" t="str">
        <x:v>legislation:data protection act 2018 5 1 d</x:v>
      </x:c>
      <x:c r="J712" s="15" t="str">
        <x:v>Data Protection Act 2018</x:v>
      </x:c>
      <x:c r="K712" s="15" t="str">
        <x:v>Data Protection Act 2018 5(1)(d)</x:v>
      </x:c>
      <x:c r="L712" s="15" t="str"/>
      <x:c r="M712" s="15" t="str">
        <x:v>5(1)(d)</x:v>
      </x:c>
      <x:c r="N712" s="15" t="str">
        <x:v>legalFramework.statutoryProvisions[0]</x:v>
      </x:c>
      <x:c r="O712" s="15" t="str">
        <x:v>structured_json</x:v>
      </x:c>
      <x:c r="P712" s="15" t="str"/>
      <x:c r="Q712" s="15" t="str"/>
      <x:c r="R712" s="15" t="str">
        <x:v>Mandates the accuracy of data processing practices by data controllers.</x:v>
      </x:c>
      <x:c r="S712" s="15" t="str"/>
    </x:row>
    <x:row r="713">
      <x:c r="A713" s="1" t="str">
        <x:v>O0712</x:v>
      </x:c>
      <x:c r="B713" s="1" t="str">
        <x:v>cmst80ckg000h04i9rasplurj</x:v>
      </x:c>
      <x:c r="C713" s="1" t="str">
        <x:v>cmst7xl0r000204i9bv14oc5k</x:v>
      </x:c>
      <x:c r="D713" s="1" t="str">
        <x:v>skeleton-args-ca2022004921-cb64a3102cee5019</x:v>
      </x:c>
      <x:c r="E713" s="1" t="str">
        <x:v>synthetic</x:v>
      </x:c>
      <x:c r="F713" s="15" t="str">
        <x:v>Thompson v Clearview Credit Services Ltd</x:v>
      </x:c>
      <x:c r="G713" s="16" t="n">
        <x:v>46248.727868483795</x:v>
      </x:c>
      <x:c r="H713" s="15" t="str">
        <x:v>legislation</x:v>
      </x:c>
      <x:c r="I713" s="15" t="str">
        <x:v>legislation:senior courts act 1981 s 35a</x:v>
      </x:c>
      <x:c r="J713" s="15" t="str">
        <x:v>Senior Courts Act 1981</x:v>
      </x:c>
      <x:c r="K713" s="15" t="str">
        <x:v>Senior Courts Act 1981 s.35A</x:v>
      </x:c>
      <x:c r="L713" s="15" t="str"/>
      <x:c r="M713" s="15" t="str">
        <x:v>s.35A</x:v>
      </x:c>
      <x:c r="N713" s="15" t="str">
        <x:v>legalFramework.statutoryProvisions[1]</x:v>
      </x:c>
      <x:c r="O713" s="15" t="str">
        <x:v>structured_json</x:v>
      </x:c>
      <x:c r="P713" s="15" t="str"/>
      <x:c r="Q713" s="15" t="str"/>
      <x:c r="R713" s="15" t="str">
        <x:v>Pertains to the entitlement of interest on money judgments.</x:v>
      </x:c>
      <x:c r="S713" s="15" t="str"/>
    </x:row>
    <x:row r="714">
      <x:c r="A714" s="1" t="str">
        <x:v>O0713</x:v>
      </x:c>
      <x:c r="B714" s="1" t="str">
        <x:v>cmst80ckg000h04i9rasplurj</x:v>
      </x:c>
      <x:c r="C714" s="1" t="str">
        <x:v>cmst7xl0r000204i9bv14oc5k</x:v>
      </x:c>
      <x:c r="D714" s="1" t="str">
        <x:v>skeleton-args-ca2022004921-cb64a3102cee5019</x:v>
      </x:c>
      <x:c r="E714" s="1" t="str">
        <x:v>synthetic</x:v>
      </x:c>
      <x:c r="F714" s="15" t="str">
        <x:v>Thompson v Clearview Credit Services Ltd</x:v>
      </x:c>
      <x:c r="G714" s="16" t="n">
        <x:v>46248.727868483795</x:v>
      </x:c>
      <x:c r="H714" s="15" t="str">
        <x:v>legislation</x:v>
      </x:c>
      <x:c r="I714" s="15" t="str">
        <x:v>legislation:senior courts act 1981 s 35a</x:v>
      </x:c>
      <x:c r="J714" s="15" t="str">
        <x:v>Senior Courts Act 1981, s.35A</x:v>
      </x:c>
      <x:c r="K714" s="15" t="str">
        <x:v>Senior Courts Act 1981, s.35A</x:v>
      </x:c>
      <x:c r="L714" s="15" t="str"/>
      <x:c r="M714" s="15" t="str"/>
      <x:c r="N714" s="15" t="str">
        <x:v>decisionAndDisposition.interest.statutoryBasis</x:v>
      </x:c>
      <x:c r="O714" s="15" t="str">
        <x:v>structured_json</x:v>
      </x:c>
      <x:c r="P714" s="15" t="str"/>
      <x:c r="Q714" s="15" t="str"/>
      <x:c r="R714" s="15" t="str"/>
      <x:c r="S714" s="15" t="str"/>
    </x:row>
    <x:row r="715">
      <x:c r="A715" s="1" t="str">
        <x:v>O0714</x:v>
      </x:c>
      <x:c r="B715" s="1" t="str">
        <x:v>cmst80ckg000h04i9rasplurj</x:v>
      </x:c>
      <x:c r="C715" s="1" t="str">
        <x:v>cmst7xl0r000204i9bv14oc5k</x:v>
      </x:c>
      <x:c r="D715" s="1" t="str">
        <x:v>skeleton-args-ca2022004921-cb64a3102cee5019</x:v>
      </x:c>
      <x:c r="E715" s="1" t="str">
        <x:v>synthetic</x:v>
      </x:c>
      <x:c r="F715" s="15" t="str">
        <x:v>Thompson v Clearview Credit Services Ltd</x:v>
      </x:c>
      <x:c r="G715" s="16" t="n">
        <x:v>46248.727868483795</x:v>
      </x:c>
      <x:c r="H715" s="15" t="str">
        <x:v>legislation</x:v>
      </x:c>
      <x:c r="I715" s="15" t="str">
        <x:v>legislation:pursuant to the data protection act 2018</x:v>
      </x:c>
      <x:c r="J715" s="15" t="str">
        <x:v>Pursuant to the Data Protection Act 2018.</x:v>
      </x:c>
      <x:c r="K715" s="15" t="str">
        <x:v>Pursuant to the Data Protection Act 2018.</x:v>
      </x:c>
      <x:c r="L715" s="15" t="str"/>
      <x:c r="M715" s="15" t="str"/>
      <x:c r="N715" s="15" t="str">
        <x:v>legalFramework.legalTestSummaries[0].sourceAuthority</x:v>
      </x:c>
      <x:c r="O715" s="15" t="str">
        <x:v>structured_json</x:v>
      </x:c>
      <x:c r="P715" s="15" t="str"/>
      <x:c r="Q715" s="15" t="str"/>
      <x:c r="R715" s="15" t="str"/>
      <x:c r="S715" s="15" t="str"/>
    </x:row>
    <x:row r="716">
      <x:c r="A716" s="1" t="str">
        <x:v>O0715</x:v>
      </x:c>
      <x:c r="B716" s="1" t="str">
        <x:v>cmst80ckg000h04i9rasplurj</x:v>
      </x:c>
      <x:c r="C716" s="1" t="str">
        <x:v>cmst7xl0r000204i9bv14oc5k</x:v>
      </x:c>
      <x:c r="D716" s="1" t="str">
        <x:v>skeleton-args-ca2022004921-cb64a3102cee5019</x:v>
      </x:c>
      <x:c r="E716" s="1" t="str">
        <x:v>synthetic</x:v>
      </x:c>
      <x:c r="F716" s="15" t="str">
        <x:v>Thompson v Clearview Credit Services Ltd</x:v>
      </x:c>
      <x:c r="G716" s="16" t="n">
        <x:v>46248.727868483795</x:v>
      </x:c>
      <x:c r="H716" s="15" t="str">
        <x:v>other</x:v>
      </x:c>
      <x:c r="I716" s="15" t="str">
        <x:v>other:as established in relevant case law regarding emotional and financial distress claims</x:v>
      </x:c>
      <x:c r="J716" s="15" t="str">
        <x:v>As established in relevant case law regarding emotional and financial distress claims.</x:v>
      </x:c>
      <x:c r="K716" s="15" t="str">
        <x:v>As established in relevant case law regarding emotional and financial distress claims.</x:v>
      </x:c>
      <x:c r="L716" s="15" t="str"/>
      <x:c r="M716" s="15" t="str"/>
      <x:c r="N716" s="15" t="str">
        <x:v>legalFramework.legalTestSummaries[1].sourceAuthority</x:v>
      </x:c>
      <x:c r="O716" s="15" t="str">
        <x:v>structured_json</x:v>
      </x:c>
      <x:c r="P716" s="15" t="str"/>
      <x:c r="Q716" s="15" t="str"/>
      <x:c r="R716" s="15" t="str"/>
      <x:c r="S716" s="15" t="str"/>
    </x:row>
    <x:row r="717">
      <x:c r="A717" s="1" t="str">
        <x:v>O0716</x:v>
      </x:c>
      <x:c r="B717" s="1" t="str">
        <x:v>cmst80ckg000h04i9rasplurj</x:v>
      </x:c>
      <x:c r="C717" s="1" t="str">
        <x:v>cmst7xl0r000204i9bv14oc5k</x:v>
      </x:c>
      <x:c r="D717" s="1" t="str">
        <x:v>skeleton-args-ca2022004921-cb64a3102cee5019</x:v>
      </x:c>
      <x:c r="E717" s="1" t="str">
        <x:v>synthetic</x:v>
      </x:c>
      <x:c r="F717" s="15" t="str">
        <x:v>Thompson v Clearview Credit Services Ltd</x:v>
      </x:c>
      <x:c r="G717" s="16" t="n">
        <x:v>46248.727868483795</x:v>
      </x:c>
      <x:c r="H717" s="15" t="str">
        <x:v>case</x:v>
      </x:c>
      <x:c r="I717" s="15" t="str">
        <x:v>case:2015 ewca civ 311</x:v>
      </x:c>
      <x:c r="J717" s="15" t="str">
        <x:v>Google Inc v Vidal-Hall &amp; Ors</x:v>
      </x:c>
      <x:c r="K717" s="15" t="str">
        <x:v>[2015] EWCA Civ 311</x:v>
      </x:c>
      <x:c r="L717" s="15" t="str">
        <x:v>a206a973-506b-4cfb-a0fa-79b98d0ca831</x:v>
      </x:c>
      <x:c r="M717" s="15" t="str"/>
      <x:c r="N717" s="15" t="str">
        <x:v>factualFindings.contestedFacts[0].sourceCases[0]</x:v>
      </x:c>
      <x:c r="O717" s="15" t="str">
        <x:v>structured_json</x:v>
      </x:c>
      <x:c r="P717" s="15" t="str"/>
      <x:c r="Q717" s="15" t="str"/>
      <x:c r="R717" s="15" t="str">
        <x:v>This case deals with establishing the impact of erroneous data on personal circumstances, relevant for assessing liability and damages.</x:v>
      </x:c>
      <x:c r="S717" s="15" t="str"/>
    </x:row>
    <x:row r="718">
      <x:c r="A718" s="1" t="str">
        <x:v>O0717</x:v>
      </x:c>
      <x:c r="B718" s="1" t="str">
        <x:v>cmst80ckg000h04i9rasplurj</x:v>
      </x:c>
      <x:c r="C718" s="1" t="str">
        <x:v>cmst7xl0r000204i9bv14oc5k</x:v>
      </x:c>
      <x:c r="D718" s="1" t="str">
        <x:v>skeleton-args-ca2022004921-cb64a3102cee5019</x:v>
      </x:c>
      <x:c r="E718" s="1" t="str">
        <x:v>synthetic</x:v>
      </x:c>
      <x:c r="F718" s="15" t="str">
        <x:v>Thompson v Clearview Credit Services Ltd</x:v>
      </x:c>
      <x:c r="G718" s="16" t="n">
        <x:v>46248.727868483795</x:v>
      </x:c>
      <x:c r="H718" s="15" t="str">
        <x:v>case</x:v>
      </x:c>
      <x:c r="I718" s="15" t="str">
        <x:v>case:2014 ewca civ 1413</x:v>
      </x:c>
      <x:c r="J718" s="15" t="str">
        <x:v>Grace &amp; Anor v Black Horse Ltd</x:v>
      </x:c>
      <x:c r="K718" s="15" t="str">
        <x:v>[2014] EWCA Civ 1413</x:v>
      </x:c>
      <x:c r="L718" s="15" t="str">
        <x:v>65645a3e-7e49-4a88-ba46-adb686908b02</x:v>
      </x:c>
      <x:c r="M718" s="15" t="str"/>
      <x:c r="N718" s="15" t="str">
        <x:v>factualFindings.contestedFacts[1].sourceCases[0]</x:v>
      </x:c>
      <x:c r="O718" s="15" t="str">
        <x:v>structured_json</x:v>
      </x:c>
      <x:c r="P718" s="15" t="str"/>
      <x:c r="Q718" s="15" t="str"/>
      <x:c r="R718" s="15" t="str">
        <x:v>Similar case examining the effects of erroneous credit information on financial products, particularly mortgages.</x:v>
      </x:c>
      <x:c r="S718" s="15" t="str"/>
    </x:row>
    <x:row r="719">
      <x:c r="A719" s="1" t="str">
        <x:v>O0718</x:v>
      </x:c>
      <x:c r="B719" s="1" t="str">
        <x:v>cmst80ckg000h04i9rasplurj</x:v>
      </x:c>
      <x:c r="C719" s="1" t="str">
        <x:v>cmst7xl0r000204i9bv14oc5k</x:v>
      </x:c>
      <x:c r="D719" s="1" t="str">
        <x:v>skeleton-args-ca2022004921-cb64a3102cee5019</x:v>
      </x:c>
      <x:c r="E719" s="1" t="str">
        <x:v>synthetic</x:v>
      </x:c>
      <x:c r="F719" s="15" t="str">
        <x:v>Thompson v Clearview Credit Services Ltd</x:v>
      </x:c>
      <x:c r="G719" s="16" t="n">
        <x:v>46248.727868483795</x:v>
      </x:c>
      <x:c r="H719" s="15" t="str">
        <x:v>case</x:v>
      </x:c>
      <x:c r="I719" s="15" t="str">
        <x:v>case:2015 ewca civ 311</x:v>
      </x:c>
      <x:c r="J719" s="15" t="str">
        <x:v>Google Inc v Vidal-Hall &amp; Ors</x:v>
      </x:c>
      <x:c r="K719" s="15" t="str">
        <x:v>[2015] EWCA Civ 311</x:v>
      </x:c>
      <x:c r="L719" s="15" t="str">
        <x:v>a206a973-506b-4cfb-a0fa-79b98d0ca831</x:v>
      </x:c>
      <x:c r="M719" s="15" t="str"/>
      <x:c r="N719" s="15" t="str">
        <x:v>reasoningStructure[0].sourceCases[0]</x:v>
      </x:c>
      <x:c r="O719" s="15" t="str">
        <x:v>structured_json</x:v>
      </x:c>
      <x:c r="P719" s="15" t="str"/>
      <x:c r="Q719" s="15" t="str"/>
      <x:c r="R719" s="15" t="str">
        <x:v>This case informs the obligation of accuracy in data processing, crucial to the current claim.</x:v>
      </x:c>
      <x:c r="S719" s="15" t="str"/>
    </x:row>
    <x:row r="720">
      <x:c r="A720" s="1" t="str">
        <x:v>O0719</x:v>
      </x:c>
      <x:c r="B720" s="1" t="str">
        <x:v>cmst80ckg000h04i9rasplurj</x:v>
      </x:c>
      <x:c r="C720" s="1" t="str">
        <x:v>cmst7xl0r000204i9bv14oc5k</x:v>
      </x:c>
      <x:c r="D720" s="1" t="str">
        <x:v>skeleton-args-ca2022004921-cb64a3102cee5019</x:v>
      </x:c>
      <x:c r="E720" s="1" t="str">
        <x:v>synthetic</x:v>
      </x:c>
      <x:c r="F720" s="15" t="str">
        <x:v>Thompson v Clearview Credit Services Ltd</x:v>
      </x:c>
      <x:c r="G720" s="16" t="n">
        <x:v>46248.727868483795</x:v>
      </x:c>
      <x:c r="H720" s="15" t="str">
        <x:v>case</x:v>
      </x:c>
      <x:c r="I720" s="15" t="str">
        <x:v>case:2014 ewca civ 1413</x:v>
      </x:c>
      <x:c r="J720" s="15" t="str">
        <x:v>Grace &amp; Anor v Black Horse Ltd</x:v>
      </x:c>
      <x:c r="K720" s="15" t="str">
        <x:v>[2014] EWCA Civ 1413</x:v>
      </x:c>
      <x:c r="L720" s="15" t="str">
        <x:v>65645a3e-7e49-4a88-ba46-adb686908b02</x:v>
      </x:c>
      <x:c r="M720" s="15" t="str"/>
      <x:c r="N720" s="15" t="str">
        <x:v>reasoningStructure[1].sourceCases[0]</x:v>
      </x:c>
      <x:c r="O720" s="15" t="str">
        <x:v>structured_json</x:v>
      </x:c>
      <x:c r="P720" s="15" t="str"/>
      <x:c r="Q720" s="15" t="str"/>
      <x:c r="R720" s="15" t="str">
        <x:v>This precedent guides the assessment of damages in relation to errors impacting financial products, relevant for determining damages in this case.</x:v>
      </x:c>
      <x:c r="S720" s="15" t="str"/>
    </x:row>
    <x:row r="721">
      <x:c r="A721" s="1" t="str">
        <x:v>O0720</x:v>
      </x:c>
      <x:c r="B721" s="1" t="str">
        <x:v>cmst80ckg000h04i9rasplurj</x:v>
      </x:c>
      <x:c r="C721" s="1" t="str">
        <x:v>cmst7xl0r000204i9bv14oc5k</x:v>
      </x:c>
      <x:c r="D721" s="1" t="str">
        <x:v>skeleton-args-ca2022004921-cb64a3102cee5019</x:v>
      </x:c>
      <x:c r="E721" s="1" t="str">
        <x:v>synthetic</x:v>
      </x:c>
      <x:c r="F721" s="15" t="str">
        <x:v>Thompson v Clearview Credit Services Ltd</x:v>
      </x:c>
      <x:c r="G721" s="16" t="n">
        <x:v>46248.727868483795</x:v>
      </x:c>
      <x:c r="H721" s="15" t="str">
        <x:v>case</x:v>
      </x:c>
      <x:c r="I721" s="15" t="str">
        <x:v>case:2015 ewca civ 311</x:v>
      </x:c>
      <x:c r="J721" s="15" t="str">
        <x:v>Google Inc v Vidal-Hall &amp; Ors</x:v>
      </x:c>
      <x:c r="K721" s="15" t="str">
        <x:v>[2015] EWCA Civ 311</x:v>
      </x:c>
      <x:c r="L721" s="15" t="str">
        <x:v>a206a973-506b-4cfb-a0fa-79b98d0ca831</x:v>
      </x:c>
      <x:c r="M721" s="15" t="str"/>
      <x:c r="N721" s="15" t="str">
        <x:v>issuesForDetermination.issueMatrix[0].sourceCases[0]</x:v>
      </x:c>
      <x:c r="O721" s="15" t="str">
        <x:v>structured_json</x:v>
      </x:c>
      <x:c r="P721" s="15" t="str"/>
      <x:c r="Q721" s="15" t="str"/>
      <x:c r="R721" s="15" t="str">
        <x:v>This case illustrates the need for accuracy and verification by data processors under similar GDPR frameworks.</x:v>
      </x:c>
      <x:c r="S721" s="15" t="str"/>
    </x:row>
    <x:row r="722">
      <x:c r="A722" s="1" t="str">
        <x:v>O0721</x:v>
      </x:c>
      <x:c r="B722" s="1" t="str">
        <x:v>cmst80ckg000h04i9rasplurj</x:v>
      </x:c>
      <x:c r="C722" s="1" t="str">
        <x:v>cmst7xl0r000204i9bv14oc5k</x:v>
      </x:c>
      <x:c r="D722" s="1" t="str">
        <x:v>skeleton-args-ca2022004921-cb64a3102cee5019</x:v>
      </x:c>
      <x:c r="E722" s="1" t="str">
        <x:v>synthetic</x:v>
      </x:c>
      <x:c r="F722" s="15" t="str">
        <x:v>Thompson v Clearview Credit Services Ltd</x:v>
      </x:c>
      <x:c r="G722" s="16" t="n">
        <x:v>46248.727868483795</x:v>
      </x:c>
      <x:c r="H722" s="15" t="str">
        <x:v>case</x:v>
      </x:c>
      <x:c r="I722" s="15" t="str">
        <x:v>case:2014 ewca civ 1413</x:v>
      </x:c>
      <x:c r="J722" s="15" t="str">
        <x:v>Grace &amp; Anor v Black Horse Ltd</x:v>
      </x:c>
      <x:c r="K722" s="15" t="str">
        <x:v>[2014] EWCA Civ 1413</x:v>
      </x:c>
      <x:c r="L722" s="15" t="str">
        <x:v>65645a3e-7e49-4a88-ba46-adb686908b02</x:v>
      </x:c>
      <x:c r="M722" s="15" t="str"/>
      <x:c r="N722" s="15" t="str">
        <x:v>issuesForDetermination.issueMatrix[1].sourceCases[0]</x:v>
      </x:c>
      <x:c r="O722" s="15" t="str">
        <x:v>structured_json</x:v>
      </x:c>
      <x:c r="P722" s="15" t="str"/>
      <x:c r="Q722" s="15" t="str"/>
      <x:c r="R722" s="15" t="str">
        <x:v>This case illustrates the considerations for assessing non-material damages in relation to financial products.</x:v>
      </x:c>
      <x:c r="S722" s="15" t="str"/>
    </x:row>
  </x:sheetData>
  <x:pageMargins left="0.7" right="0.7" top="0.75" bottom="0.75" header="0.3" footer="0.3"/>
  <x:tableParts count="1">
    <x:tablePart xmlns:r="http://schemas.openxmlformats.org/officeDocument/2006/relationships" r:id="Rd735bc4f1d884f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1.110000610351562" hidden="0" customWidth="1"/>
    <x:col min="3" max="3" width="32.220001220703125" hidden="0" customWidth="1"/>
    <x:col min="4" max="4" width="8.890000343322754" hidden="0" customWidth="1"/>
    <x:col min="5" max="5" width="31.110000610351562" hidden="0" customWidth="1"/>
    <x:col min="6" max="6" width="16.110000610351562" hidden="0" customWidth="1"/>
    <x:col min="7" max="7" width="10" hidden="0" customWidth="1"/>
    <x:col min="8" max="8" width="33.33000183105469" hidden="0" customWidth="1"/>
    <x:col min="9" max="9" width="33.33000183105469" hidden="0" customWidth="1"/>
    <x:col min="10" max="10" width="33.33000183105469" hidden="0" customWidth="1"/>
    <x:col min="11" max="11" width="27.219999313354492" hidden="0" customWidth="1"/>
    <x:col min="12" max="12" width="10" hidden="0" customWidth="1"/>
    <x:col min="13" max="13" width="10.5600004196167" hidden="0" customWidth="1"/>
    <x:col min="14" max="14" width="46.66999816894531" hidden="0" customWidth="1"/>
  </x:cols>
  <x:sheetData>
    <x:row r="1">
      <x:c r="A1" s="5" t="str">
        <x:v>unique_id</x:v>
      </x:c>
      <x:c r="B1" s="5" t="str">
        <x:v>draft_id</x:v>
      </x:c>
      <x:c r="C1" s="5" t="str">
        <x:v>case_doc_id</x:v>
      </x:c>
      <x:c r="D1" s="5" t="str">
        <x:v>input_type</x:v>
      </x:c>
      <x:c r="E1" s="5" t="str">
        <x:v>case_title</x:v>
      </x:c>
      <x:c r="F1" s="5" t="str">
        <x:v>generated_at</x:v>
      </x:c>
      <x:c r="G1" s="5" t="str">
        <x:v>authority_type</x:v>
      </x:c>
      <x:c r="H1" s="5" t="str">
        <x:v>authority_key</x:v>
      </x:c>
      <x:c r="I1" s="5" t="str">
        <x:v>authority_name</x:v>
      </x:c>
      <x:c r="J1" s="5" t="str">
        <x:v>citation_raw</x:v>
      </x:c>
      <x:c r="K1" s="5" t="str">
        <x:v>case_id</x:v>
      </x:c>
      <x:c r="L1" s="5" t="str">
        <x:v>provision</x:v>
      </x:c>
      <x:c r="M1" s="5" t="str">
        <x:v>occurrence_count</x:v>
      </x:c>
      <x:c r="N1" s="5" t="str">
        <x:v>source_paths</x:v>
      </x:c>
    </x:row>
    <x:row r="2">
      <x:c r="A2" s="1" t="str">
        <x:v>U0001</x:v>
      </x:c>
      <x:c r="B2" s="1" t="str">
        <x:v>cmlzpblc7000304jv62ixuvp8</x:v>
      </x:c>
      <x:c r="C2" s="1" t="str">
        <x:v>skeleton-args-ca2022002088-9a827e5fc9cfa270</x:v>
      </x:c>
      <x:c r="D2" s="1" t="str">
        <x:v>synthetic</x:v>
      </x:c>
      <x:c r="E2" s="15" t="str">
        <x:v>HMRC v Dolphin Drilling Ltd</x:v>
      </x:c>
      <x:c r="F2" s="16" t="n">
        <x:v>46076.9037800463</x:v>
      </x:c>
      <x:c r="G2" s="15" t="str">
        <x:v>case</x:v>
      </x:c>
      <x:c r="H2" s="15" t="str">
        <x:v>case:2000 1 wlr 377</x:v>
      </x:c>
      <x:c r="I2" s="15" t="str">
        <x:v>Flannery v Halifax Estate Agencies Ltd [2000] 1 WLR 377</x:v>
      </x:c>
      <x:c r="J2" s="15" t="str">
        <x:v>Flannery v Halifax Estate Agencies Ltd [2000] 1 WLR 377</x:v>
      </x:c>
      <x:c r="K2" s="15" t="str"/>
      <x:c r="L2" s="15" t="str"/>
      <x:c r="M2" s="15" t="n">
        <x:v>1</x:v>
      </x:c>
      <x:c r="N2" s="15" t="str">
        <x:v>legalFramework.precedentCitations[1]</x:v>
      </x:c>
    </x:row>
    <x:row r="3">
      <x:c r="A3" s="1" t="str">
        <x:v>U0002</x:v>
      </x:c>
      <x:c r="B3" s="1" t="str">
        <x:v>cmlzpblc7000304jv62ixuvp8</x:v>
      </x:c>
      <x:c r="C3" s="1" t="str">
        <x:v>skeleton-args-ca2022002088-9a827e5fc9cfa270</x:v>
      </x:c>
      <x:c r="D3" s="1" t="str">
        <x:v>synthetic</x:v>
      </x:c>
      <x:c r="E3" s="15" t="str">
        <x:v>HMRC v Dolphin Drilling Ltd</x:v>
      </x:c>
      <x:c r="F3" s="16" t="n">
        <x:v>46076.9037800463</x:v>
      </x:c>
      <x:c r="G3" s="15" t="str">
        <x:v>case</x:v>
      </x:c>
      <x:c r="H3" s="15" t="str">
        <x:v>case:2002 ewca civ 605</x:v>
      </x:c>
      <x:c r="I3" s="15" t="str">
        <x:v>English v Emery Reimbold &amp; Strick Ltd [2002] EWCA Civ 605</x:v>
      </x:c>
      <x:c r="J3" s="15" t="str">
        <x:v>English v Emery Reimbold &amp; Strick Ltd [2002] EWCA Civ 605</x:v>
      </x:c>
      <x:c r="K3" s="15" t="str"/>
      <x:c r="L3" s="15" t="str"/>
      <x:c r="M3" s="15" t="n">
        <x:v>1</x:v>
      </x:c>
      <x:c r="N3" s="15" t="str">
        <x:v>legalFramework.precedentCitations[0]</x:v>
      </x:c>
    </x:row>
    <x:row r="4">
      <x:c r="A4" s="1" t="str">
        <x:v>U0003</x:v>
      </x:c>
      <x:c r="B4" s="1" t="str">
        <x:v>cmlzpblc7000304jv62ixuvp8</x:v>
      </x:c>
      <x:c r="C4" s="1" t="str">
        <x:v>skeleton-args-ca2022002088-9a827e5fc9cfa270</x:v>
      </x:c>
      <x:c r="D4" s="1" t="str">
        <x:v>synthetic</x:v>
      </x:c>
      <x:c r="E4" s="15" t="str">
        <x:v>HMRC v Dolphin Drilling Ltd</x:v>
      </x:c>
      <x:c r="F4" s="16" t="n">
        <x:v>46076.9037800463</x:v>
      </x:c>
      <x:c r="G4" s="15" t="str">
        <x:v>case</x:v>
      </x:c>
      <x:c r="H4" s="15" t="str">
        <x:v>case:2016 ewca civ 121</x:v>
      </x:c>
      <x:c r="I4" s="15" t="str">
        <x:v>BPP Holdings v Revenue And Customs</x:v>
      </x:c>
      <x:c r="J4" s="15" t="str">
        <x:v>[2016] EWCA Civ 121</x:v>
      </x:c>
      <x:c r="K4" s="15" t="str">
        <x:v>16f61521-59b6-4c57-8af3-c654be05eab0</x:v>
      </x:c>
      <x:c r="L4" s="15" t="str"/>
      <x:c r="M4" s="15" t="n">
        <x:v>1</x:v>
      </x:c>
      <x:c r="N4" s="15" t="str">
        <x:v>issuesForDetermination.issueMatrix[0].sourceCases[0]</x:v>
      </x:c>
    </x:row>
    <x:row r="5">
      <x:c r="A5" s="1" t="str">
        <x:v>U0004</x:v>
      </x:c>
      <x:c r="B5" s="1" t="str">
        <x:v>cmlzpblc7000304jv62ixuvp8</x:v>
      </x:c>
      <x:c r="C5" s="1" t="str">
        <x:v>skeleton-args-ca2022002088-9a827e5fc9cfa270</x:v>
      </x:c>
      <x:c r="D5" s="1" t="str">
        <x:v>synthetic</x:v>
      </x:c>
      <x:c r="E5" s="15" t="str">
        <x:v>HMRC v Dolphin Drilling Ltd</x:v>
      </x:c>
      <x:c r="F5" s="16" t="n">
        <x:v>46076.9037800463</x:v>
      </x:c>
      <x:c r="G5" s="15" t="str">
        <x:v>case</x:v>
      </x:c>
      <x:c r="H5" s="15" t="str">
        <x:v>case:2016 ewca civ 1310</x:v>
      </x:c>
      <x:c r="I5" s="15" t="str">
        <x:v>Totel Limited v HM Revenue and Customs</x:v>
      </x:c>
      <x:c r="J5" s="15" t="str">
        <x:v>[2016] EWCA Civ 1310</x:v>
      </x:c>
      <x:c r="K5" s="15" t="str">
        <x:v>2f2ce488-73d0-4422-abcd-2b014a9e52d1</x:v>
      </x:c>
      <x:c r="L5" s="15" t="str"/>
      <x:c r="M5" s="15" t="n">
        <x:v>2</x:v>
      </x:c>
      <x:c r="N5" s="15" t="str">
        <x:v>factualFindings.contestedFacts[1].sourceCases[0] | issuesForDetermination.issueMatrix[1].sourceCases[0]</x:v>
      </x:c>
    </x:row>
    <x:row r="6">
      <x:c r="A6" s="1" t="str">
        <x:v>U0005</x:v>
      </x:c>
      <x:c r="B6" s="1" t="str">
        <x:v>cmlzpblc7000304jv62ixuvp8</x:v>
      </x:c>
      <x:c r="C6" s="1" t="str">
        <x:v>skeleton-args-ca2022002088-9a827e5fc9cfa270</x:v>
      </x:c>
      <x:c r="D6" s="1" t="str">
        <x:v>synthetic</x:v>
      </x:c>
      <x:c r="E6" s="15" t="str">
        <x:v>HMRC v Dolphin Drilling Ltd</x:v>
      </x:c>
      <x:c r="F6" s="16" t="n">
        <x:v>46076.9037800463</x:v>
      </x:c>
      <x:c r="G6" s="15" t="str">
        <x:v>case</x:v>
      </x:c>
      <x:c r="H6" s="15" t="str">
        <x:v>case:2023 ewca civ 474</x:v>
      </x:c>
      <x:c r="I6" s="15" t="str">
        <x:v>Altrad Services Ltd &amp; Anor v Commissioners for HMRC</x:v>
      </x:c>
      <x:c r="J6" s="15" t="str">
        <x:v>[2023] EWCA Civ 474</x:v>
      </x:c>
      <x:c r="K6" s="15" t="str">
        <x:v>d23d9f9f-4d0a-455a-bab1-0ce1a023b722</x:v>
      </x:c>
      <x:c r="L6" s="15" t="str"/>
      <x:c r="M6" s="15" t="n">
        <x:v>2</x:v>
      </x:c>
      <x:c r="N6" s="15" t="str">
        <x:v>factualFindings.contestedFacts[0].sourceCases[0] | reasoningStructure[0].sourceCases[0]</x:v>
      </x:c>
    </x:row>
    <x:row r="7">
      <x:c r="A7" s="1" t="str">
        <x:v>U0006</x:v>
      </x:c>
      <x:c r="B7" s="1" t="str">
        <x:v>cmlzpblc7000304jv62ixuvp8</x:v>
      </x:c>
      <x:c r="C7" s="1" t="str">
        <x:v>skeleton-args-ca2022002088-9a827e5fc9cfa270</x:v>
      </x:c>
      <x:c r="D7" s="1" t="str">
        <x:v>synthetic</x:v>
      </x:c>
      <x:c r="E7" s="15" t="str">
        <x:v>HMRC v Dolphin Drilling Ltd</x:v>
      </x:c>
      <x:c r="F7" s="16" t="n">
        <x:v>46076.9037800463</x:v>
      </x:c>
      <x:c r="G7" s="15" t="str">
        <x:v>legislation</x:v>
      </x:c>
      <x:c r="H7" s="15" t="str">
        <x:v>legislation:corporation tax act 2010 s 356l</x:v>
      </x:c>
      <x:c r="I7" s="15" t="str">
        <x:v>Corporation Tax Act 2010</x:v>
      </x:c>
      <x:c r="J7" s="15" t="str">
        <x:v>Corporation Tax Act 2010 s.356L</x:v>
      </x:c>
      <x:c r="K7" s="15" t="str"/>
      <x:c r="L7" s="15" t="str">
        <x:v>s.356L</x:v>
      </x:c>
      <x:c r="M7" s="15" t="n">
        <x:v>1</x:v>
      </x:c>
      <x:c r="N7" s="15" t="str">
        <x:v>legalFramework.statutoryProvisions[0]</x:v>
      </x:c>
    </x:row>
    <x:row r="8">
      <x:c r="A8" s="1" t="str">
        <x:v>U0007</x:v>
      </x:c>
      <x:c r="B8" s="1" t="str">
        <x:v>cmlzpblc7000304jv62ixuvp8</x:v>
      </x:c>
      <x:c r="C8" s="1" t="str">
        <x:v>skeleton-args-ca2022002088-9a827e5fc9cfa270</x:v>
      </x:c>
      <x:c r="D8" s="1" t="str">
        <x:v>synthetic</x:v>
      </x:c>
      <x:c r="E8" s="15" t="str">
        <x:v>HMRC v Dolphin Drilling Ltd</x:v>
      </x:c>
      <x:c r="F8" s="16" t="n">
        <x:v>46076.9037800463</x:v>
      </x:c>
      <x:c r="G8" s="15" t="str">
        <x:v>legislation</x:v>
      </x:c>
      <x:c r="H8" s="15" t="str">
        <x:v>legislation:corporation tax act 2010 s 356la</x:v>
      </x:c>
      <x:c r="I8" s="15" t="str">
        <x:v>Corporation Tax Act 2010</x:v>
      </x:c>
      <x:c r="J8" s="15" t="str">
        <x:v>Corporation Tax Act 2010 s.356LA</x:v>
      </x:c>
      <x:c r="K8" s="15" t="str"/>
      <x:c r="L8" s="15" t="str">
        <x:v>s.356LA</x:v>
      </x:c>
      <x:c r="M8" s="15" t="n">
        <x:v>1</x:v>
      </x:c>
      <x:c r="N8" s="15" t="str">
        <x:v>legalFramework.statutoryProvisions[1]</x:v>
      </x:c>
    </x:row>
    <x:row r="9">
      <x:c r="A9" s="1" t="str">
        <x:v>U0008</x:v>
      </x:c>
      <x:c r="B9" s="1" t="str">
        <x:v>cmlzpblc7000304jv62ixuvp8</x:v>
      </x:c>
      <x:c r="C9" s="1" t="str">
        <x:v>skeleton-args-ca2022002088-9a827e5fc9cfa270</x:v>
      </x:c>
      <x:c r="D9" s="1" t="str">
        <x:v>synthetic</x:v>
      </x:c>
      <x:c r="E9" s="15" t="str">
        <x:v>HMRC v Dolphin Drilling Ltd</x:v>
      </x:c>
      <x:c r="F9" s="16" t="n">
        <x:v>46076.9037800463</x:v>
      </x:c>
      <x:c r="G9" s="15" t="str">
        <x:v>legislation</x:v>
      </x:c>
      <x:c r="H9" s="15" t="str">
        <x:v>legislation:senior courts act 1981 s 35a</x:v>
      </x:c>
      <x:c r="I9" s="15" t="str">
        <x:v>Senior Courts Act 1981, s.35A</x:v>
      </x:c>
      <x:c r="J9" s="15" t="str">
        <x:v>Senior Courts Act 1981, s.35A</x:v>
      </x:c>
      <x:c r="K9" s="15" t="str"/>
      <x:c r="L9" s="15" t="str"/>
      <x:c r="M9" s="15" t="n">
        <x:v>2</x:v>
      </x:c>
      <x:c r="N9" s="15" t="str">
        <x:v>decisionAndDisposition.interest.statutoryBasis | legalFramework.precedentCitations[2]</x:v>
      </x:c>
    </x:row>
    <x:row r="10">
      <x:c r="A10" s="1" t="str">
        <x:v>U0009</x:v>
      </x:c>
      <x:c r="B10" s="1" t="str">
        <x:v>cmlzphr57000h04jtqrwbfiyf</x:v>
      </x:c>
      <x:c r="C10" s="1" t="str">
        <x:v>skeleton-args-ca2022008247-6c5b4a1058f7a82b</x:v>
      </x:c>
      <x:c r="D10" s="1" t="str">
        <x:v>synthetic</x:v>
      </x:c>
      <x:c r="E10" s="15" t="str">
        <x:v>Aldridge v Crawford</x:v>
      </x:c>
      <x:c r="F10" s="16" t="n">
        <x:v>46076.9071071412</x:v>
      </x:c>
      <x:c r="G10" s="15" t="str">
        <x:v>case</x:v>
      </x:c>
      <x:c r="H10" s="15" t="str">
        <x:v>case:2002 ukhl 30</x:v>
      </x:c>
      <x:c r="I10" s="15" t="str">
        <x:v>J A Pye (Oxford) Ltd v. Graham [2002] UKHL 30</x:v>
      </x:c>
      <x:c r="J10" s="15" t="str">
        <x:v>J A Pye (Oxford) Ltd v. Graham [2002] UKHL 30</x:v>
      </x:c>
      <x:c r="K10" s="15" t="str"/>
      <x:c r="L10" s="15" t="str"/>
      <x:c r="M10" s="15" t="n">
        <x:v>1</x:v>
      </x:c>
      <x:c r="N10" s="15" t="str">
        <x:v>legalFramework.precedentCitations[1]</x:v>
      </x:c>
    </x:row>
    <x:row r="11">
      <x:c r="A11" s="1" t="str">
        <x:v>U0010</x:v>
      </x:c>
      <x:c r="B11" s="1" t="str">
        <x:v>cmlzphr57000h04jtqrwbfiyf</x:v>
      </x:c>
      <x:c r="C11" s="1" t="str">
        <x:v>skeleton-args-ca2022008247-6c5b4a1058f7a82b</x:v>
      </x:c>
      <x:c r="D11" s="1" t="str">
        <x:v>synthetic</x:v>
      </x:c>
      <x:c r="E11" s="15" t="str">
        <x:v>Aldridge v Crawford</x:v>
      </x:c>
      <x:c r="F11" s="16" t="n">
        <x:v>46076.9071071412</x:v>
      </x:c>
      <x:c r="G11" s="15" t="str">
        <x:v>case</x:v>
      </x:c>
      <x:c r="H11" s="15" t="str">
        <x:v>case:2016 ewca civ 689</x:v>
      </x:c>
      <x:c r="I11" s="15" t="str">
        <x:v>Heaney v Kirkby</x:v>
      </x:c>
      <x:c r="J11" s="15" t="str">
        <x:v>[2016] EWCA Civ 689</x:v>
      </x:c>
      <x:c r="K11" s="15" t="str">
        <x:v>4fb69c0f-f93b-4540-a62b-7db9f10a32aa</x:v>
      </x:c>
      <x:c r="L11" s="15" t="str"/>
      <x:c r="M11" s="15" t="n">
        <x:v>2</x:v>
      </x:c>
      <x:c r="N11" s="15" t="str">
        <x:v>legalFramework.statutoryProvisions[0].sourceCases[0] | reasoningStructure[0].sourceCases[0]</x:v>
      </x:c>
    </x:row>
    <x:row r="12">
      <x:c r="A12" s="1" t="str">
        <x:v>U0011</x:v>
      </x:c>
      <x:c r="B12" s="1" t="str">
        <x:v>cmlzphr57000h04jtqrwbfiyf</x:v>
      </x:c>
      <x:c r="C12" s="1" t="str">
        <x:v>skeleton-args-ca2022008247-6c5b4a1058f7a82b</x:v>
      </x:c>
      <x:c r="D12" s="1" t="str">
        <x:v>synthetic</x:v>
      </x:c>
      <x:c r="E12" s="15" t="str">
        <x:v>Aldridge v Crawford</x:v>
      </x:c>
      <x:c r="F12" s="16" t="n">
        <x:v>46076.9071071412</x:v>
      </x:c>
      <x:c r="G12" s="15" t="str">
        <x:v>case</x:v>
      </x:c>
      <x:c r="H12" s="15" t="str">
        <x:v>case:2023 ewca civ 549</x:v>
      </x:c>
      <x:c r="I12" s="15" t="str">
        <x:v>Healey v Fraine &amp; Ors</x:v>
      </x:c>
      <x:c r="J12" s="15" t="str">
        <x:v>[2023] EWCA Civ 549</x:v>
      </x:c>
      <x:c r="K12" s="15" t="str">
        <x:v>f4d639ad-f27c-47ba-a62c-bfc0c4c9430e</x:v>
      </x:c>
      <x:c r="L12" s="15" t="str"/>
      <x:c r="M12" s="15" t="n">
        <x:v>1</x:v>
      </x:c>
      <x:c r="N12" s="15" t="str">
        <x:v>factualFindings.contestedFacts[0].sourceCases[0]</x:v>
      </x:c>
    </x:row>
    <x:row r="13">
      <x:c r="A13" s="1" t="str">
        <x:v>U0012</x:v>
      </x:c>
      <x:c r="B13" s="1" t="str">
        <x:v>cmlzphr57000h04jtqrwbfiyf</x:v>
      </x:c>
      <x:c r="C13" s="1" t="str">
        <x:v>skeleton-args-ca2022008247-6c5b4a1058f7a82b</x:v>
      </x:c>
      <x:c r="D13" s="1" t="str">
        <x:v>synthetic</x:v>
      </x:c>
      <x:c r="E13" s="15" t="str">
        <x:v>Aldridge v Crawford</x:v>
      </x:c>
      <x:c r="F13" s="16" t="n">
        <x:v>46076.9071071412</x:v>
      </x:c>
      <x:c r="G13" s="15" t="str">
        <x:v>case</x:v>
      </x:c>
      <x:c r="H13" s="15" t="str">
        <x:v>case:2023 ewca civ 551</x:v>
      </x:c>
      <x:c r="I13" s="15" t="str">
        <x:v>Secretary of State for the Home Department v Cox &amp; Ors</x:v>
      </x:c>
      <x:c r="J13" s="15" t="str">
        <x:v>[2023] EWCA Civ 551</x:v>
      </x:c>
      <x:c r="K13" s="15" t="str">
        <x:v>6e8e988c-074c-4ab1-9e37-5c84673b441b</x:v>
      </x:c>
      <x:c r="L13" s="15" t="str"/>
      <x:c r="M13" s="15" t="n">
        <x:v>2</x:v>
      </x:c>
      <x:c r="N13" s="15" t="str">
        <x:v>issuesForDetermination.issueMatrix[0].sourceCases[0] | legalFramework.precedentCitations[1].sourceCases[0]</x:v>
      </x:c>
    </x:row>
    <x:row r="14">
      <x:c r="A14" s="1" t="str">
        <x:v>U0013</x:v>
      </x:c>
      <x:c r="B14" s="1" t="str">
        <x:v>cmlzphr57000h04jtqrwbfiyf</x:v>
      </x:c>
      <x:c r="C14" s="1" t="str">
        <x:v>skeleton-args-ca2022008247-6c5b4a1058f7a82b</x:v>
      </x:c>
      <x:c r="D14" s="1" t="str">
        <x:v>synthetic</x:v>
      </x:c>
      <x:c r="E14" s="15" t="str">
        <x:v>Aldridge v Crawford</x:v>
      </x:c>
      <x:c r="F14" s="16" t="n">
        <x:v>46076.9071071412</x:v>
      </x:c>
      <x:c r="G14" s="15" t="str">
        <x:v>case</x:v>
      </x:c>
      <x:c r="H14" s="15" t="str">
        <x:v>case:neilson v poole 1969 20 p&amp;cr 909</x:v>
      </x:c>
      <x:c r="I14" s="15" t="str">
        <x:v>Neilson v. Poole [1969] 20 P&amp;CR 909</x:v>
      </x:c>
      <x:c r="J14" s="15" t="str">
        <x:v>Neilson v. Poole [1969] 20 P&amp;CR 909</x:v>
      </x:c>
      <x:c r="K14" s="15" t="str"/>
      <x:c r="L14" s="15" t="str"/>
      <x:c r="M14" s="15" t="n">
        <x:v>1</x:v>
      </x:c>
      <x:c r="N14" s="15" t="str">
        <x:v>legalFramework.precedentCitations[0]</x:v>
      </x:c>
    </x:row>
    <x:row r="15">
      <x:c r="A15" s="1" t="str">
        <x:v>U0014</x:v>
      </x:c>
      <x:c r="B15" s="1" t="str">
        <x:v>cmlzphr57000h04jtqrwbfiyf</x:v>
      </x:c>
      <x:c r="C15" s="1" t="str">
        <x:v>skeleton-args-ca2022008247-6c5b4a1058f7a82b</x:v>
      </x:c>
      <x:c r="D15" s="1" t="str">
        <x:v>synthetic</x:v>
      </x:c>
      <x:c r="E15" s="15" t="str">
        <x:v>Aldridge v Crawford</x:v>
      </x:c>
      <x:c r="F15" s="16" t="n">
        <x:v>46076.9071071412</x:v>
      </x:c>
      <x:c r="G15" s="15" t="str">
        <x:v>legislation</x:v>
      </x:c>
      <x:c r="H15" s="15" t="str">
        <x:v>legislation:land registration act 2002</x:v>
      </x:c>
      <x:c r="I15" s="15" t="str">
        <x:v>Land Registration Act 2002</x:v>
      </x:c>
      <x:c r="J15" s="15" t="str">
        <x:v>Land Registration Act 2002</x:v>
      </x:c>
      <x:c r="K15" s="15" t="str"/>
      <x:c r="L15" s="15" t="str"/>
      <x:c r="M15" s="15" t="n">
        <x:v>1</x:v>
      </x:c>
      <x:c r="N15" s="15" t="str">
        <x:v>legalFramework.legalTestSummaries[0].sourceAuthority</x:v>
      </x:c>
    </x:row>
    <x:row r="16">
      <x:c r="A16" s="1" t="str">
        <x:v>U0015</x:v>
      </x:c>
      <x:c r="B16" s="1" t="str">
        <x:v>cmlzphr57000h04jtqrwbfiyf</x:v>
      </x:c>
      <x:c r="C16" s="1" t="str">
        <x:v>skeleton-args-ca2022008247-6c5b4a1058f7a82b</x:v>
      </x:c>
      <x:c r="D16" s="1" t="str">
        <x:v>synthetic</x:v>
      </x:c>
      <x:c r="E16" s="15" t="str">
        <x:v>Aldridge v Crawford</x:v>
      </x:c>
      <x:c r="F16" s="16" t="n">
        <x:v>46076.9071071412</x:v>
      </x:c>
      <x:c r="G16" s="15" t="str">
        <x:v>legislation</x:v>
      </x:c>
      <x:c r="H16" s="15" t="str">
        <x:v>legislation:land registration act 2002 s 60</x:v>
      </x:c>
      <x:c r="I16" s="15" t="str">
        <x:v>Land Registration Act 2002</x:v>
      </x:c>
      <x:c r="J16" s="15" t="str">
        <x:v>Land Registration Act 2002 s. 60</x:v>
      </x:c>
      <x:c r="K16" s="15" t="str"/>
      <x:c r="L16" s="15" t="str">
        <x:v>s. 60</x:v>
      </x:c>
      <x:c r="M16" s="15" t="n">
        <x:v>1</x:v>
      </x:c>
      <x:c r="N16" s="15" t="str">
        <x:v>legalFramework.statutoryProvisions[0]</x:v>
      </x:c>
    </x:row>
    <x:row r="17">
      <x:c r="A17" s="1" t="str">
        <x:v>U0016</x:v>
      </x:c>
      <x:c r="B17" s="1" t="str">
        <x:v>cmlzphr57000h04jtqrwbfiyf</x:v>
      </x:c>
      <x:c r="C17" s="1" t="str">
        <x:v>skeleton-args-ca2022008247-6c5b4a1058f7a82b</x:v>
      </x:c>
      <x:c r="D17" s="1" t="str">
        <x:v>synthetic</x:v>
      </x:c>
      <x:c r="E17" s="15" t="str">
        <x:v>Aldridge v Crawford</x:v>
      </x:c>
      <x:c r="F17" s="16" t="n">
        <x:v>46076.9071071412</x:v>
      </x:c>
      <x:c r="G17" s="15" t="str">
        <x:v>legislation</x:v>
      </x:c>
      <x:c r="H17" s="15" t="str">
        <x:v>legislation:senior courts act 1981 s 35a</x:v>
      </x:c>
      <x:c r="I17" s="15" t="str">
        <x:v>Senior Courts Act 1981, s.35A</x:v>
      </x:c>
      <x:c r="J17" s="15" t="str">
        <x:v>Senior Courts Act 1981, s.35A</x:v>
      </x:c>
      <x:c r="K17" s="15" t="str"/>
      <x:c r="L17" s="15" t="str"/>
      <x:c r="M17" s="15" t="n">
        <x:v>1</x:v>
      </x:c>
      <x:c r="N17" s="15" t="str">
        <x:v>decisionAndDisposition.interest.statutoryBasis</x:v>
      </x:c>
    </x:row>
    <x:row r="18">
      <x:c r="A18" s="1" t="str">
        <x:v>U0017</x:v>
      </x:c>
      <x:c r="B18" s="1" t="str">
        <x:v>cmlzrzxca000304l2qk1vevzx</x:v>
      </x:c>
      <x:c r="C18" s="1" t="str">
        <x:v>skeleton-args-ca2023002207-ce0aafdf6d7e5716</x:v>
      </x:c>
      <x:c r="D18" s="1" t="str">
        <x:v>synthetic</x:v>
      </x:c>
      <x:c r="E18" s="15" t="str">
        <x:v>Karpasitis v Hertfordshire County Council</x:v>
      </x:c>
      <x:c r="F18" s="16" t="n">
        <x:v>46076.95580008102</x:v>
      </x:c>
      <x:c r="G18" s="15" t="str">
        <x:v>case</x:v>
      </x:c>
      <x:c r="H18" s="15" t="str">
        <x:v>case:2015 uksc 5</x:v>
      </x:c>
      <x:c r="I18" s="15" t="str">
        <x:v>[2015] UKSC 5</x:v>
      </x:c>
      <x:c r="J18" s="15" t="str">
        <x:v>[2015] UKSC 5</x:v>
      </x:c>
      <x:c r="K18" s="15" t="str"/>
      <x:c r="L18" s="15" t="str"/>
      <x:c r="M18" s="15" t="n">
        <x:v>1</x:v>
      </x:c>
      <x:c r="N18" s="15" t="str">
        <x:v>legalFramework.precedentCitations[1]</x:v>
      </x:c>
    </x:row>
    <x:row r="19">
      <x:c r="A19" s="1" t="str">
        <x:v>U0018</x:v>
      </x:c>
      <x:c r="B19" s="1" t="str">
        <x:v>cmlzrzxca000304l2qk1vevzx</x:v>
      </x:c>
      <x:c r="C19" s="1" t="str">
        <x:v>skeleton-args-ca2023002207-ce0aafdf6d7e5716</x:v>
      </x:c>
      <x:c r="D19" s="1" t="str">
        <x:v>synthetic</x:v>
      </x:c>
      <x:c r="E19" s="15" t="str">
        <x:v>Karpasitis v Hertfordshire County Council</x:v>
      </x:c>
      <x:c r="F19" s="16" t="n">
        <x:v>46076.95580008102</x:v>
      </x:c>
      <x:c r="G19" s="15" t="str">
        <x:v>case</x:v>
      </x:c>
      <x:c r="H19" s="15" t="str">
        <x:v>case:brown &amp; ors v south west lakes trust &amp; ors</x:v>
      </x:c>
      <x:c r="I19" s="15" t="str">
        <x:v>Brown &amp; Ors v South West Lakes Trust &amp; Ors</x:v>
      </x:c>
      <x:c r="J19" s="15" t="str">
        <x:v>N/A</x:v>
      </x:c>
      <x:c r="K19" s="15" t="str">
        <x:v>70d43223-0ec6-458b-b052-bdc295e0d6ec</x:v>
      </x:c>
      <x:c r="L19" s="15" t="str"/>
      <x:c r="M19" s="15" t="n">
        <x:v>4</x:v>
      </x:c>
      <x:c r="N19" s="15" t="str">
        <x:v>factualFindings.contestedFacts[0].sourceCases[0] | issuesForDetermination.issueMatrix[0].sourceCases[0] | legalFramework.precedentCitations[0].sourceCases[0] | reasoningStructure[0].sourceCases[0]</x:v>
      </x:c>
    </x:row>
    <x:row r="20">
      <x:c r="A20" s="1" t="str">
        <x:v>U0019</x:v>
      </x:c>
      <x:c r="B20" s="1" t="str">
        <x:v>cmlzrzxca000304l2qk1vevzx</x:v>
      </x:c>
      <x:c r="C20" s="1" t="str">
        <x:v>skeleton-args-ca2023002207-ce0aafdf6d7e5716</x:v>
      </x:c>
      <x:c r="D20" s="1" t="str">
        <x:v>synthetic</x:v>
      </x:c>
      <x:c r="E20" s="15" t="str">
        <x:v>Karpasitis v Hertfordshire County Council</x:v>
      </x:c>
      <x:c r="F20" s="16" t="n">
        <x:v>46076.95580008102</x:v>
      </x:c>
      <x:c r="G20" s="15" t="str">
        <x:v>case</x:v>
      </x:c>
      <x:c r="H20" s="15" t="str">
        <x:v>case:humphrey v aegis defence services ltd &amp; anor</x:v>
      </x:c>
      <x:c r="I20" s="15" t="str">
        <x:v>Humphrey v Aegis Defence Services Ltd &amp; Anor</x:v>
      </x:c>
      <x:c r="J20" s="15" t="str">
        <x:v>N/A</x:v>
      </x:c>
      <x:c r="K20" s="15" t="str">
        <x:v>3b14442e-37b0-455c-a24f-a53a55c9f700</x:v>
      </x:c>
      <x:c r="L20" s="15" t="str"/>
      <x:c r="M20" s="15" t="n">
        <x:v>5</x:v>
      </x:c>
      <x:c r="N20" s="15" t="str">
        <x:v>factualFindings.contestedFacts[1].sourceCases[0] | issuesForDetermination.issueMatrix[1].sourceCases[0] | legalFramework.precedentCitations[1].sourceCases[0] | legalFramework.statutoryProvisions[0].sourceCases[0] | reasoningStructure[1].sourceCases[0]</x:v>
      </x:c>
    </x:row>
    <x:row r="21">
      <x:c r="A21" s="1" t="str">
        <x:v>U0020</x:v>
      </x:c>
      <x:c r="B21" s="1" t="str">
        <x:v>cmlzrzxca000304l2qk1vevzx</x:v>
      </x:c>
      <x:c r="C21" s="1" t="str">
        <x:v>skeleton-args-ca2023002207-ce0aafdf6d7e5716</x:v>
      </x:c>
      <x:c r="D21" s="1" t="str">
        <x:v>synthetic</x:v>
      </x:c>
      <x:c r="E21" s="15" t="str">
        <x:v>Karpasitis v Hertfordshire County Council</x:v>
      </x:c>
      <x:c r="F21" s="16" t="n">
        <x:v>46076.95580008102</x:v>
      </x:c>
      <x:c r="G21" s="15" t="str">
        <x:v>case</x:v>
      </x:c>
      <x:c r="H21" s="15" t="str">
        <x:v>case:tindall &amp; anor v chief constable of thames valley police &amp; anor</x:v>
      </x:c>
      <x:c r="I21" s="15" t="str">
        <x:v>Tindall &amp; Anor v Chief Constable of Thames Valley Police &amp; Anor</x:v>
      </x:c>
      <x:c r="J21" s="15" t="str">
        <x:v>N/A</x:v>
      </x:c>
      <x:c r="K21" s="15" t="str">
        <x:v>4685ad0e-87e7-4f59-8991-823ab27d9393</x:v>
      </x:c>
      <x:c r="L21" s="15" t="str"/>
      <x:c r="M21" s="15" t="n">
        <x:v>1</x:v>
      </x:c>
      <x:c r="N21" s="15" t="str">
        <x:v>factualFindings.chronology[1].sourceCases[0]</x:v>
      </x:c>
    </x:row>
    <x:row r="22">
      <x:c r="A22" s="1" t="str">
        <x:v>U0021</x:v>
      </x:c>
      <x:c r="B22" s="1" t="str">
        <x:v>cmlzrzxca000304l2qk1vevzx</x:v>
      </x:c>
      <x:c r="C22" s="1" t="str">
        <x:v>skeleton-args-ca2023002207-ce0aafdf6d7e5716</x:v>
      </x:c>
      <x:c r="D22" s="1" t="str">
        <x:v>synthetic</x:v>
      </x:c>
      <x:c r="E22" s="15" t="str">
        <x:v>Karpasitis v Hertfordshire County Council</x:v>
      </x:c>
      <x:c r="F22" s="16" t="n">
        <x:v>46076.95580008102</x:v>
      </x:c>
      <x:c r="G22" s="15" t="str">
        <x:v>legislation</x:v>
      </x:c>
      <x:c r="H22" s="15" t="str">
        <x:v>legislation:highways act 1980 41</x:v>
      </x:c>
      <x:c r="I22" s="15" t="str">
        <x:v>Highways Act 1980</x:v>
      </x:c>
      <x:c r="J22" s="15" t="str">
        <x:v>Highways Act 1980 41</x:v>
      </x:c>
      <x:c r="K22" s="15" t="str"/>
      <x:c r="L22" s="15" t="str">
        <x:v>41</x:v>
      </x:c>
      <x:c r="M22" s="15" t="n">
        <x:v>1</x:v>
      </x:c>
      <x:c r="N22" s="15" t="str">
        <x:v>legalFramework.statutoryProvisions[1]</x:v>
      </x:c>
    </x:row>
    <x:row r="23">
      <x:c r="A23" s="1" t="str">
        <x:v>U0022</x:v>
      </x:c>
      <x:c r="B23" s="1" t="str">
        <x:v>cmlzrzxca000304l2qk1vevzx</x:v>
      </x:c>
      <x:c r="C23" s="1" t="str">
        <x:v>skeleton-args-ca2023002207-ce0aafdf6d7e5716</x:v>
      </x:c>
      <x:c r="D23" s="1" t="str">
        <x:v>synthetic</x:v>
      </x:c>
      <x:c r="E23" s="15" t="str">
        <x:v>Karpasitis v Hertfordshire County Council</x:v>
      </x:c>
      <x:c r="F23" s="16" t="n">
        <x:v>46076.95580008102</x:v>
      </x:c>
      <x:c r="G23" s="15" t="str">
        <x:v>legislation</x:v>
      </x:c>
      <x:c r="H23" s="15" t="str">
        <x:v>legislation:highways act 1980 58</x:v>
      </x:c>
      <x:c r="I23" s="15" t="str">
        <x:v>Highways Act 1980</x:v>
      </x:c>
      <x:c r="J23" s="15" t="str">
        <x:v>Highways Act 1980 58</x:v>
      </x:c>
      <x:c r="K23" s="15" t="str"/>
      <x:c r="L23" s="15" t="str">
        <x:v>58</x:v>
      </x:c>
      <x:c r="M23" s="15" t="n">
        <x:v>1</x:v>
      </x:c>
      <x:c r="N23" s="15" t="str">
        <x:v>legalFramework.statutoryProvisions[0]</x:v>
      </x:c>
    </x:row>
    <x:row r="24">
      <x:c r="A24" s="1" t="str">
        <x:v>U0023</x:v>
      </x:c>
      <x:c r="B24" s="1" t="str">
        <x:v>cmlzrzxca000304l2qk1vevzx</x:v>
      </x:c>
      <x:c r="C24" s="1" t="str">
        <x:v>skeleton-args-ca2023002207-ce0aafdf6d7e5716</x:v>
      </x:c>
      <x:c r="D24" s="1" t="str">
        <x:v>synthetic</x:v>
      </x:c>
      <x:c r="E24" s="15" t="str">
        <x:v>Karpasitis v Hertfordshire County Council</x:v>
      </x:c>
      <x:c r="F24" s="16" t="n">
        <x:v>46076.95580008102</x:v>
      </x:c>
      <x:c r="G24" s="15" t="str">
        <x:v>legislation</x:v>
      </x:c>
      <x:c r="H24" s="15" t="str">
        <x:v>legislation:senior courts act 1981 35a</x:v>
      </x:c>
      <x:c r="I24" s="15" t="str">
        <x:v>Senior Courts Act 1981</x:v>
      </x:c>
      <x:c r="J24" s="15" t="str">
        <x:v>Senior Courts Act 1981 35A</x:v>
      </x:c>
      <x:c r="K24" s="15" t="str"/>
      <x:c r="L24" s="15" t="str">
        <x:v>35A</x:v>
      </x:c>
      <x:c r="M24" s="15" t="n">
        <x:v>1</x:v>
      </x:c>
      <x:c r="N24" s="15" t="str">
        <x:v>legalFramework.statutoryProvisions[2]</x:v>
      </x:c>
    </x:row>
    <x:row r="25">
      <x:c r="A25" s="1" t="str">
        <x:v>U0024</x:v>
      </x:c>
      <x:c r="B25" s="1" t="str">
        <x:v>cmlzrzxca000304l2qk1vevzx</x:v>
      </x:c>
      <x:c r="C25" s="1" t="str">
        <x:v>skeleton-args-ca2023002207-ce0aafdf6d7e5716</x:v>
      </x:c>
      <x:c r="D25" s="1" t="str">
        <x:v>synthetic</x:v>
      </x:c>
      <x:c r="E25" s="15" t="str">
        <x:v>Karpasitis v Hertfordshire County Council</x:v>
      </x:c>
      <x:c r="F25" s="16" t="n">
        <x:v>46076.95580008102</x:v>
      </x:c>
      <x:c r="G25" s="15" t="str">
        <x:v>legislation</x:v>
      </x:c>
      <x:c r="H25" s="15" t="str">
        <x:v>legislation:senior courts act 1981 s 35a</x:v>
      </x:c>
      <x:c r="I25" s="15" t="str">
        <x:v>Senior Courts Act 1981, s.35A</x:v>
      </x:c>
      <x:c r="J25" s="15" t="str">
        <x:v>Senior Courts Act 1981, s.35A</x:v>
      </x:c>
      <x:c r="K25" s="15" t="str"/>
      <x:c r="L25" s="15" t="str"/>
      <x:c r="M25" s="15" t="n">
        <x:v>1</x:v>
      </x:c>
      <x:c r="N25" s="15" t="str">
        <x:v>decisionAndDisposition.interest.statutoryBasis</x:v>
      </x:c>
    </x:row>
    <x:row r="26">
      <x:c r="A26" s="1" t="str">
        <x:v>U0025</x:v>
      </x:c>
      <x:c r="B26" s="1" t="str">
        <x:v>cmlzrzxca000304l2qk1vevzx</x:v>
      </x:c>
      <x:c r="C26" s="1" t="str">
        <x:v>skeleton-args-ca2023002207-ce0aafdf6d7e5716</x:v>
      </x:c>
      <x:c r="D26" s="1" t="str">
        <x:v>synthetic</x:v>
      </x:c>
      <x:c r="E26" s="15" t="str">
        <x:v>Karpasitis v Hertfordshire County Council</x:v>
      </x:c>
      <x:c r="F26" s="16" t="n">
        <x:v>46076.95580008102</x:v>
      </x:c>
      <x:c r="G26" s="15" t="str">
        <x:v>other</x:v>
      </x:c>
      <x:c r="H26" s="15" t="str">
        <x:v>other:2004 1 wlr 1057</x:v>
      </x:c>
      <x:c r="I26" s="15" t="str">
        <x:v>[2004] 1 WLR 1057</x:v>
      </x:c>
      <x:c r="J26" s="15" t="str">
        <x:v>[2004] 1 WLR 1057</x:v>
      </x:c>
      <x:c r="K26" s="15" t="str"/>
      <x:c r="L26" s="15" t="str"/>
      <x:c r="M26" s="15" t="n">
        <x:v>1</x:v>
      </x:c>
      <x:c r="N26" s="15" t="str">
        <x:v>legalFramework.precedentCitations[0]</x:v>
      </x:c>
    </x:row>
    <x:row r="27">
      <x:c r="A27" s="1" t="str">
        <x:v>U0026</x:v>
      </x:c>
      <x:c r="B27" s="1" t="str">
        <x:v>cmlzy9ss300fz04i80p2yfbg1</x:v>
      </x:c>
      <x:c r="C27" s="1" t="str">
        <x:v>skeleton-args-ca2024001234-346b2d683b5c2099</x:v>
      </x:c>
      <x:c r="D27" s="1" t="str">
        <x:v>synthetic</x:v>
      </x:c>
      <x:c r="E27" s="15" t="str">
        <x:v>Transport Action Network Limited v Secretary of State for Transport</x:v>
      </x:c>
      <x:c r="F27" s="16" t="n">
        <x:v>46077.07777166666</x:v>
      </x:c>
      <x:c r="G27" s="15" t="str">
        <x:v>case</x:v>
      </x:c>
      <x:c r="H27" s="15" t="str">
        <x:v>case:2000 1 wlr 377</x:v>
      </x:c>
      <x:c r="I27" s="15" t="str">
        <x:v>Flannery v Halifax Estate Agencies Ltd [2000] 1 WLR 377</x:v>
      </x:c>
      <x:c r="J27" s="15" t="str">
        <x:v>Flannery v Halifax Estate Agencies Ltd [2000] 1 WLR 377</x:v>
      </x:c>
      <x:c r="K27" s="15" t="str"/>
      <x:c r="L27" s="15" t="str"/>
      <x:c r="M27" s="15" t="n">
        <x:v>1</x:v>
      </x:c>
      <x:c r="N27" s="15" t="str">
        <x:v>legalFramework.precedentCitations[1]</x:v>
      </x:c>
    </x:row>
    <x:row r="28">
      <x:c r="A28" s="1" t="str">
        <x:v>U0027</x:v>
      </x:c>
      <x:c r="B28" s="1" t="str">
        <x:v>cmlzy9ss300fz04i80p2yfbg1</x:v>
      </x:c>
      <x:c r="C28" s="1" t="str">
        <x:v>skeleton-args-ca2024001234-346b2d683b5c2099</x:v>
      </x:c>
      <x:c r="D28" s="1" t="str">
        <x:v>synthetic</x:v>
      </x:c>
      <x:c r="E28" s="15" t="str">
        <x:v>Transport Action Network Limited v Secretary of State for Transport</x:v>
      </x:c>
      <x:c r="F28" s="16" t="n">
        <x:v>46077.07777166666</x:v>
      </x:c>
      <x:c r="G28" s="15" t="str">
        <x:v>case</x:v>
      </x:c>
      <x:c r="H28" s="15" t="str">
        <x:v>case:2002 ewca civ 605</x:v>
      </x:c>
      <x:c r="I28" s="15" t="str">
        <x:v>English v Emery Reimbold &amp; Strick Ltd [2002] EWCA Civ 605</x:v>
      </x:c>
      <x:c r="J28" s="15" t="str">
        <x:v>English v Emery Reimbold &amp; Strick Ltd [2002] EWCA Civ 605</x:v>
      </x:c>
      <x:c r="K28" s="15" t="str"/>
      <x:c r="L28" s="15" t="str"/>
      <x:c r="M28" s="15" t="n">
        <x:v>1</x:v>
      </x:c>
      <x:c r="N28" s="15" t="str">
        <x:v>legalFramework.precedentCitations[0]</x:v>
      </x:c>
    </x:row>
    <x:row r="29">
      <x:c r="A29" s="1" t="str">
        <x:v>U0028</x:v>
      </x:c>
      <x:c r="B29" s="1" t="str">
        <x:v>cmlzy9ss300fz04i80p2yfbg1</x:v>
      </x:c>
      <x:c r="C29" s="1" t="str">
        <x:v>skeleton-args-ca2024001234-346b2d683b5c2099</x:v>
      </x:c>
      <x:c r="D29" s="1" t="str">
        <x:v>synthetic</x:v>
      </x:c>
      <x:c r="E29" s="15" t="str">
        <x:v>Transport Action Network Limited v Secretary of State for Transport</x:v>
      </x:c>
      <x:c r="F29" s="16" t="n">
        <x:v>46077.07777166666</x:v>
      </x:c>
      <x:c r="G29" s="15" t="str">
        <x:v>case</x:v>
      </x:c>
      <x:c r="H29" s="15" t="str">
        <x:v>case:2016 ewca civ 480</x:v>
      </x:c>
      <x:c r="I29" s="15" t="str">
        <x:v>London Borough of Enfield, R (on the application of) v Secretary of State for Transport &amp; Ors</x:v>
      </x:c>
      <x:c r="J29" s="15" t="str">
        <x:v>[2016] EWCA Civ 480</x:v>
      </x:c>
      <x:c r="K29" s="15" t="str">
        <x:v>f5a5b44e-fcf0-40c0-9bf9-69f026b1b438</x:v>
      </x:c>
      <x:c r="L29" s="15" t="str"/>
      <x:c r="M29" s="15" t="n">
        <x:v>3</x:v>
      </x:c>
      <x:c r="N29" s="15" t="str">
        <x:v>factualFindings.contestedFacts[2].sourceCases[0] | issuesForDetermination.issueMatrix[2].sourceCases[0] | reasoningStructure[2].sourceCases[0]</x:v>
      </x:c>
    </x:row>
    <x:row r="30">
      <x:c r="A30" s="1" t="str">
        <x:v>U0029</x:v>
      </x:c>
      <x:c r="B30" s="1" t="str">
        <x:v>cmlzy9ss300fz04i80p2yfbg1</x:v>
      </x:c>
      <x:c r="C30" s="1" t="str">
        <x:v>skeleton-args-ca2024001234-346b2d683b5c2099</x:v>
      </x:c>
      <x:c r="D30" s="1" t="str">
        <x:v>synthetic</x:v>
      </x:c>
      <x:c r="E30" s="15" t="str">
        <x:v>Transport Action Network Limited v Secretary of State for Transport</x:v>
      </x:c>
      <x:c r="F30" s="16" t="n">
        <x:v>46077.07777166666</x:v>
      </x:c>
      <x:c r="G30" s="15" t="str">
        <x:v>case</x:v>
      </x:c>
      <x:c r="H30" s="15" t="str">
        <x:v>case:2022 ewca civ 187</x:v>
      </x:c>
      <x:c r="I30" s="15" t="str">
        <x:v>Finch On Behalf of the Weald Action Group, R (On the Application Of) v Surrey County Council &amp; Ors</x:v>
      </x:c>
      <x:c r="J30" s="15" t="str">
        <x:v>[2022] EWCA Civ 187</x:v>
      </x:c>
      <x:c r="K30" s="15" t="str">
        <x:v>968e5c88-1f2c-4da8-9290-4111f416ec6e</x:v>
      </x:c>
      <x:c r="L30" s="15" t="str"/>
      <x:c r="M30" s="15" t="n">
        <x:v>3</x:v>
      </x:c>
      <x:c r="N30" s="15" t="str">
        <x:v>factualFindings.contestedFacts[0].sourceCases[0] | issuesForDetermination.issueMatrix[0].sourceCases[0] | reasoningStructure[0].sourceCases[0]</x:v>
      </x:c>
    </x:row>
    <x:row r="31">
      <x:c r="A31" s="1" t="str">
        <x:v>U0030</x:v>
      </x:c>
      <x:c r="B31" s="1" t="str">
        <x:v>cmlzy9ss300fz04i80p2yfbg1</x:v>
      </x:c>
      <x:c r="C31" s="1" t="str">
        <x:v>skeleton-args-ca2024001234-346b2d683b5c2099</x:v>
      </x:c>
      <x:c r="D31" s="1" t="str">
        <x:v>synthetic</x:v>
      </x:c>
      <x:c r="E31" s="15" t="str">
        <x:v>Transport Action Network Limited v Secretary of State for Transport</x:v>
      </x:c>
      <x:c r="F31" s="16" t="n">
        <x:v>46077.07777166666</x:v>
      </x:c>
      <x:c r="G31" s="15" t="str">
        <x:v>case</x:v>
      </x:c>
      <x:c r="H31" s="15" t="str">
        <x:v>case:2022 ewca civ 983</x:v>
      </x:c>
      <x:c r="I31" s="15" t="str">
        <x:v>Wyatt v Fareham Borough Council (Rev1)</x:v>
      </x:c>
      <x:c r="J31" s="15" t="str">
        <x:v>[2022] EWCA Civ 983</x:v>
      </x:c>
      <x:c r="K31" s="15" t="str">
        <x:v>1d957476-2c0d-4578-8a43-679ec600e382</x:v>
      </x:c>
      <x:c r="L31" s="15" t="str"/>
      <x:c r="M31" s="15" t="n">
        <x:v>3</x:v>
      </x:c>
      <x:c r="N31" s="15" t="str">
        <x:v>factualFindings.contestedFacts[1].sourceCases[0] | issuesForDetermination.issueMatrix[1].sourceCases[0] | reasoningStructure[1].sourceCases[0]</x:v>
      </x:c>
    </x:row>
    <x:row r="32">
      <x:c r="A32" s="1" t="str">
        <x:v>U0031</x:v>
      </x:c>
      <x:c r="B32" s="1" t="str">
        <x:v>cmlzy9ss300fz04i80p2yfbg1</x:v>
      </x:c>
      <x:c r="C32" s="1" t="str">
        <x:v>skeleton-args-ca2024001234-346b2d683b5c2099</x:v>
      </x:c>
      <x:c r="D32" s="1" t="str">
        <x:v>synthetic</x:v>
      </x:c>
      <x:c r="E32" s="15" t="str">
        <x:v>Transport Action Network Limited v Secretary of State for Transport</x:v>
      </x:c>
      <x:c r="F32" s="16" t="n">
        <x:v>46077.07777166666</x:v>
      </x:c>
      <x:c r="G32" s="15" t="str">
        <x:v>legislation</x:v>
      </x:c>
      <x:c r="H32" s="15" t="str">
        <x:v>legislation:administrative justice and tribunals council act 2007 n a</x:v>
      </x:c>
      <x:c r="I32" s="15" t="str">
        <x:v>Administrative Justice and Tribunals Council Act 2007</x:v>
      </x:c>
      <x:c r="J32" s="15" t="str">
        <x:v>Administrative Justice and Tribunals Council Act 2007 N/A</x:v>
      </x:c>
      <x:c r="K32" s="15" t="str"/>
      <x:c r="L32" s="15" t="str">
        <x:v>N/A</x:v>
      </x:c>
      <x:c r="M32" s="15" t="n">
        <x:v>1</x:v>
      </x:c>
      <x:c r="N32" s="15" t="str">
        <x:v>legalFramework.statutoryProvisions[2]</x:v>
      </x:c>
    </x:row>
    <x:row r="33">
      <x:c r="A33" s="1" t="str">
        <x:v>U0032</x:v>
      </x:c>
      <x:c r="B33" s="1" t="str">
        <x:v>cmlzy9ss300fz04i80p2yfbg1</x:v>
      </x:c>
      <x:c r="C33" s="1" t="str">
        <x:v>skeleton-args-ca2024001234-346b2d683b5c2099</x:v>
      </x:c>
      <x:c r="D33" s="1" t="str">
        <x:v>synthetic</x:v>
      </x:c>
      <x:c r="E33" s="15" t="str">
        <x:v>Transport Action Network Limited v Secretary of State for Transport</x:v>
      </x:c>
      <x:c r="F33" s="16" t="n">
        <x:v>46077.07777166666</x:v>
      </x:c>
      <x:c r="G33" s="15" t="str">
        <x:v>legislation</x:v>
      </x:c>
      <x:c r="H33" s="15" t="str">
        <x:v>legislation:cpr practice direction 52d</x:v>
      </x:c>
      <x:c r="I33" s="15" t="str">
        <x:v>CPR Practice Direction 52D</x:v>
      </x:c>
      <x:c r="J33" s="15" t="str">
        <x:v>CPR Practice Direction 52D</x:v>
      </x:c>
      <x:c r="K33" s="15" t="str"/>
      <x:c r="L33" s="15" t="str"/>
      <x:c r="M33" s="15" t="n">
        <x:v>1</x:v>
      </x:c>
      <x:c r="N33" s="15" t="str">
        <x:v>legalFramework.precedentCitations[2]</x:v>
      </x:c>
    </x:row>
    <x:row r="34">
      <x:c r="A34" s="1" t="str">
        <x:v>U0033</x:v>
      </x:c>
      <x:c r="B34" s="1" t="str">
        <x:v>cmlzy9ss300fz04i80p2yfbg1</x:v>
      </x:c>
      <x:c r="C34" s="1" t="str">
        <x:v>skeleton-args-ca2024001234-346b2d683b5c2099</x:v>
      </x:c>
      <x:c r="D34" s="1" t="str">
        <x:v>synthetic</x:v>
      </x:c>
      <x:c r="E34" s="15" t="str">
        <x:v>Transport Action Network Limited v Secretary of State for Transport</x:v>
      </x:c>
      <x:c r="F34" s="16" t="n">
        <x:v>46077.07777166666</x:v>
      </x:c>
      <x:c r="G34" s="15" t="str">
        <x:v>legislation</x:v>
      </x:c>
      <x:c r="H34" s="15" t="str">
        <x:v>legislation:infrastructure act 2015 21</x:v>
      </x:c>
      <x:c r="I34" s="15" t="str">
        <x:v>Infrastructure Act 2015</x:v>
      </x:c>
      <x:c r="J34" s="15" t="str">
        <x:v>Infrastructure Act 2015 21</x:v>
      </x:c>
      <x:c r="K34" s="15" t="str"/>
      <x:c r="L34" s="15" t="str">
        <x:v>21</x:v>
      </x:c>
      <x:c r="M34" s="15" t="n">
        <x:v>1</x:v>
      </x:c>
      <x:c r="N34" s="15" t="str">
        <x:v>legalFramework.statutoryProvisions[0]</x:v>
      </x:c>
    </x:row>
    <x:row r="35">
      <x:c r="A35" s="1" t="str">
        <x:v>U0034</x:v>
      </x:c>
      <x:c r="B35" s="1" t="str">
        <x:v>cmlzy9ss300fz04i80p2yfbg1</x:v>
      </x:c>
      <x:c r="C35" s="1" t="str">
        <x:v>skeleton-args-ca2024001234-346b2d683b5c2099</x:v>
      </x:c>
      <x:c r="D35" s="1" t="str">
        <x:v>synthetic</x:v>
      </x:c>
      <x:c r="E35" s="15" t="str">
        <x:v>Transport Action Network Limited v Secretary of State for Transport</x:v>
      </x:c>
      <x:c r="F35" s="16" t="n">
        <x:v>46077.07777166666</x:v>
      </x:c>
      <x:c r="G35" s="15" t="str">
        <x:v>legislation</x:v>
      </x:c>
      <x:c r="H35" s="15" t="str">
        <x:v>legislation:infrastructure act 2015 s 21</x:v>
      </x:c>
      <x:c r="I35" s="15" t="str">
        <x:v>Infrastructure Act 2015, s.21</x:v>
      </x:c>
      <x:c r="J35" s="15" t="str">
        <x:v>Infrastructure Act 2015, s.21</x:v>
      </x:c>
      <x:c r="K35" s="15" t="str"/>
      <x:c r="L35" s="15" t="str"/>
      <x:c r="M35" s="15" t="n">
        <x:v>1</x:v>
      </x:c>
      <x:c r="N35" s="15" t="str">
        <x:v>legalFramework.legalTestSummaries[0].sourceAuthority</x:v>
      </x:c>
    </x:row>
    <x:row r="36">
      <x:c r="A36" s="1" t="str">
        <x:v>U0035</x:v>
      </x:c>
      <x:c r="B36" s="1" t="str">
        <x:v>cmlzy9ss300fz04i80p2yfbg1</x:v>
      </x:c>
      <x:c r="C36" s="1" t="str">
        <x:v>skeleton-args-ca2024001234-346b2d683b5c2099</x:v>
      </x:c>
      <x:c r="D36" s="1" t="str">
        <x:v>synthetic</x:v>
      </x:c>
      <x:c r="E36" s="15" t="str">
        <x:v>Transport Action Network Limited v Secretary of State for Transport</x:v>
      </x:c>
      <x:c r="F36" s="16" t="n">
        <x:v>46077.07777166666</x:v>
      </x:c>
      <x:c r="G36" s="15" t="str">
        <x:v>legislation</x:v>
      </x:c>
      <x:c r="H36" s="15" t="str">
        <x:v>legislation:local government finance regulations</x:v>
      </x:c>
      <x:c r="I36" s="15" t="str">
        <x:v>Local government finance regulations</x:v>
      </x:c>
      <x:c r="J36" s="15" t="str">
        <x:v>Local government finance regulations</x:v>
      </x:c>
      <x:c r="K36" s="15" t="str"/>
      <x:c r="L36" s="15" t="str"/>
      <x:c r="M36" s="15" t="n">
        <x:v>1</x:v>
      </x:c>
      <x:c r="N36" s="15" t="str">
        <x:v>legalFramework.legalTestSummaries[2].sourceAuthority</x:v>
      </x:c>
    </x:row>
    <x:row r="37">
      <x:c r="A37" s="1" t="str">
        <x:v>U0036</x:v>
      </x:c>
      <x:c r="B37" s="1" t="str">
        <x:v>cmlzy9ss300fz04i80p2yfbg1</x:v>
      </x:c>
      <x:c r="C37" s="1" t="str">
        <x:v>skeleton-args-ca2024001234-346b2d683b5c2099</x:v>
      </x:c>
      <x:c r="D37" s="1" t="str">
        <x:v>synthetic</x:v>
      </x:c>
      <x:c r="E37" s="15" t="str">
        <x:v>Transport Action Network Limited v Secretary of State for Transport</x:v>
      </x:c>
      <x:c r="F37" s="16" t="n">
        <x:v>46077.07777166666</x:v>
      </x:c>
      <x:c r="G37" s="15" t="str">
        <x:v>legislation</x:v>
      </x:c>
      <x:c r="H37" s="15" t="str">
        <x:v>legislation:senior courts act 1981 s 35a</x:v>
      </x:c>
      <x:c r="I37" s="15" t="str">
        <x:v>Senior Courts Act 1981</x:v>
      </x:c>
      <x:c r="J37" s="15" t="str">
        <x:v>Senior Courts Act 1981 s.35A</x:v>
      </x:c>
      <x:c r="K37" s="15" t="str"/>
      <x:c r="L37" s="15" t="str">
        <x:v>s.35A</x:v>
      </x:c>
      <x:c r="M37" s="15" t="n">
        <x:v>2</x:v>
      </x:c>
      <x:c r="N37" s="15" t="str">
        <x:v>decisionAndDisposition.interest.statutoryBasis | legalFramework.statutoryProvisions[1]</x:v>
      </x:c>
    </x:row>
    <x:row r="38">
      <x:c r="A38" s="1" t="str">
        <x:v>U0037</x:v>
      </x:c>
      <x:c r="B38" s="1" t="str">
        <x:v>cmlzy9ss300fz04i80p2yfbg1</x:v>
      </x:c>
      <x:c r="C38" s="1" t="str">
        <x:v>skeleton-args-ca2024001234-346b2d683b5c2099</x:v>
      </x:c>
      <x:c r="D38" s="1" t="str">
        <x:v>synthetic</x:v>
      </x:c>
      <x:c r="E38" s="15" t="str">
        <x:v>Transport Action Network Limited v Secretary of State for Transport</x:v>
      </x:c>
      <x:c r="F38" s="16" t="n">
        <x:v>46077.07777166666</x:v>
      </x:c>
      <x:c r="G38" s="15" t="str">
        <x:v>other</x:v>
      </x:c>
      <x:c r="H38" s="15" t="str">
        <x:v>other:general principles from public law interpretation</x:v>
      </x:c>
      <x:c r="I38" s="15" t="str">
        <x:v>General principles from public law interpretation</x:v>
      </x:c>
      <x:c r="J38" s="15" t="str">
        <x:v>General principles from public law interpretation</x:v>
      </x:c>
      <x:c r="K38" s="15" t="str"/>
      <x:c r="L38" s="15" t="str"/>
      <x:c r="M38" s="15" t="n">
        <x:v>1</x:v>
      </x:c>
      <x:c r="N38" s="15" t="str">
        <x:v>legalFramework.legalTestSummaries[1].sourceAuthority</x:v>
      </x:c>
    </x:row>
    <x:row r="39">
      <x:c r="A39" s="1" t="str">
        <x:v>U0038</x:v>
      </x:c>
      <x:c r="B39" s="1" t="str">
        <x:v>cmm0bebet000404jvmcxyqo4x</x:v>
      </x:c>
      <x:c r="C39" s="1" t="str">
        <x:v>skeleton-args-ca2016009836-d5eefd60a70a11d6</x:v>
      </x:c>
      <x:c r="D39" s="1" t="str">
        <x:v>synthetic</x:v>
      </x:c>
      <x:c r="E39" s="15" t="str">
        <x:v>Beacon Manufacturing Ltd v Alliance Insurance Plc</x:v>
      </x:c>
      <x:c r="F39" s="16" t="n">
        <x:v>46077.33293114584</x:v>
      </x:c>
      <x:c r="G39" s="15" t="str">
        <x:v>case</x:v>
      </x:c>
      <x:c r="H39" s="15" t="str">
        <x:v>case:2002 ewca civ 605</x:v>
      </x:c>
      <x:c r="I39" s="15" t="str">
        <x:v>[2002] EWCA Civ 605</x:v>
      </x:c>
      <x:c r="J39" s="15" t="str">
        <x:v>[2002] EWCA Civ 605</x:v>
      </x:c>
      <x:c r="K39" s="15" t="str"/>
      <x:c r="L39" s="15" t="str"/>
      <x:c r="M39" s="15" t="n">
        <x:v>1</x:v>
      </x:c>
      <x:c r="N39" s="15" t="str">
        <x:v>legalFramework.precedentCitations[0]</x:v>
      </x:c>
    </x:row>
    <x:row r="40">
      <x:c r="A40" s="1" t="str">
        <x:v>U0039</x:v>
      </x:c>
      <x:c r="B40" s="1" t="str">
        <x:v>cmm0bebet000404jvmcxyqo4x</x:v>
      </x:c>
      <x:c r="C40" s="1" t="str">
        <x:v>skeleton-args-ca2016009836-d5eefd60a70a11d6</x:v>
      </x:c>
      <x:c r="D40" s="1" t="str">
        <x:v>synthetic</x:v>
      </x:c>
      <x:c r="E40" s="15" t="str">
        <x:v>Beacon Manufacturing Ltd v Alliance Insurance Plc</x:v>
      </x:c>
      <x:c r="F40" s="16" t="n">
        <x:v>46077.33293114584</x:v>
      </x:c>
      <x:c r="G40" s="15" t="str">
        <x:v>case</x:v>
      </x:c>
      <x:c r="H40" s="15" t="str">
        <x:v>case:2016 ewca civ 1003</x:v>
      </x:c>
      <x:c r="I40" s="15" t="str">
        <x:v>Great Lakes Reinsurance (UK) SE v Western Trading Ltd</x:v>
      </x:c>
      <x:c r="J40" s="15" t="str">
        <x:v>[2016] EWCA Civ 1003</x:v>
      </x:c>
      <x:c r="K40" s="15" t="str">
        <x:v>e050e594-d197-45f1-ba15-7d110c0d93c4</x:v>
      </x:c>
      <x:c r="L40" s="15" t="str"/>
      <x:c r="M40" s="15" t="n">
        <x:v>4</x:v>
      </x:c>
      <x:c r="N40" s="15" t="str">
        <x:v>factualFindings.contestedFacts[0].sourceCases[0] | issuesForDetermination.issueMatrix[0].sourceCases[0] | legalFramework.statutoryProvisions[0].sourceCases[0] | reasoningStructure[0].sourceCases[0]</x:v>
      </x:c>
    </x:row>
    <x:row r="41">
      <x:c r="A41" s="1" t="str">
        <x:v>U0040</x:v>
      </x:c>
      <x:c r="B41" s="1" t="str">
        <x:v>cmm0bebet000404jvmcxyqo4x</x:v>
      </x:c>
      <x:c r="C41" s="1" t="str">
        <x:v>skeleton-args-ca2016009836-d5eefd60a70a11d6</x:v>
      </x:c>
      <x:c r="D41" s="1" t="str">
        <x:v>synthetic</x:v>
      </x:c>
      <x:c r="E41" s="15" t="str">
        <x:v>Beacon Manufacturing Ltd v Alliance Insurance Plc</x:v>
      </x:c>
      <x:c r="F41" s="16" t="n">
        <x:v>46077.33293114584</x:v>
      </x:c>
      <x:c r="G41" s="15" t="str">
        <x:v>case</x:v>
      </x:c>
      <x:c r="H41" s="15" t="str">
        <x:v>case:2016 uksc 45</x:v>
      </x:c>
      <x:c r="I41" s="15" t="str">
        <x:v>Versloot Dredging BV v HDI Gerling Industrie Versicherung AG</x:v>
      </x:c>
      <x:c r="J41" s="15" t="str">
        <x:v>[2016] UKSC 45</x:v>
      </x:c>
      <x:c r="K41" s="15" t="str">
        <x:v>426ca317-9dae-45bd-99cb-deb7de4b7766</x:v>
      </x:c>
      <x:c r="L41" s="15" t="str"/>
      <x:c r="M41" s="15" t="n">
        <x:v>4</x:v>
      </x:c>
      <x:c r="N41" s="15" t="str">
        <x:v>factualFindings.contestedFacts[1].sourceCases[0] | issuesForDetermination.issueMatrix[1].sourceCases[0] | legalFramework.statutoryProvisions[1].sourceCases[0] | reasoningStructure[1].sourceCases[0]</x:v>
      </x:c>
    </x:row>
    <x:row r="42">
      <x:c r="A42" s="1" t="str">
        <x:v>U0041</x:v>
      </x:c>
      <x:c r="B42" s="1" t="str">
        <x:v>cmm0bebet000404jvmcxyqo4x</x:v>
      </x:c>
      <x:c r="C42" s="1" t="str">
        <x:v>skeleton-args-ca2016009836-d5eefd60a70a11d6</x:v>
      </x:c>
      <x:c r="D42" s="1" t="str">
        <x:v>synthetic</x:v>
      </x:c>
      <x:c r="E42" s="15" t="str">
        <x:v>Beacon Manufacturing Ltd v Alliance Insurance Plc</x:v>
      </x:c>
      <x:c r="F42" s="16" t="n">
        <x:v>46077.33293114584</x:v>
      </x:c>
      <x:c r="G42" s="15" t="str">
        <x:v>legislation</x:v>
      </x:c>
      <x:c r="H42" s="15" t="str">
        <x:v>legislation:insurance act 2015 s 10</x:v>
      </x:c>
      <x:c r="I42" s="15" t="str">
        <x:v>Insurance Act 2015</x:v>
      </x:c>
      <x:c r="J42" s="15" t="str">
        <x:v>Insurance Act 2015 s. 10</x:v>
      </x:c>
      <x:c r="K42" s="15" t="str"/>
      <x:c r="L42" s="15" t="str">
        <x:v>s. 10</x:v>
      </x:c>
      <x:c r="M42" s="15" t="n">
        <x:v>1</x:v>
      </x:c>
      <x:c r="N42" s="15" t="str">
        <x:v>legalFramework.statutoryProvisions[1]</x:v>
      </x:c>
    </x:row>
    <x:row r="43">
      <x:c r="A43" s="1" t="str">
        <x:v>U0042</x:v>
      </x:c>
      <x:c r="B43" s="1" t="str">
        <x:v>cmm0bebet000404jvmcxyqo4x</x:v>
      </x:c>
      <x:c r="C43" s="1" t="str">
        <x:v>skeleton-args-ca2016009836-d5eefd60a70a11d6</x:v>
      </x:c>
      <x:c r="D43" s="1" t="str">
        <x:v>synthetic</x:v>
      </x:c>
      <x:c r="E43" s="15" t="str">
        <x:v>Beacon Manufacturing Ltd v Alliance Insurance Plc</x:v>
      </x:c>
      <x:c r="F43" s="16" t="n">
        <x:v>46077.33293114584</x:v>
      </x:c>
      <x:c r="G43" s="15" t="str">
        <x:v>legislation</x:v>
      </x:c>
      <x:c r="H43" s="15" t="str">
        <x:v>legislation:insurance act 2015 s 8</x:v>
      </x:c>
      <x:c r="I43" s="15" t="str">
        <x:v>Insurance Act 2015</x:v>
      </x:c>
      <x:c r="J43" s="15" t="str">
        <x:v>Insurance Act 2015 s. 8</x:v>
      </x:c>
      <x:c r="K43" s="15" t="str"/>
      <x:c r="L43" s="15" t="str">
        <x:v>s. 8</x:v>
      </x:c>
      <x:c r="M43" s="15" t="n">
        <x:v>2</x:v>
      </x:c>
      <x:c r="N43" s="15" t="str">
        <x:v>legalFramework.legalTestSummaries[0].sourceAuthority | legalFramework.statutoryProvisions[0]</x:v>
      </x:c>
    </x:row>
    <x:row r="44">
      <x:c r="A44" s="1" t="str">
        <x:v>U0043</x:v>
      </x:c>
      <x:c r="B44" s="1" t="str">
        <x:v>cmm0bebet000404jvmcxyqo4x</x:v>
      </x:c>
      <x:c r="C44" s="1" t="str">
        <x:v>skeleton-args-ca2016009836-d5eefd60a70a11d6</x:v>
      </x:c>
      <x:c r="D44" s="1" t="str">
        <x:v>synthetic</x:v>
      </x:c>
      <x:c r="E44" s="15" t="str">
        <x:v>Beacon Manufacturing Ltd v Alliance Insurance Plc</x:v>
      </x:c>
      <x:c r="F44" s="16" t="n">
        <x:v>46077.33293114584</x:v>
      </x:c>
      <x:c r="G44" s="15" t="str">
        <x:v>legislation</x:v>
      </x:c>
      <x:c r="H44" s="15" t="str">
        <x:v>legislation:senior courts act 1981 s 35a</x:v>
      </x:c>
      <x:c r="I44" s="15" t="str">
        <x:v>Senior Courts Act 1981, s. 35A</x:v>
      </x:c>
      <x:c r="J44" s="15" t="str">
        <x:v>Senior Courts Act 1981, s. 35A</x:v>
      </x:c>
      <x:c r="K44" s="15" t="str"/>
      <x:c r="L44" s="15" t="str"/>
      <x:c r="M44" s="15" t="n">
        <x:v>1</x:v>
      </x:c>
      <x:c r="N44" s="15" t="str">
        <x:v>decisionAndDisposition.interest.statutoryBasis</x:v>
      </x:c>
    </x:row>
    <x:row r="45">
      <x:c r="A45" s="1" t="str">
        <x:v>U0044</x:v>
      </x:c>
      <x:c r="B45" s="1" t="str">
        <x:v>cmm0ckscr000t04i312fc6edg</x:v>
      </x:c>
      <x:c r="C45" s="1" t="str">
        <x:v>skeleton-args-ca2018006090-aa90566cb5f6b5de</x:v>
      </x:c>
      <x:c r="D45" s="1" t="str">
        <x:v>synthetic</x:v>
      </x:c>
      <x:c r="E45" s="15" t="str">
        <x:v>Blackwood v Blackwood</x:v>
      </x:c>
      <x:c r="F45" s="16" t="n">
        <x:v>46077.355865300924</x:v>
      </x:c>
      <x:c r="G45" s="15" t="str">
        <x:v>case</x:v>
      </x:c>
      <x:c r="H45" s="15" t="str">
        <x:v>case:2011 ukpc 13</x:v>
      </x:c>
      <x:c r="I45" s="15" t="str">
        <x:v>Spread Trustee Co Ltd v Hutcheson [2011] UKPC 13</x:v>
      </x:c>
      <x:c r="J45" s="15" t="str">
        <x:v>Spread Trustee Co Ltd v Hutcheson [2011] UKPC 13</x:v>
      </x:c>
      <x:c r="K45" s="15" t="str"/>
      <x:c r="L45" s="15" t="str"/>
      <x:c r="M45" s="15" t="n">
        <x:v>1</x:v>
      </x:c>
      <x:c r="N45" s="15" t="str">
        <x:v>legalFramework.precedentCitations[1]</x:v>
      </x:c>
    </x:row>
    <x:row r="46">
      <x:c r="A46" s="1" t="str">
        <x:v>U0045</x:v>
      </x:c>
      <x:c r="B46" s="1" t="str">
        <x:v>cmm0ckscr000t04i312fc6edg</x:v>
      </x:c>
      <x:c r="C46" s="1" t="str">
        <x:v>skeleton-args-ca2018006090-aa90566cb5f6b5de</x:v>
      </x:c>
      <x:c r="D46" s="1" t="str">
        <x:v>synthetic</x:v>
      </x:c>
      <x:c r="E46" s="15" t="str">
        <x:v>Blackwood v Blackwood</x:v>
      </x:c>
      <x:c r="F46" s="16" t="n">
        <x:v>46077.355865300924</x:v>
      </x:c>
      <x:c r="G46" s="15" t="str">
        <x:v>case</x:v>
      </x:c>
      <x:c r="H46" s="15" t="str">
        <x:v>case:2014 ewca civ 183</x:v>
      </x:c>
      <x:c r="I46" s="15" t="str">
        <x:v>Santander UK Plc v R.A. Legal Solicitors</x:v>
      </x:c>
      <x:c r="J46" s="15" t="str">
        <x:v>[2014] EWCA Civ 183</x:v>
      </x:c>
      <x:c r="K46" s="15" t="str">
        <x:v>af98350e-e553-4a58-8a45-9d7b2067b530</x:v>
      </x:c>
      <x:c r="L46" s="15" t="str"/>
      <x:c r="M46" s="15" t="n">
        <x:v>1</x:v>
      </x:c>
      <x:c r="N46" s="15" t="str">
        <x:v>reasoningStructure[2].sourceCases[0]</x:v>
      </x:c>
    </x:row>
    <x:row r="47">
      <x:c r="A47" s="1" t="str">
        <x:v>U0046</x:v>
      </x:c>
      <x:c r="B47" s="1" t="str">
        <x:v>cmm0ckscr000t04i312fc6edg</x:v>
      </x:c>
      <x:c r="C47" s="1" t="str">
        <x:v>skeleton-args-ca2018006090-aa90566cb5f6b5de</x:v>
      </x:c>
      <x:c r="D47" s="1" t="str">
        <x:v>synthetic</x:v>
      </x:c>
      <x:c r="E47" s="15" t="str">
        <x:v>Blackwood v Blackwood</x:v>
      </x:c>
      <x:c r="F47" s="16" t="n">
        <x:v>46077.355865300924</x:v>
      </x:c>
      <x:c r="G47" s="15" t="str">
        <x:v>case</x:v>
      </x:c>
      <x:c r="H47" s="15" t="str">
        <x:v>case:2016 ewca civ 1004</x:v>
      </x:c>
      <x:c r="I47" s="15" t="str">
        <x:v>Creggy v Barnett &amp; Anor</x:v>
      </x:c>
      <x:c r="J47" s="15" t="str">
        <x:v>[2016] EWCA Civ 1004</x:v>
      </x:c>
      <x:c r="K47" s="15" t="str">
        <x:v>4f894b7c-50f6-46f4-b08a-7d5f549411bb</x:v>
      </x:c>
      <x:c r="L47" s="15" t="str"/>
      <x:c r="M47" s="15" t="n">
        <x:v>5</x:v>
      </x:c>
      <x:c r="N47" s="15" t="str">
        <x:v>factualFindings.chronology[1].sourceCases[0] | factualFindings.contestedFacts[0].sourceCases[0] | issuesForDetermination.issueMatrix[0].sourceCases[0] | legalFramework.statutoryProvisions[0].sourceCases[0] | reasoningStructure[0].sourceCases[0]</x:v>
      </x:c>
    </x:row>
    <x:row r="48">
      <x:c r="A48" s="1" t="str">
        <x:v>U0047</x:v>
      </x:c>
      <x:c r="B48" s="1" t="str">
        <x:v>cmm0ckscr000t04i312fc6edg</x:v>
      </x:c>
      <x:c r="C48" s="1" t="str">
        <x:v>skeleton-args-ca2018006090-aa90566cb5f6b5de</x:v>
      </x:c>
      <x:c r="D48" s="1" t="str">
        <x:v>synthetic</x:v>
      </x:c>
      <x:c r="E48" s="15" t="str">
        <x:v>Blackwood v Blackwood</x:v>
      </x:c>
      <x:c r="F48" s="16" t="n">
        <x:v>46077.355865300924</x:v>
      </x:c>
      <x:c r="G48" s="15" t="str">
        <x:v>case</x:v>
      </x:c>
      <x:c r="H48" s="15" t="str">
        <x:v>case:armitage v nurse 1998 ch 241</x:v>
      </x:c>
      <x:c r="I48" s="15" t="str">
        <x:v>Armitage v Nurse [1998] Ch 241</x:v>
      </x:c>
      <x:c r="J48" s="15" t="str">
        <x:v>Armitage v Nurse [1998] Ch 241</x:v>
      </x:c>
      <x:c r="K48" s="15" t="str"/>
      <x:c r="L48" s="15" t="str"/>
      <x:c r="M48" s="15" t="n">
        <x:v>1</x:v>
      </x:c>
      <x:c r="N48" s="15" t="str">
        <x:v>legalFramework.precedentCitations[0]</x:v>
      </x:c>
    </x:row>
    <x:row r="49">
      <x:c r="A49" s="1" t="str">
        <x:v>U0048</x:v>
      </x:c>
      <x:c r="B49" s="1" t="str">
        <x:v>cmm0ckscr000t04i312fc6edg</x:v>
      </x:c>
      <x:c r="C49" s="1" t="str">
        <x:v>skeleton-args-ca2018006090-aa90566cb5f6b5de</x:v>
      </x:c>
      <x:c r="D49" s="1" t="str">
        <x:v>synthetic</x:v>
      </x:c>
      <x:c r="E49" s="15" t="str">
        <x:v>Blackwood v Blackwood</x:v>
      </x:c>
      <x:c r="F49" s="16" t="n">
        <x:v>46077.355865300924</x:v>
      </x:c>
      <x:c r="G49" s="15" t="str">
        <x:v>legislation</x:v>
      </x:c>
      <x:c r="H49" s="15" t="str">
        <x:v>legislation:senior courts act 1981 s 35a</x:v>
      </x:c>
      <x:c r="I49" s="15" t="str">
        <x:v>Senior Courts Act 1981, s. 35A</x:v>
      </x:c>
      <x:c r="J49" s="15" t="str">
        <x:v>Senior Courts Act 1981, s. 35A</x:v>
      </x:c>
      <x:c r="K49" s="15" t="str"/>
      <x:c r="L49" s="15" t="str"/>
      <x:c r="M49" s="15" t="n">
        <x:v>1</x:v>
      </x:c>
      <x:c r="N49" s="15" t="str">
        <x:v>decisionAndDisposition.interest.statutoryBasis</x:v>
      </x:c>
    </x:row>
    <x:row r="50">
      <x:c r="A50" s="1" t="str">
        <x:v>U0049</x:v>
      </x:c>
      <x:c r="B50" s="1" t="str">
        <x:v>cmm0ckscr000t04i312fc6edg</x:v>
      </x:c>
      <x:c r="C50" s="1" t="str">
        <x:v>skeleton-args-ca2018006090-aa90566cb5f6b5de</x:v>
      </x:c>
      <x:c r="D50" s="1" t="str">
        <x:v>synthetic</x:v>
      </x:c>
      <x:c r="E50" s="15" t="str">
        <x:v>Blackwood v Blackwood</x:v>
      </x:c>
      <x:c r="F50" s="16" t="n">
        <x:v>46077.355865300924</x:v>
      </x:c>
      <x:c r="G50" s="15" t="str">
        <x:v>legislation</x:v>
      </x:c>
      <x:c r="H50" s="15" t="str">
        <x:v>legislation:trustee act 1925</x:v>
      </x:c>
      <x:c r="I50" s="15" t="str">
        <x:v>Trustee Act 1925</x:v>
      </x:c>
      <x:c r="J50" s="15" t="str">
        <x:v>Trustee Act 1925</x:v>
      </x:c>
      <x:c r="K50" s="15" t="str"/>
      <x:c r="L50" s="15" t="str"/>
      <x:c r="M50" s="15" t="n">
        <x:v>1</x:v>
      </x:c>
      <x:c r="N50" s="15" t="str">
        <x:v>legalFramework.legalTestSummaries[0].sourceAuthority</x:v>
      </x:c>
    </x:row>
    <x:row r="51">
      <x:c r="A51" s="1" t="str">
        <x:v>U0050</x:v>
      </x:c>
      <x:c r="B51" s="1" t="str">
        <x:v>cmm0ckscr000t04i312fc6edg</x:v>
      </x:c>
      <x:c r="C51" s="1" t="str">
        <x:v>skeleton-args-ca2018006090-aa90566cb5f6b5de</x:v>
      </x:c>
      <x:c r="D51" s="1" t="str">
        <x:v>synthetic</x:v>
      </x:c>
      <x:c r="E51" s="15" t="str">
        <x:v>Blackwood v Blackwood</x:v>
      </x:c>
      <x:c r="F51" s="16" t="n">
        <x:v>46077.355865300924</x:v>
      </x:c>
      <x:c r="G51" s="15" t="str">
        <x:v>legislation</x:v>
      </x:c>
      <x:c r="H51" s="15" t="str">
        <x:v>legislation:trustee act 1925 s 31</x:v>
      </x:c>
      <x:c r="I51" s="15" t="str">
        <x:v>Trustee Act 1925</x:v>
      </x:c>
      <x:c r="J51" s="15" t="str">
        <x:v>Trustee Act 1925 section 31</x:v>
      </x:c>
      <x:c r="K51" s="15" t="str"/>
      <x:c r="L51" s="15" t="str">
        <x:v>section 31</x:v>
      </x:c>
      <x:c r="M51" s="15" t="n">
        <x:v>1</x:v>
      </x:c>
      <x:c r="N51" s="15" t="str">
        <x:v>legalFramework.statutoryProvisions[0]</x:v>
      </x:c>
    </x:row>
    <x:row r="52">
      <x:c r="A52" s="1" t="str">
        <x:v>U0051</x:v>
      </x:c>
      <x:c r="B52" s="1" t="str">
        <x:v>cmm0ckscr000t04i312fc6edg</x:v>
      </x:c>
      <x:c r="C52" s="1" t="str">
        <x:v>skeleton-args-ca2018006090-aa90566cb5f6b5de</x:v>
      </x:c>
      <x:c r="D52" s="1" t="str">
        <x:v>synthetic</x:v>
      </x:c>
      <x:c r="E52" s="15" t="str">
        <x:v>Blackwood v Blackwood</x:v>
      </x:c>
      <x:c r="F52" s="16" t="n">
        <x:v>46077.355865300924</x:v>
      </x:c>
      <x:c r="G52" s="15" t="str">
        <x:v>legislation</x:v>
      </x:c>
      <x:c r="H52" s="15" t="str">
        <x:v>legislation:trustee act 2000</x:v>
      </x:c>
      <x:c r="I52" s="15" t="str">
        <x:v>Trustee Act 2000</x:v>
      </x:c>
      <x:c r="J52" s="15" t="str">
        <x:v>Trustee Act 2000</x:v>
      </x:c>
      <x:c r="K52" s="15" t="str"/>
      <x:c r="L52" s="15" t="str"/>
      <x:c r="M52" s="15" t="n">
        <x:v>1</x:v>
      </x:c>
      <x:c r="N52" s="15" t="str">
        <x:v>legalFramework.legalTestSummaries[1].sourceAuthority</x:v>
      </x:c>
    </x:row>
    <x:row r="53">
      <x:c r="A53" s="1" t="str">
        <x:v>U0052</x:v>
      </x:c>
      <x:c r="B53" s="1" t="str">
        <x:v>cmm0ckscr000t04i312fc6edg</x:v>
      </x:c>
      <x:c r="C53" s="1" t="str">
        <x:v>skeleton-args-ca2018006090-aa90566cb5f6b5de</x:v>
      </x:c>
      <x:c r="D53" s="1" t="str">
        <x:v>synthetic</x:v>
      </x:c>
      <x:c r="E53" s="15" t="str">
        <x:v>Blackwood v Blackwood</x:v>
      </x:c>
      <x:c r="F53" s="16" t="n">
        <x:v>46077.355865300924</x:v>
      </x:c>
      <x:c r="G53" s="15" t="str">
        <x:v>legislation</x:v>
      </x:c>
      <x:c r="H53" s="15" t="str">
        <x:v>legislation:trustee act 2000 s 3</x:v>
      </x:c>
      <x:c r="I53" s="15" t="str">
        <x:v>Trustee Act 2000</x:v>
      </x:c>
      <x:c r="J53" s="15" t="str">
        <x:v>Trustee Act 2000 section 3</x:v>
      </x:c>
      <x:c r="K53" s="15" t="str"/>
      <x:c r="L53" s="15" t="str">
        <x:v>section 3</x:v>
      </x:c>
      <x:c r="M53" s="15" t="n">
        <x:v>1</x:v>
      </x:c>
      <x:c r="N53" s="15" t="str">
        <x:v>legalFramework.statutoryProvisions[1]</x:v>
      </x:c>
    </x:row>
    <x:row r="54">
      <x:c r="A54" s="1" t="str">
        <x:v>U0053</x:v>
      </x:c>
      <x:c r="B54" s="1" t="str">
        <x:v>cmm0ct5sl001504i3x6g18pvd</x:v>
      </x:c>
      <x:c r="C54" s="1" t="str">
        <x:v>skeleton-args-ca2018006090-aa90566cb5f6b5de</x:v>
      </x:c>
      <x:c r="D54" s="1" t="str">
        <x:v>synthetic</x:v>
      </x:c>
      <x:c r="E54" s="15" t="str">
        <x:v>Blackwood v Blackwood</x:v>
      </x:c>
      <x:c r="F54" s="16" t="n">
        <x:v>46077.36038689815</x:v>
      </x:c>
      <x:c r="G54" s="15" t="str">
        <x:v>case</x:v>
      </x:c>
      <x:c r="H54" s="15" t="str">
        <x:v>case:2011 ukpc 13</x:v>
      </x:c>
      <x:c r="I54" s="15" t="str">
        <x:v>Spread Trustee Co Ltd v Hutcheson [2011] UKPC 13</x:v>
      </x:c>
      <x:c r="J54" s="15" t="str">
        <x:v>Spread Trustee Co Ltd v Hutcheson [2011] UKPC 13</x:v>
      </x:c>
      <x:c r="K54" s="15" t="str"/>
      <x:c r="L54" s="15" t="str"/>
      <x:c r="M54" s="15" t="n">
        <x:v>1</x:v>
      </x:c>
      <x:c r="N54" s="15" t="str">
        <x:v>legalFramework.precedentCitations[1]</x:v>
      </x:c>
    </x:row>
    <x:row r="55">
      <x:c r="A55" s="1" t="str">
        <x:v>U0054</x:v>
      </x:c>
      <x:c r="B55" s="1" t="str">
        <x:v>cmm0ct5sl001504i3x6g18pvd</x:v>
      </x:c>
      <x:c r="C55" s="1" t="str">
        <x:v>skeleton-args-ca2018006090-aa90566cb5f6b5de</x:v>
      </x:c>
      <x:c r="D55" s="1" t="str">
        <x:v>synthetic</x:v>
      </x:c>
      <x:c r="E55" s="15" t="str">
        <x:v>Blackwood v Blackwood</x:v>
      </x:c>
      <x:c r="F55" s="16" t="n">
        <x:v>46077.36038689815</x:v>
      </x:c>
      <x:c r="G55" s="15" t="str">
        <x:v>case</x:v>
      </x:c>
      <x:c r="H55" s="15" t="str">
        <x:v>case:2016 ewca civ 1004</x:v>
      </x:c>
      <x:c r="I55" s="15" t="str">
        <x:v>Creggy v Barnett &amp; Anor</x:v>
      </x:c>
      <x:c r="J55" s="15" t="str">
        <x:v>[2016] EWCA Civ 1004</x:v>
      </x:c>
      <x:c r="K55" s="15" t="str">
        <x:v>4f894b7c-50f6-46f4-b08a-7d5f549411bb</x:v>
      </x:c>
      <x:c r="L55" s="15" t="str"/>
      <x:c r="M55" s="15" t="n">
        <x:v>4</x:v>
      </x:c>
      <x:c r="N55" s="15" t="str">
        <x:v>factualFindings.chronology[1].sourceCases[0] | factualFindings.contestedFacts[0].sourceCases[0] | issuesForDetermination.issueMatrix[0].sourceCases[0] | reasoningStructure[0].sourceCases[0]</x:v>
      </x:c>
    </x:row>
    <x:row r="56">
      <x:c r="A56" s="1" t="str">
        <x:v>U0055</x:v>
      </x:c>
      <x:c r="B56" s="1" t="str">
        <x:v>cmm0ct5sl001504i3x6g18pvd</x:v>
      </x:c>
      <x:c r="C56" s="1" t="str">
        <x:v>skeleton-args-ca2018006090-aa90566cb5f6b5de</x:v>
      </x:c>
      <x:c r="D56" s="1" t="str">
        <x:v>synthetic</x:v>
      </x:c>
      <x:c r="E56" s="15" t="str">
        <x:v>Blackwood v Blackwood</x:v>
      </x:c>
      <x:c r="F56" s="16" t="n">
        <x:v>46077.36038689815</x:v>
      </x:c>
      <x:c r="G56" s="15" t="str">
        <x:v>case</x:v>
      </x:c>
      <x:c r="H56" s="15" t="str">
        <x:v>case:2023 ewca civ 440</x:v>
      </x:c>
      <x:c r="I56" s="15" t="str">
        <x:v>Floreat Investment Management Ltd v Churchill &amp; Ors</x:v>
      </x:c>
      <x:c r="J56" s="15" t="str">
        <x:v>[2023] EWCA Civ 440</x:v>
      </x:c>
      <x:c r="K56" s="15" t="str">
        <x:v>cfb9db03-44c0-4604-926a-a76e01575d88</x:v>
      </x:c>
      <x:c r="L56" s="15" t="str"/>
      <x:c r="M56" s="15" t="n">
        <x:v>3</x:v>
      </x:c>
      <x:c r="N56" s="15" t="str">
        <x:v>factualFindings.contestedFacts[1].sourceCases[0] | issuesForDetermination.issueMatrix[1].sourceCases[0] | reasoningStructure[1].sourceCases[0]</x:v>
      </x:c>
    </x:row>
    <x:row r="57">
      <x:c r="A57" s="1" t="str">
        <x:v>U0056</x:v>
      </x:c>
      <x:c r="B57" s="1" t="str">
        <x:v>cmm0ct5sl001504i3x6g18pvd</x:v>
      </x:c>
      <x:c r="C57" s="1" t="str">
        <x:v>skeleton-args-ca2018006090-aa90566cb5f6b5de</x:v>
      </x:c>
      <x:c r="D57" s="1" t="str">
        <x:v>synthetic</x:v>
      </x:c>
      <x:c r="E57" s="15" t="str">
        <x:v>Blackwood v Blackwood</x:v>
      </x:c>
      <x:c r="F57" s="16" t="n">
        <x:v>46077.36038689815</x:v>
      </x:c>
      <x:c r="G57" s="15" t="str">
        <x:v>case</x:v>
      </x:c>
      <x:c r="H57" s="15" t="str">
        <x:v>case:armitage v nurse 1998 ch 241</x:v>
      </x:c>
      <x:c r="I57" s="15" t="str">
        <x:v>Armitage v Nurse [1998] Ch 241</x:v>
      </x:c>
      <x:c r="J57" s="15" t="str">
        <x:v>Armitage v Nurse [1998] Ch 241</x:v>
      </x:c>
      <x:c r="K57" s="15" t="str"/>
      <x:c r="L57" s="15" t="str"/>
      <x:c r="M57" s="15" t="n">
        <x:v>1</x:v>
      </x:c>
      <x:c r="N57" s="15" t="str">
        <x:v>legalFramework.precedentCitations[0]</x:v>
      </x:c>
    </x:row>
    <x:row r="58">
      <x:c r="A58" s="1" t="str">
        <x:v>U0057</x:v>
      </x:c>
      <x:c r="B58" s="1" t="str">
        <x:v>cmm0ct5sl001504i3x6g18pvd</x:v>
      </x:c>
      <x:c r="C58" s="1" t="str">
        <x:v>skeleton-args-ca2018006090-aa90566cb5f6b5de</x:v>
      </x:c>
      <x:c r="D58" s="1" t="str">
        <x:v>synthetic</x:v>
      </x:c>
      <x:c r="E58" s="15" t="str">
        <x:v>Blackwood v Blackwood</x:v>
      </x:c>
      <x:c r="F58" s="16" t="n">
        <x:v>46077.36038689815</x:v>
      </x:c>
      <x:c r="G58" s="15" t="str">
        <x:v>legislation</x:v>
      </x:c>
      <x:c r="H58" s="15" t="str">
        <x:v>legislation:senior courts act 1981 s 35a</x:v>
      </x:c>
      <x:c r="I58" s="15" t="str">
        <x:v>Senior Courts Act 1981, s.35A</x:v>
      </x:c>
      <x:c r="J58" s="15" t="str">
        <x:v>Senior Courts Act 1981, s.35A</x:v>
      </x:c>
      <x:c r="K58" s="15" t="str"/>
      <x:c r="L58" s="15" t="str"/>
      <x:c r="M58" s="15" t="n">
        <x:v>1</x:v>
      </x:c>
      <x:c r="N58" s="15" t="str">
        <x:v>decisionAndDisposition.interest.statutoryBasis</x:v>
      </x:c>
    </x:row>
    <x:row r="59">
      <x:c r="A59" s="1" t="str">
        <x:v>U0058</x:v>
      </x:c>
      <x:c r="B59" s="1" t="str">
        <x:v>cmm0ct5sl001504i3x6g18pvd</x:v>
      </x:c>
      <x:c r="C59" s="1" t="str">
        <x:v>skeleton-args-ca2018006090-aa90566cb5f6b5de</x:v>
      </x:c>
      <x:c r="D59" s="1" t="str">
        <x:v>synthetic</x:v>
      </x:c>
      <x:c r="E59" s="15" t="str">
        <x:v>Blackwood v Blackwood</x:v>
      </x:c>
      <x:c r="F59" s="16" t="n">
        <x:v>46077.36038689815</x:v>
      </x:c>
      <x:c r="G59" s="15" t="str">
        <x:v>legislation</x:v>
      </x:c>
      <x:c r="H59" s="15" t="str">
        <x:v>legislation:trustee act 1925 s 1</x:v>
      </x:c>
      <x:c r="I59" s="15" t="str">
        <x:v>Trustee Act 1925</x:v>
      </x:c>
      <x:c r="J59" s="15" t="str">
        <x:v>Trustee Act 1925 Section 1</x:v>
      </x:c>
      <x:c r="K59" s="15" t="str"/>
      <x:c r="L59" s="15" t="str">
        <x:v>Section 1</x:v>
      </x:c>
      <x:c r="M59" s="15" t="n">
        <x:v>1</x:v>
      </x:c>
      <x:c r="N59" s="15" t="str">
        <x:v>legalFramework.statutoryProvisions[0]</x:v>
      </x:c>
    </x:row>
    <x:row r="60">
      <x:c r="A60" s="1" t="str">
        <x:v>U0059</x:v>
      </x:c>
      <x:c r="B60" s="1" t="str">
        <x:v>cmm0ct5sl001504i3x6g18pvd</x:v>
      </x:c>
      <x:c r="C60" s="1" t="str">
        <x:v>skeleton-args-ca2018006090-aa90566cb5f6b5de</x:v>
      </x:c>
      <x:c r="D60" s="1" t="str">
        <x:v>synthetic</x:v>
      </x:c>
      <x:c r="E60" s="15" t="str">
        <x:v>Blackwood v Blackwood</x:v>
      </x:c>
      <x:c r="F60" s="16" t="n">
        <x:v>46077.36038689815</x:v>
      </x:c>
      <x:c r="G60" s="15" t="str">
        <x:v>legislation</x:v>
      </x:c>
      <x:c r="H60" s="15" t="str">
        <x:v>legislation:trustee act 2000 sections 3 &amp; 4</x:v>
      </x:c>
      <x:c r="I60" s="15" t="str">
        <x:v>Trustee Act 2000</x:v>
      </x:c>
      <x:c r="J60" s="15" t="str">
        <x:v>Trustee Act 2000 Sections 3 &amp; 4</x:v>
      </x:c>
      <x:c r="K60" s="15" t="str"/>
      <x:c r="L60" s="15" t="str">
        <x:v>Sections 3 &amp; 4</x:v>
      </x:c>
      <x:c r="M60" s="15" t="n">
        <x:v>1</x:v>
      </x:c>
      <x:c r="N60" s="15" t="str">
        <x:v>legalFramework.statutoryProvisions[1]</x:v>
      </x:c>
    </x:row>
    <x:row r="61">
      <x:c r="A61" s="1" t="str">
        <x:v>U0060</x:v>
      </x:c>
      <x:c r="B61" s="1" t="str">
        <x:v>cmm0k3nj8000h04l412ruhfxj</x:v>
      </x:c>
      <x:c r="C61" s="1" t="str">
        <x:v>skeleton-args-ca2024001234-346b2d683b5c2099</x:v>
      </x:c>
      <x:c r="D61" s="1" t="str">
        <x:v>synthetic</x:v>
      </x:c>
      <x:c r="E61" s="15" t="str">
        <x:v>Transport Action Network Limited v Secretary of State for Transport</x:v>
      </x:c>
      <x:c r="F61" s="16" t="n">
        <x:v>46077.50213298611</x:v>
      </x:c>
      <x:c r="G61" s="15" t="str">
        <x:v>case</x:v>
      </x:c>
      <x:c r="H61" s="15" t="str">
        <x:v>case:2002 ewca civ 605</x:v>
      </x:c>
      <x:c r="I61" s="15" t="str">
        <x:v>[2002] EWCA Civ 605</x:v>
      </x:c>
      <x:c r="J61" s="15" t="str">
        <x:v>[2002] EWCA Civ 605</x:v>
      </x:c>
      <x:c r="K61" s="15" t="str"/>
      <x:c r="L61" s="15" t="str"/>
      <x:c r="M61" s="15" t="n">
        <x:v>1</x:v>
      </x:c>
      <x:c r="N61" s="15" t="str">
        <x:v>legalFramework.precedentCitations[0]</x:v>
      </x:c>
    </x:row>
    <x:row r="62">
      <x:c r="A62" s="1" t="str">
        <x:v>U0061</x:v>
      </x:c>
      <x:c r="B62" s="1" t="str">
        <x:v>cmm0k3nj8000h04l412ruhfxj</x:v>
      </x:c>
      <x:c r="C62" s="1" t="str">
        <x:v>skeleton-args-ca2024001234-346b2d683b5c2099</x:v>
      </x:c>
      <x:c r="D62" s="1" t="str">
        <x:v>synthetic</x:v>
      </x:c>
      <x:c r="E62" s="15" t="str">
        <x:v>Transport Action Network Limited v Secretary of State for Transport</x:v>
      </x:c>
      <x:c r="F62" s="16" t="n">
        <x:v>46077.50213298611</x:v>
      </x:c>
      <x:c r="G62" s="15" t="str">
        <x:v>case</x:v>
      </x:c>
      <x:c r="H62" s="15" t="str">
        <x:v>case:2016 ewca civ 117</x:v>
      </x:c>
      <x:c r="I62" s="15" t="str">
        <x:v>Solar Century Holdings Ltd &amp; Ors v Secretary of State for Energy and Climate Change</x:v>
      </x:c>
      <x:c r="J62" s="15" t="str">
        <x:v>[2016] EWCA Civ 117</x:v>
      </x:c>
      <x:c r="K62" s="15" t="str">
        <x:v>774ce56b-3a21-4d9a-be0f-2e4cd8924a73</x:v>
      </x:c>
      <x:c r="L62" s="15" t="str"/>
      <x:c r="M62" s="15" t="n">
        <x:v>1</x:v>
      </x:c>
      <x:c r="N62" s="15" t="str">
        <x:v>reasoningStructure[0].sourceCases[0]</x:v>
      </x:c>
    </x:row>
    <x:row r="63">
      <x:c r="A63" s="1" t="str">
        <x:v>U0062</x:v>
      </x:c>
      <x:c r="B63" s="1" t="str">
        <x:v>cmm0k3nj8000h04l412ruhfxj</x:v>
      </x:c>
      <x:c r="C63" s="1" t="str">
        <x:v>skeleton-args-ca2024001234-346b2d683b5c2099</x:v>
      </x:c>
      <x:c r="D63" s="1" t="str">
        <x:v>synthetic</x:v>
      </x:c>
      <x:c r="E63" s="15" t="str">
        <x:v>Transport Action Network Limited v Secretary of State for Transport</x:v>
      </x:c>
      <x:c r="F63" s="16" t="n">
        <x:v>46077.50213298611</x:v>
      </x:c>
      <x:c r="G63" s="15" t="str">
        <x:v>case</x:v>
      </x:c>
      <x:c r="H63" s="15" t="str">
        <x:v>case:2022 ewca civ 187</x:v>
      </x:c>
      <x:c r="I63" s="15" t="str">
        <x:v>Finch On Behalf of the Weald Action Group, R (On the Application Of) v Surrey County Council &amp; Ors</x:v>
      </x:c>
      <x:c r="J63" s="15" t="str">
        <x:v>[2022] EWCA Civ 187</x:v>
      </x:c>
      <x:c r="K63" s="15" t="str">
        <x:v>968e5c88-1f2c-4da8-9290-4111f416ec6e</x:v>
      </x:c>
      <x:c r="L63" s="15" t="str"/>
      <x:c r="M63" s="15" t="n">
        <x:v>1</x:v>
      </x:c>
      <x:c r="N63" s="15" t="str">
        <x:v>factualFindings.contestedFacts[0].sourceCases[0]</x:v>
      </x:c>
    </x:row>
    <x:row r="64">
      <x:c r="A64" s="1" t="str">
        <x:v>U0063</x:v>
      </x:c>
      <x:c r="B64" s="1" t="str">
        <x:v>cmm0k3nj8000h04l412ruhfxj</x:v>
      </x:c>
      <x:c r="C64" s="1" t="str">
        <x:v>skeleton-args-ca2024001234-346b2d683b5c2099</x:v>
      </x:c>
      <x:c r="D64" s="1" t="str">
        <x:v>synthetic</x:v>
      </x:c>
      <x:c r="E64" s="15" t="str">
        <x:v>Transport Action Network Limited v Secretary of State for Transport</x:v>
      </x:c>
      <x:c r="F64" s="16" t="n">
        <x:v>46077.50213298611</x:v>
      </x:c>
      <x:c r="G64" s="15" t="str">
        <x:v>case</x:v>
      </x:c>
      <x:c r="H64" s="15" t="str">
        <x:v>case:2023 ewca civ 14</x:v>
      </x:c>
      <x:c r="I64" s="15" t="str">
        <x:v>Friends of the Earth Limited v Secretary of State for International Trade/UK Export Finance (UKEF) &amp; Anor (Rev1)</x:v>
      </x:c>
      <x:c r="J64" s="15" t="str">
        <x:v>[2023] EWCA Civ 14</x:v>
      </x:c>
      <x:c r="K64" s="15" t="str">
        <x:v>d5d573a1-ee1c-4a42-99b1-728063f8ced3</x:v>
      </x:c>
      <x:c r="L64" s="15" t="str"/>
      <x:c r="M64" s="15" t="n">
        <x:v>1</x:v>
      </x:c>
      <x:c r="N64" s="15" t="str">
        <x:v>issuesForDetermination.issueMatrix[0].sourceCases[0]</x:v>
      </x:c>
    </x:row>
    <x:row r="65">
      <x:c r="A65" s="1" t="str">
        <x:v>U0064</x:v>
      </x:c>
      <x:c r="B65" s="1" t="str">
        <x:v>cmm0k3nj8000h04l412ruhfxj</x:v>
      </x:c>
      <x:c r="C65" s="1" t="str">
        <x:v>skeleton-args-ca2024001234-346b2d683b5c2099</x:v>
      </x:c>
      <x:c r="D65" s="1" t="str">
        <x:v>synthetic</x:v>
      </x:c>
      <x:c r="E65" s="15" t="str">
        <x:v>Transport Action Network Limited v Secretary of State for Transport</x:v>
      </x:c>
      <x:c r="F65" s="16" t="n">
        <x:v>46077.50213298611</x:v>
      </x:c>
      <x:c r="G65" s="15" t="str">
        <x:v>legislation</x:v>
      </x:c>
      <x:c r="H65" s="15" t="str">
        <x:v>legislation:infrastructure act 2015 21</x:v>
      </x:c>
      <x:c r="I65" s="15" t="str">
        <x:v>Infrastructure Act 2015</x:v>
      </x:c>
      <x:c r="J65" s="15" t="str">
        <x:v>Infrastructure Act 2015 21</x:v>
      </x:c>
      <x:c r="K65" s="15" t="str"/>
      <x:c r="L65" s="15" t="str">
        <x:v>21</x:v>
      </x:c>
      <x:c r="M65" s="15" t="n">
        <x:v>1</x:v>
      </x:c>
      <x:c r="N65" s="15" t="str">
        <x:v>legalFramework.statutoryProvisions[0]</x:v>
      </x:c>
    </x:row>
    <x:row r="66">
      <x:c r="A66" s="1" t="str">
        <x:v>U0065</x:v>
      </x:c>
      <x:c r="B66" s="1" t="str">
        <x:v>cmm0k3nj8000h04l412ruhfxj</x:v>
      </x:c>
      <x:c r="C66" s="1" t="str">
        <x:v>skeleton-args-ca2024001234-346b2d683b5c2099</x:v>
      </x:c>
      <x:c r="D66" s="1" t="str">
        <x:v>synthetic</x:v>
      </x:c>
      <x:c r="E66" s="15" t="str">
        <x:v>Transport Action Network Limited v Secretary of State for Transport</x:v>
      </x:c>
      <x:c r="F66" s="16" t="n">
        <x:v>46077.50213298611</x:v>
      </x:c>
      <x:c r="G66" s="15" t="str">
        <x:v>legislation</x:v>
      </x:c>
      <x:c r="H66" s="15" t="str">
        <x:v>legislation:infrastructure act 2015 s 21</x:v>
      </x:c>
      <x:c r="I66" s="15" t="str">
        <x:v>Infrastructure Act 2015, Section 21</x:v>
      </x:c>
      <x:c r="J66" s="15" t="str">
        <x:v>Infrastructure Act 2015, Section 21</x:v>
      </x:c>
      <x:c r="K66" s="15" t="str"/>
      <x:c r="L66" s="15" t="str"/>
      <x:c r="M66" s="15" t="n">
        <x:v>1</x:v>
      </x:c>
      <x:c r="N66" s="15" t="str">
        <x:v>legalFramework.legalTestSummaries[0].sourceAuthority</x:v>
      </x:c>
    </x:row>
    <x:row r="67">
      <x:c r="A67" s="1" t="str">
        <x:v>U0066</x:v>
      </x:c>
      <x:c r="B67" s="1" t="str">
        <x:v>cmm0k3nj8000h04l412ruhfxj</x:v>
      </x:c>
      <x:c r="C67" s="1" t="str">
        <x:v>skeleton-args-ca2024001234-346b2d683b5c2099</x:v>
      </x:c>
      <x:c r="D67" s="1" t="str">
        <x:v>synthetic</x:v>
      </x:c>
      <x:c r="E67" s="15" t="str">
        <x:v>Transport Action Network Limited v Secretary of State for Transport</x:v>
      </x:c>
      <x:c r="F67" s="16" t="n">
        <x:v>46077.50213298611</x:v>
      </x:c>
      <x:c r="G67" s="15" t="str">
        <x:v>legislation</x:v>
      </x:c>
      <x:c r="H67" s="15" t="str">
        <x:v>legislation:senior courts act 1981 35a</x:v>
      </x:c>
      <x:c r="I67" s="15" t="str">
        <x:v>Senior Courts Act 1981</x:v>
      </x:c>
      <x:c r="J67" s="15" t="str">
        <x:v>Senior Courts Act 1981 35A</x:v>
      </x:c>
      <x:c r="K67" s="15" t="str"/>
      <x:c r="L67" s="15" t="str">
        <x:v>35A</x:v>
      </x:c>
      <x:c r="M67" s="15" t="n">
        <x:v>1</x:v>
      </x:c>
      <x:c r="N67" s="15" t="str">
        <x:v>legalFramework.statutoryProvisions[1]</x:v>
      </x:c>
    </x:row>
    <x:row r="68">
      <x:c r="A68" s="1" t="str">
        <x:v>U0067</x:v>
      </x:c>
      <x:c r="B68" s="1" t="str">
        <x:v>cmm0k3nj8000h04l412ruhfxj</x:v>
      </x:c>
      <x:c r="C68" s="1" t="str">
        <x:v>skeleton-args-ca2024001234-346b2d683b5c2099</x:v>
      </x:c>
      <x:c r="D68" s="1" t="str">
        <x:v>synthetic</x:v>
      </x:c>
      <x:c r="E68" s="15" t="str">
        <x:v>Transport Action Network Limited v Secretary of State for Transport</x:v>
      </x:c>
      <x:c r="F68" s="16" t="n">
        <x:v>46077.50213298611</x:v>
      </x:c>
      <x:c r="G68" s="15" t="str">
        <x:v>legislation</x:v>
      </x:c>
      <x:c r="H68" s="15" t="str">
        <x:v>legislation:senior courts act 1981 s 35a</x:v>
      </x:c>
      <x:c r="I68" s="15" t="str">
        <x:v>Senior Courts Act 1981, s.35A</x:v>
      </x:c>
      <x:c r="J68" s="15" t="str">
        <x:v>Senior Courts Act 1981, s.35A</x:v>
      </x:c>
      <x:c r="K68" s="15" t="str"/>
      <x:c r="L68" s="15" t="str"/>
      <x:c r="M68" s="15" t="n">
        <x:v>1</x:v>
      </x:c>
      <x:c r="N68" s="15" t="str">
        <x:v>decisionAndDisposition.interest.statutoryBasis</x:v>
      </x:c>
    </x:row>
    <x:row r="69">
      <x:c r="A69" s="1" t="str">
        <x:v>U0068</x:v>
      </x:c>
      <x:c r="B69" s="1" t="str">
        <x:v>cmm0k3nj8000h04l412ruhfxj</x:v>
      </x:c>
      <x:c r="C69" s="1" t="str">
        <x:v>skeleton-args-ca2024001234-346b2d683b5c2099</x:v>
      </x:c>
      <x:c r="D69" s="1" t="str">
        <x:v>synthetic</x:v>
      </x:c>
      <x:c r="E69" s="15" t="str">
        <x:v>Transport Action Network Limited v Secretary of State for Transport</x:v>
      </x:c>
      <x:c r="F69" s="16" t="n">
        <x:v>46077.50213298611</x:v>
      </x:c>
      <x:c r="G69" s="15" t="str">
        <x:v>other</x:v>
      </x:c>
      <x:c r="H69" s="15" t="str">
        <x:v>other:2000 1 wlr 377</x:v>
      </x:c>
      <x:c r="I69" s="15" t="str">
        <x:v>[2000] 1 WLR 377</x:v>
      </x:c>
      <x:c r="J69" s="15" t="str">
        <x:v>[2000] 1 WLR 377</x:v>
      </x:c>
      <x:c r="K69" s="15" t="str"/>
      <x:c r="L69" s="15" t="str"/>
      <x:c r="M69" s="15" t="n">
        <x:v>1</x:v>
      </x:c>
      <x:c r="N69" s="15" t="str">
        <x:v>legalFramework.precedentCitations[1]</x:v>
      </x:c>
    </x:row>
    <x:row r="70">
      <x:c r="A70" s="1" t="str">
        <x:v>U0069</x:v>
      </x:c>
      <x:c r="B70" s="1" t="str">
        <x:v>cmm3b1g6j000j04jt8w2u9z6w</x:v>
      </x:c>
      <x:c r="C70" s="1" t="str">
        <x:v>skeleton-args-ca2025000412-e17d5e10793fe216</x:v>
      </x:c>
      <x:c r="D70" s="1" t="str">
        <x:v>synthetic</x:v>
      </x:c>
      <x:c r="E70" s="15" t="str">
        <x:v>R (Harrison) v Secretary of State for Justice</x:v>
      </x:c>
      <x:c r="F70" s="16" t="n">
        <x:v>46079.42550269676</x:v>
      </x:c>
      <x:c r="G70" s="15" t="str">
        <x:v>case</x:v>
      </x:c>
      <x:c r="H70" s="15" t="str">
        <x:v>case:2000 1 wlr 377</x:v>
      </x:c>
      <x:c r="I70" s="15" t="str">
        <x:v>Flannery v Halifax Estate Agencies Ltd [2000] 1 WLR 377</x:v>
      </x:c>
      <x:c r="J70" s="15" t="str">
        <x:v>Flannery v Halifax Estate Agencies Ltd [2000] 1 WLR 377</x:v>
      </x:c>
      <x:c r="K70" s="15" t="str"/>
      <x:c r="L70" s="15" t="str"/>
      <x:c r="M70" s="15" t="n">
        <x:v>1</x:v>
      </x:c>
      <x:c r="N70" s="15" t="str">
        <x:v>legalFramework.precedentCitations[0]</x:v>
      </x:c>
    </x:row>
    <x:row r="71">
      <x:c r="A71" s="1" t="str">
        <x:v>U0070</x:v>
      </x:c>
      <x:c r="B71" s="1" t="str">
        <x:v>cmm3b1g6j000j04jt8w2u9z6w</x:v>
      </x:c>
      <x:c r="C71" s="1" t="str">
        <x:v>skeleton-args-ca2025000412-e17d5e10793fe216</x:v>
      </x:c>
      <x:c r="D71" s="1" t="str">
        <x:v>synthetic</x:v>
      </x:c>
      <x:c r="E71" s="15" t="str">
        <x:v>R (Harrison) v Secretary of State for Justice</x:v>
      </x:c>
      <x:c r="F71" s="16" t="n">
        <x:v>46079.42550269676</x:v>
      </x:c>
      <x:c r="G71" s="15" t="str">
        <x:v>case</x:v>
      </x:c>
      <x:c r="H71" s="15" t="str">
        <x:v>case:2002 ewca civ 605</x:v>
      </x:c>
      <x:c r="I71" s="15" t="str">
        <x:v>English v Emery Reimbold &amp; Strick Ltd [2002] EWCA Civ 605</x:v>
      </x:c>
      <x:c r="J71" s="15" t="str">
        <x:v>English v Emery Reimbold &amp; Strick Ltd [2002] EWCA Civ 605</x:v>
      </x:c>
      <x:c r="K71" s="15" t="str"/>
      <x:c r="L71" s="15" t="str"/>
      <x:c r="M71" s="15" t="n">
        <x:v>1</x:v>
      </x:c>
      <x:c r="N71" s="15" t="str">
        <x:v>legalFramework.precedentCitations[1]</x:v>
      </x:c>
    </x:row>
    <x:row r="72">
      <x:c r="A72" s="1" t="str">
        <x:v>U0071</x:v>
      </x:c>
      <x:c r="B72" s="1" t="str">
        <x:v>cmm3b1g6j000j04jt8w2u9z6w</x:v>
      </x:c>
      <x:c r="C72" s="1" t="str">
        <x:v>skeleton-args-ca2025000412-e17d5e10793fe216</x:v>
      </x:c>
      <x:c r="D72" s="1" t="str">
        <x:v>synthetic</x:v>
      </x:c>
      <x:c r="E72" s="15" t="str">
        <x:v>R (Harrison) v Secretary of State for Justice</x:v>
      </x:c>
      <x:c r="F72" s="16" t="n">
        <x:v>46079.42550269676</x:v>
      </x:c>
      <x:c r="G72" s="15" t="str">
        <x:v>case</x:v>
      </x:c>
      <x:c r="H72" s="15" t="str">
        <x:v>case:2016 ewca civ 1033</x:v>
      </x:c>
      <x:c r="I72" s="15" t="str">
        <x:v>Brooks, R (on the application of) v The Independent Adjudicator &amp; Anor</x:v>
      </x:c>
      <x:c r="J72" s="15" t="str">
        <x:v>[2016] EWCA Civ 1033</x:v>
      </x:c>
      <x:c r="K72" s="15" t="str">
        <x:v>250a2de0-32f3-4ce2-8b1f-ee964131ee78</x:v>
      </x:c>
      <x:c r="L72" s="15" t="str"/>
      <x:c r="M72" s="15" t="n">
        <x:v>1</x:v>
      </x:c>
      <x:c r="N72" s="15" t="str">
        <x:v>reasoningStructure[0].sourceCases[0]</x:v>
      </x:c>
    </x:row>
    <x:row r="73">
      <x:c r="A73" s="1" t="str">
        <x:v>U0072</x:v>
      </x:c>
      <x:c r="B73" s="1" t="str">
        <x:v>cmm3b1g6j000j04jt8w2u9z6w</x:v>
      </x:c>
      <x:c r="C73" s="1" t="str">
        <x:v>skeleton-args-ca2025000412-e17d5e10793fe216</x:v>
      </x:c>
      <x:c r="D73" s="1" t="str">
        <x:v>synthetic</x:v>
      </x:c>
      <x:c r="E73" s="15" t="str">
        <x:v>R (Harrison) v Secretary of State for Justice</x:v>
      </x:c>
      <x:c r="F73" s="16" t="n">
        <x:v>46079.42550269676</x:v>
      </x:c>
      <x:c r="G73" s="15" t="str">
        <x:v>case</x:v>
      </x:c>
      <x:c r="H73" s="15" t="str">
        <x:v>case:2023 ewca civ 27</x:v>
      </x:c>
      <x:c r="I73" s="15" t="str">
        <x:v>Rowan, R (On the Application Of) v Governor of His Majesty's Prison Berwyn &amp; Anor</x:v>
      </x:c>
      <x:c r="J73" s="15" t="str">
        <x:v>[2023] EWCA Civ 27</x:v>
      </x:c>
      <x:c r="K73" s="15" t="str">
        <x:v>7614b7b3-9102-4127-baa4-ed60bb7a82ed</x:v>
      </x:c>
      <x:c r="L73" s="15" t="str"/>
      <x:c r="M73" s="15" t="n">
        <x:v>1</x:v>
      </x:c>
      <x:c r="N73" s="15" t="str">
        <x:v>issuesForDetermination.issueMatrix[0].sourceCases[0]</x:v>
      </x:c>
    </x:row>
    <x:row r="74">
      <x:c r="A74" s="1" t="str">
        <x:v>U0073</x:v>
      </x:c>
      <x:c r="B74" s="1" t="str">
        <x:v>cmm3b1g6j000j04jt8w2u9z6w</x:v>
      </x:c>
      <x:c r="C74" s="1" t="str">
        <x:v>skeleton-args-ca2025000412-e17d5e10793fe216</x:v>
      </x:c>
      <x:c r="D74" s="1" t="str">
        <x:v>synthetic</x:v>
      </x:c>
      <x:c r="E74" s="15" t="str">
        <x:v>R (Harrison) v Secretary of State for Justice</x:v>
      </x:c>
      <x:c r="F74" s="16" t="n">
        <x:v>46079.42550269676</x:v>
      </x:c>
      <x:c r="G74" s="15" t="str">
        <x:v>case</x:v>
      </x:c>
      <x:c r="H74" s="15" t="str">
        <x:v>case:tigere r on the application of v secretary of state for business innovation and skills</x:v>
      </x:c>
      <x:c r="I74" s="15" t="str">
        <x:v>Tigere, R (On the Application Of) v Secretary of State for Business, Innovation And Skills</x:v>
      </x:c>
      <x:c r="J74" s="15" t="str">
        <x:v>N/A</x:v>
      </x:c>
      <x:c r="K74" s="15" t="str">
        <x:v>02409749-c305-4c56-ad34-3447c9c2371b</x:v>
      </x:c>
      <x:c r="L74" s="15" t="str"/>
      <x:c r="M74" s="15" t="n">
        <x:v>1</x:v>
      </x:c>
      <x:c r="N74" s="15" t="str">
        <x:v>factualFindings.contestedFacts[0].sourceCases[0]</x:v>
      </x:c>
    </x:row>
    <x:row r="75">
      <x:c r="A75" s="1" t="str">
        <x:v>U0074</x:v>
      </x:c>
      <x:c r="B75" s="1" t="str">
        <x:v>cmm3b1g6j000j04jt8w2u9z6w</x:v>
      </x:c>
      <x:c r="C75" s="1" t="str">
        <x:v>skeleton-args-ca2025000412-e17d5e10793fe216</x:v>
      </x:c>
      <x:c r="D75" s="1" t="str">
        <x:v>synthetic</x:v>
      </x:c>
      <x:c r="E75" s="15" t="str">
        <x:v>R (Harrison) v Secretary of State for Justice</x:v>
      </x:c>
      <x:c r="F75" s="16" t="n">
        <x:v>46079.42550269676</x:v>
      </x:c>
      <x:c r="G75" s="15" t="str">
        <x:v>legislation</x:v>
      </x:c>
      <x:c r="H75" s="15" t="str">
        <x:v>legislation:application of article 2 protocol 1 of the echr on educational access</x:v>
      </x:c>
      <x:c r="I75" s="15" t="str">
        <x:v>Application of Article 2 Protocol 1 of the ECHR on educational access.</x:v>
      </x:c>
      <x:c r="J75" s="15" t="str">
        <x:v>Application of Article 2 Protocol 1 of the ECHR on educational access.</x:v>
      </x:c>
      <x:c r="K75" s="15" t="str"/>
      <x:c r="L75" s="15" t="str"/>
      <x:c r="M75" s="15" t="n">
        <x:v>1</x:v>
      </x:c>
      <x:c r="N75" s="15" t="str">
        <x:v>legalFramework.legalTestSummaries[0].sourceAuthority</x:v>
      </x:c>
    </x:row>
    <x:row r="76">
      <x:c r="A76" s="1" t="str">
        <x:v>U0075</x:v>
      </x:c>
      <x:c r="B76" s="1" t="str">
        <x:v>cmm3b1g6j000j04jt8w2u9z6w</x:v>
      </x:c>
      <x:c r="C76" s="1" t="str">
        <x:v>skeleton-args-ca2025000412-e17d5e10793fe216</x:v>
      </x:c>
      <x:c r="D76" s="1" t="str">
        <x:v>synthetic</x:v>
      </x:c>
      <x:c r="E76" s="15" t="str">
        <x:v>R (Harrison) v Secretary of State for Justice</x:v>
      </x:c>
      <x:c r="F76" s="16" t="n">
        <x:v>46079.42550269676</x:v>
      </x:c>
      <x:c r="G76" s="15" t="str">
        <x:v>legislation</x:v>
      </x:c>
      <x:c r="H76" s="15" t="str">
        <x:v>legislation:european convention on human rights article 2 protocol 1</x:v>
      </x:c>
      <x:c r="I76" s="15" t="str">
        <x:v>European Convention on Human Rights</x:v>
      </x:c>
      <x:c r="J76" s="15" t="str">
        <x:v>European Convention on Human Rights Article 2 Protocol 1</x:v>
      </x:c>
      <x:c r="K76" s="15" t="str"/>
      <x:c r="L76" s="15" t="str">
        <x:v>Article 2 Protocol 1</x:v>
      </x:c>
      <x:c r="M76" s="15" t="n">
        <x:v>1</x:v>
      </x:c>
      <x:c r="N76" s="15" t="str">
        <x:v>legalFramework.statutoryProvisions[0]</x:v>
      </x:c>
    </x:row>
    <x:row r="77">
      <x:c r="A77" s="1" t="str">
        <x:v>U0076</x:v>
      </x:c>
      <x:c r="B77" s="1" t="str">
        <x:v>cmm3b1g6j000j04jt8w2u9z6w</x:v>
      </x:c>
      <x:c r="C77" s="1" t="str">
        <x:v>skeleton-args-ca2025000412-e17d5e10793fe216</x:v>
      </x:c>
      <x:c r="D77" s="1" t="str">
        <x:v>synthetic</x:v>
      </x:c>
      <x:c r="E77" s="15" t="str">
        <x:v>R (Harrison) v Secretary of State for Justice</x:v>
      </x:c>
      <x:c r="F77" s="16" t="n">
        <x:v>46079.42550269676</x:v>
      </x:c>
      <x:c r="G77" s="15" t="str">
        <x:v>legislation</x:v>
      </x:c>
      <x:c r="H77" s="15" t="str">
        <x:v>legislation:senior courts act 1981 s 35a</x:v>
      </x:c>
      <x:c r="I77" s="15" t="str">
        <x:v>Senior Courts Act 1981</x:v>
      </x:c>
      <x:c r="J77" s="15" t="str">
        <x:v>Senior Courts Act 1981 s.35A</x:v>
      </x:c>
      <x:c r="K77" s="15" t="str"/>
      <x:c r="L77" s="15" t="str">
        <x:v>s.35A</x:v>
      </x:c>
      <x:c r="M77" s="15" t="n">
        <x:v>2</x:v>
      </x:c>
      <x:c r="N77" s="15" t="str">
        <x:v>decisionAndDisposition.interest.statutoryBasis | legalFramework.statutoryProvisions[1]</x:v>
      </x:c>
    </x:row>
    <x:row r="78">
      <x:c r="A78" s="1" t="str">
        <x:v>U0077</x:v>
      </x:c>
      <x:c r="B78" s="1" t="str">
        <x:v>cmm920v38000b04ib8ug7hazg</x:v>
      </x:c>
      <x:c r="C78" s="1" t="str">
        <x:v>skeleton-args-ca2018006090-aa90566cb5f6b5de</x:v>
      </x:c>
      <x:c r="D78" s="1" t="str">
        <x:v>synthetic</x:v>
      </x:c>
      <x:c r="E78" s="15" t="str">
        <x:v>Blackwood v Blackwood</x:v>
      </x:c>
      <x:c r="F78" s="16" t="n">
        <x:v>46083.44926630787</x:v>
      </x:c>
      <x:c r="G78" s="15" t="str">
        <x:v>case</x:v>
      </x:c>
      <x:c r="H78" s="15" t="str">
        <x:v>case:2011 ukpc 13</x:v>
      </x:c>
      <x:c r="I78" s="15" t="str">
        <x:v>Spread Trustee Co Ltd v Hutcheson [2011] UKPC 13</x:v>
      </x:c>
      <x:c r="J78" s="15" t="str">
        <x:v>Spread Trustee Co Ltd v Hutcheson [2011] UKPC 13</x:v>
      </x:c>
      <x:c r="K78" s="15" t="str"/>
      <x:c r="L78" s="15" t="str"/>
      <x:c r="M78" s="15" t="n">
        <x:v>1</x:v>
      </x:c>
      <x:c r="N78" s="15" t="str">
        <x:v>legalFramework.precedentCitations[1]</x:v>
      </x:c>
    </x:row>
    <x:row r="79">
      <x:c r="A79" s="1" t="str">
        <x:v>U0078</x:v>
      </x:c>
      <x:c r="B79" s="1" t="str">
        <x:v>cmm920v38000b04ib8ug7hazg</x:v>
      </x:c>
      <x:c r="C79" s="1" t="str">
        <x:v>skeleton-args-ca2018006090-aa90566cb5f6b5de</x:v>
      </x:c>
      <x:c r="D79" s="1" t="str">
        <x:v>synthetic</x:v>
      </x:c>
      <x:c r="E79" s="15" t="str">
        <x:v>Blackwood v Blackwood</x:v>
      </x:c>
      <x:c r="F79" s="16" t="n">
        <x:v>46083.44926630787</x:v>
      </x:c>
      <x:c r="G79" s="15" t="str">
        <x:v>case</x:v>
      </x:c>
      <x:c r="H79" s="15" t="str">
        <x:v>case:armitage v nurse 1998 ch 241</x:v>
      </x:c>
      <x:c r="I79" s="15" t="str">
        <x:v>Armitage v Nurse [1998] Ch 241</x:v>
      </x:c>
      <x:c r="J79" s="15" t="str">
        <x:v>Armitage v Nurse [1998] Ch 241</x:v>
      </x:c>
      <x:c r="K79" s="15" t="str"/>
      <x:c r="L79" s="15" t="str"/>
      <x:c r="M79" s="15" t="n">
        <x:v>1</x:v>
      </x:c>
      <x:c r="N79" s="15" t="str">
        <x:v>legalFramework.precedentCitations[0]</x:v>
      </x:c>
    </x:row>
    <x:row r="80">
      <x:c r="A80" s="1" t="str">
        <x:v>U0079</x:v>
      </x:c>
      <x:c r="B80" s="1" t="str">
        <x:v>cmm920v38000b04ib8ug7hazg</x:v>
      </x:c>
      <x:c r="C80" s="1" t="str">
        <x:v>skeleton-args-ca2018006090-aa90566cb5f6b5de</x:v>
      </x:c>
      <x:c r="D80" s="1" t="str">
        <x:v>synthetic</x:v>
      </x:c>
      <x:c r="E80" s="15" t="str">
        <x:v>Blackwood v Blackwood</x:v>
      </x:c>
      <x:c r="F80" s="16" t="n">
        <x:v>46083.44926630787</x:v>
      </x:c>
      <x:c r="G80" s="15" t="str">
        <x:v>case</x:v>
      </x:c>
      <x:c r="H80" s="15" t="str">
        <x:v>case:creggy v barnett &amp; anor</x:v>
      </x:c>
      <x:c r="I80" s="15" t="str">
        <x:v>Creggy v Barnett &amp; Anor</x:v>
      </x:c>
      <x:c r="J80" s="15" t="str"/>
      <x:c r="K80" s="15" t="str">
        <x:v>4f894b7c-50f6-46f4-b08a-7d5f549411bb</x:v>
      </x:c>
      <x:c r="L80" s="15" t="str"/>
      <x:c r="M80" s="15" t="n">
        <x:v>3</x:v>
      </x:c>
      <x:c r="N80" s="15" t="str">
        <x:v>factualFindings.contestedFacts[0].sourceCases[0] | issuesForDetermination.issueMatrix[0].sourceCases[0] | reasoningStructure[0].sourceCases[0]</x:v>
      </x:c>
    </x:row>
    <x:row r="81">
      <x:c r="A81" s="1" t="str">
        <x:v>U0080</x:v>
      </x:c>
      <x:c r="B81" s="1" t="str">
        <x:v>cmm920v38000b04ib8ug7hazg</x:v>
      </x:c>
      <x:c r="C81" s="1" t="str">
        <x:v>skeleton-args-ca2018006090-aa90566cb5f6b5de</x:v>
      </x:c>
      <x:c r="D81" s="1" t="str">
        <x:v>synthetic</x:v>
      </x:c>
      <x:c r="E81" s="15" t="str">
        <x:v>Blackwood v Blackwood</x:v>
      </x:c>
      <x:c r="F81" s="16" t="n">
        <x:v>46083.44926630787</x:v>
      </x:c>
      <x:c r="G81" s="15" t="str">
        <x:v>case</x:v>
      </x:c>
      <x:c r="H81" s="15" t="str">
        <x:v>case:floreat investment management ltd v churchill &amp; ors</x:v>
      </x:c>
      <x:c r="I81" s="15" t="str">
        <x:v>Floreat Investment Management Ltd v Churchill &amp; Ors</x:v>
      </x:c>
      <x:c r="J81" s="15" t="str"/>
      <x:c r="K81" s="15" t="str">
        <x:v>cfb9db03-44c0-4604-926a-a76e01575d88</x:v>
      </x:c>
      <x:c r="L81" s="15" t="str"/>
      <x:c r="M81" s="15" t="n">
        <x:v>3</x:v>
      </x:c>
      <x:c r="N81" s="15" t="str">
        <x:v>factualFindings.contestedFacts[1].sourceCases[0] | issuesForDetermination.issueMatrix[1].sourceCases[0] | reasoningStructure[1].sourceCases[0]</x:v>
      </x:c>
    </x:row>
    <x:row r="82">
      <x:c r="A82" s="1" t="str">
        <x:v>U0081</x:v>
      </x:c>
      <x:c r="B82" s="1" t="str">
        <x:v>cmm920v38000b04ib8ug7hazg</x:v>
      </x:c>
      <x:c r="C82" s="1" t="str">
        <x:v>skeleton-args-ca2018006090-aa90566cb5f6b5de</x:v>
      </x:c>
      <x:c r="D82" s="1" t="str">
        <x:v>synthetic</x:v>
      </x:c>
      <x:c r="E82" s="15" t="str">
        <x:v>Blackwood v Blackwood</x:v>
      </x:c>
      <x:c r="F82" s="16" t="n">
        <x:v>46083.44926630787</x:v>
      </x:c>
      <x:c r="G82" s="15" t="str">
        <x:v>legislation</x:v>
      </x:c>
      <x:c r="H82" s="15" t="str">
        <x:v>legislation:senior courts act 1981 s 35a</x:v>
      </x:c>
      <x:c r="I82" s="15" t="str">
        <x:v>Senior Courts Act 1981, s.35A</x:v>
      </x:c>
      <x:c r="J82" s="15" t="str">
        <x:v>Senior Courts Act 1981, s.35A</x:v>
      </x:c>
      <x:c r="K82" s="15" t="str"/>
      <x:c r="L82" s="15" t="str"/>
      <x:c r="M82" s="15" t="n">
        <x:v>1</x:v>
      </x:c>
      <x:c r="N82" s="15" t="str">
        <x:v>decisionAndDisposition.interest.statutoryBasis</x:v>
      </x:c>
    </x:row>
    <x:row r="83">
      <x:c r="A83" s="1" t="str">
        <x:v>U0082</x:v>
      </x:c>
      <x:c r="B83" s="1" t="str">
        <x:v>cmm920v38000b04ib8ug7hazg</x:v>
      </x:c>
      <x:c r="C83" s="1" t="str">
        <x:v>skeleton-args-ca2018006090-aa90566cb5f6b5de</x:v>
      </x:c>
      <x:c r="D83" s="1" t="str">
        <x:v>synthetic</x:v>
      </x:c>
      <x:c r="E83" s="15" t="str">
        <x:v>Blackwood v Blackwood</x:v>
      </x:c>
      <x:c r="F83" s="16" t="n">
        <x:v>46083.44926630787</x:v>
      </x:c>
      <x:c r="G83" s="15" t="str">
        <x:v>legislation</x:v>
      </x:c>
      <x:c r="H83" s="15" t="str">
        <x:v>legislation:trustee act 1925 s 1</x:v>
      </x:c>
      <x:c r="I83" s="15" t="str">
        <x:v>Trustee Act 1925</x:v>
      </x:c>
      <x:c r="J83" s="15" t="str">
        <x:v>Trustee Act 1925 s.1</x:v>
      </x:c>
      <x:c r="K83" s="15" t="str"/>
      <x:c r="L83" s="15" t="str">
        <x:v>s.1</x:v>
      </x:c>
      <x:c r="M83" s="15" t="n">
        <x:v>1</x:v>
      </x:c>
      <x:c r="N83" s="15" t="str">
        <x:v>legalFramework.statutoryProvisions[0]</x:v>
      </x:c>
    </x:row>
    <x:row r="84">
      <x:c r="A84" s="1" t="str">
        <x:v>U0083</x:v>
      </x:c>
      <x:c r="B84" s="1" t="str">
        <x:v>cmm920v38000b04ib8ug7hazg</x:v>
      </x:c>
      <x:c r="C84" s="1" t="str">
        <x:v>skeleton-args-ca2018006090-aa90566cb5f6b5de</x:v>
      </x:c>
      <x:c r="D84" s="1" t="str">
        <x:v>synthetic</x:v>
      </x:c>
      <x:c r="E84" s="15" t="str">
        <x:v>Blackwood v Blackwood</x:v>
      </x:c>
      <x:c r="F84" s="16" t="n">
        <x:v>46083.44926630787</x:v>
      </x:c>
      <x:c r="G84" s="15" t="str">
        <x:v>legislation</x:v>
      </x:c>
      <x:c r="H84" s="15" t="str">
        <x:v>legislation:trustee act 2000 s 4</x:v>
      </x:c>
      <x:c r="I84" s="15" t="str">
        <x:v>Trustee Act 2000</x:v>
      </x:c>
      <x:c r="J84" s="15" t="str">
        <x:v>Trustee Act 2000 s.4</x:v>
      </x:c>
      <x:c r="K84" s="15" t="str"/>
      <x:c r="L84" s="15" t="str">
        <x:v>s.4</x:v>
      </x:c>
      <x:c r="M84" s="15" t="n">
        <x:v>1</x:v>
      </x:c>
      <x:c r="N84" s="15" t="str">
        <x:v>legalFramework.statutoryProvisions[1]</x:v>
      </x:c>
    </x:row>
    <x:row r="85">
      <x:c r="A85" s="1" t="str">
        <x:v>U0084</x:v>
      </x:c>
      <x:c r="B85" s="1" t="str">
        <x:v>cmm927sxp000304jp8fpwf2ew</x:v>
      </x:c>
      <x:c r="C85" s="1" t="str">
        <x:v>skeleton-args-ca2018006090-aa90566cb5f6b5de</x:v>
      </x:c>
      <x:c r="D85" s="1" t="str">
        <x:v>synthetic</x:v>
      </x:c>
      <x:c r="E85" s="15" t="str">
        <x:v>Blackwood v Blackwood</x:v>
      </x:c>
      <x:c r="F85" s="16" t="n">
        <x:v>46083.45301398148</x:v>
      </x:c>
      <x:c r="G85" s="15" t="str">
        <x:v>case</x:v>
      </x:c>
      <x:c r="H85" s="15" t="str">
        <x:v>case:2000 1 wlr 377</x:v>
      </x:c>
      <x:c r="I85" s="15" t="str">
        <x:v>Flannery v Halifax Estate Agencies Ltd [2000] 1 WLR 377</x:v>
      </x:c>
      <x:c r="J85" s="15" t="str">
        <x:v>Flannery v Halifax Estate Agencies Ltd [2000] 1 WLR 377</x:v>
      </x:c>
      <x:c r="K85" s="15" t="str"/>
      <x:c r="L85" s="15" t="str"/>
      <x:c r="M85" s="15" t="n">
        <x:v>1</x:v>
      </x:c>
      <x:c r="N85" s="15" t="str">
        <x:v>legalFramework.precedentCitations[1]</x:v>
      </x:c>
    </x:row>
    <x:row r="86">
      <x:c r="A86" s="1" t="str">
        <x:v>U0085</x:v>
      </x:c>
      <x:c r="B86" s="1" t="str">
        <x:v>cmm927sxp000304jp8fpwf2ew</x:v>
      </x:c>
      <x:c r="C86" s="1" t="str">
        <x:v>skeleton-args-ca2018006090-aa90566cb5f6b5de</x:v>
      </x:c>
      <x:c r="D86" s="1" t="str">
        <x:v>synthetic</x:v>
      </x:c>
      <x:c r="E86" s="15" t="str">
        <x:v>Blackwood v Blackwood</x:v>
      </x:c>
      <x:c r="F86" s="16" t="n">
        <x:v>46083.45301398148</x:v>
      </x:c>
      <x:c r="G86" s="15" t="str">
        <x:v>case</x:v>
      </x:c>
      <x:c r="H86" s="15" t="str">
        <x:v>case:2016 ewca civ 1004</x:v>
      </x:c>
      <x:c r="I86" s="15" t="str">
        <x:v>Creggy v Barnett &amp; Anor</x:v>
      </x:c>
      <x:c r="J86" s="15" t="str">
        <x:v>[2016] EWCA Civ 1004</x:v>
      </x:c>
      <x:c r="K86" s="15" t="str">
        <x:v>4f894b7c-50f6-46f4-b08a-7d5f549411bb</x:v>
      </x:c>
      <x:c r="L86" s="15" t="str"/>
      <x:c r="M86" s="15" t="n">
        <x:v>7</x:v>
      </x:c>
      <x:c r="N86" s="15" t="str">
        <x:v>factualFindings.chronology[1].sourceCases[0] | factualFindings.contestedFacts[0].sourceCases[0] | factualFindings.contestedFacts[1].sourceCases[0] | issuesForDetermination.issueMatrix[0].sourceCases[0] | issuesForDetermination.issueMatrix[1].sourceCases[0] | reasoningStructure[0].sourceCases[0] | reasoningStructure[1].sourceCases[0]</x:v>
      </x:c>
    </x:row>
    <x:row r="87">
      <x:c r="A87" s="1" t="str">
        <x:v>U0086</x:v>
      </x:c>
      <x:c r="B87" s="1" t="str">
        <x:v>cmm927sxp000304jp8fpwf2ew</x:v>
      </x:c>
      <x:c r="C87" s="1" t="str">
        <x:v>skeleton-args-ca2018006090-aa90566cb5f6b5de</x:v>
      </x:c>
      <x:c r="D87" s="1" t="str">
        <x:v>synthetic</x:v>
      </x:c>
      <x:c r="E87" s="15" t="str">
        <x:v>Blackwood v Blackwood</x:v>
      </x:c>
      <x:c r="F87" s="16" t="n">
        <x:v>46083.45301398148</x:v>
      </x:c>
      <x:c r="G87" s="15" t="str">
        <x:v>case</x:v>
      </x:c>
      <x:c r="H87" s="15" t="str">
        <x:v>case:2023 ewca civ 440</x:v>
      </x:c>
      <x:c r="I87" s="15" t="str">
        <x:v>Floreat Investment Management Ltd v Churchill &amp; Ors</x:v>
      </x:c>
      <x:c r="J87" s="15" t="str">
        <x:v>[2023] EWCA Civ 440</x:v>
      </x:c>
      <x:c r="K87" s="15" t="str">
        <x:v>cfb9db03-44c0-4604-926a-a76e01575d88</x:v>
      </x:c>
      <x:c r="L87" s="15" t="str"/>
      <x:c r="M87" s="15" t="n">
        <x:v>3</x:v>
      </x:c>
      <x:c r="N87" s="15" t="str">
        <x:v>factualFindings.contestedFacts[0].sourceCases[1] | issuesForDetermination.issueMatrix[0].sourceCases[1] | reasoningStructure[0].sourceCases[1]</x:v>
      </x:c>
    </x:row>
    <x:row r="88">
      <x:c r="A88" s="1" t="str">
        <x:v>U0087</x:v>
      </x:c>
      <x:c r="B88" s="1" t="str">
        <x:v>cmm927sxp000304jp8fpwf2ew</x:v>
      </x:c>
      <x:c r="C88" s="1" t="str">
        <x:v>skeleton-args-ca2018006090-aa90566cb5f6b5de</x:v>
      </x:c>
      <x:c r="D88" s="1" t="str">
        <x:v>synthetic</x:v>
      </x:c>
      <x:c r="E88" s="15" t="str">
        <x:v>Blackwood v Blackwood</x:v>
      </x:c>
      <x:c r="F88" s="16" t="n">
        <x:v>46083.45301398148</x:v>
      </x:c>
      <x:c r="G88" s="15" t="str">
        <x:v>case</x:v>
      </x:c>
      <x:c r="H88" s="15" t="str">
        <x:v>case:armitage v nurse 1998 ch 241</x:v>
      </x:c>
      <x:c r="I88" s="15" t="str">
        <x:v>Armitage v Nurse [1998] Ch 241</x:v>
      </x:c>
      <x:c r="J88" s="15" t="str">
        <x:v>Armitage v Nurse [1998] Ch 241</x:v>
      </x:c>
      <x:c r="K88" s="15" t="str"/>
      <x:c r="L88" s="15" t="str"/>
      <x:c r="M88" s="15" t="n">
        <x:v>1</x:v>
      </x:c>
      <x:c r="N88" s="15" t="str">
        <x:v>legalFramework.precedentCitations[0]</x:v>
      </x:c>
    </x:row>
    <x:row r="89">
      <x:c r="A89" s="1" t="str">
        <x:v>U0088</x:v>
      </x:c>
      <x:c r="B89" s="1" t="str">
        <x:v>cmm927sxp000304jp8fpwf2ew</x:v>
      </x:c>
      <x:c r="C89" s="1" t="str">
        <x:v>skeleton-args-ca2018006090-aa90566cb5f6b5de</x:v>
      </x:c>
      <x:c r="D89" s="1" t="str">
        <x:v>synthetic</x:v>
      </x:c>
      <x:c r="E89" s="15" t="str">
        <x:v>Blackwood v Blackwood</x:v>
      </x:c>
      <x:c r="F89" s="16" t="n">
        <x:v>46083.45301398148</x:v>
      </x:c>
      <x:c r="G89" s="15" t="str">
        <x:v>case</x:v>
      </x:c>
      <x:c r="H89" s="15" t="str">
        <x:v>case:creggy v barnett &amp; anor</x:v>
      </x:c>
      <x:c r="I89" s="15" t="str">
        <x:v>Creggy v Barnett &amp; Anor</x:v>
      </x:c>
      <x:c r="J89" s="15" t="str">
        <x:v>Creggy v Barnett &amp; Anor</x:v>
      </x:c>
      <x:c r="K89" s="15" t="str"/>
      <x:c r="L89" s="15" t="str"/>
      <x:c r="M89" s="15" t="n">
        <x:v>1</x:v>
      </x:c>
      <x:c r="N89" s="15" t="str">
        <x:v>legalFramework.legalTestSummaries[0].sourceAuthority</x:v>
      </x:c>
    </x:row>
    <x:row r="90">
      <x:c r="A90" s="1" t="str">
        <x:v>U0089</x:v>
      </x:c>
      <x:c r="B90" s="1" t="str">
        <x:v>cmm927sxp000304jp8fpwf2ew</x:v>
      </x:c>
      <x:c r="C90" s="1" t="str">
        <x:v>skeleton-args-ca2018006090-aa90566cb5f6b5de</x:v>
      </x:c>
      <x:c r="D90" s="1" t="str">
        <x:v>synthetic</x:v>
      </x:c>
      <x:c r="E90" s="15" t="str">
        <x:v>Blackwood v Blackwood</x:v>
      </x:c>
      <x:c r="F90" s="16" t="n">
        <x:v>46083.45301398148</x:v>
      </x:c>
      <x:c r="G90" s="15" t="str">
        <x:v>legislation</x:v>
      </x:c>
      <x:c r="H90" s="15" t="str">
        <x:v>legislation:senior courts act 1981 s 35a</x:v>
      </x:c>
      <x:c r="I90" s="15" t="str">
        <x:v>Senior Courts Act 1981, s.35A</x:v>
      </x:c>
      <x:c r="J90" s="15" t="str">
        <x:v>Senior Courts Act 1981, s.35A</x:v>
      </x:c>
      <x:c r="K90" s="15" t="str"/>
      <x:c r="L90" s="15" t="str"/>
      <x:c r="M90" s="15" t="n">
        <x:v>1</x:v>
      </x:c>
      <x:c r="N90" s="15" t="str">
        <x:v>decisionAndDisposition.interest.statutoryBasis</x:v>
      </x:c>
    </x:row>
    <x:row r="91">
      <x:c r="A91" s="1" t="str">
        <x:v>U0090</x:v>
      </x:c>
      <x:c r="B91" s="1" t="str">
        <x:v>cmm927sxp000304jp8fpwf2ew</x:v>
      </x:c>
      <x:c r="C91" s="1" t="str">
        <x:v>skeleton-args-ca2018006090-aa90566cb5f6b5de</x:v>
      </x:c>
      <x:c r="D91" s="1" t="str">
        <x:v>synthetic</x:v>
      </x:c>
      <x:c r="E91" s="15" t="str">
        <x:v>Blackwood v Blackwood</x:v>
      </x:c>
      <x:c r="F91" s="16" t="n">
        <x:v>46083.45301398148</x:v>
      </x:c>
      <x:c r="G91" s="15" t="str">
        <x:v>legislation</x:v>
      </x:c>
      <x:c r="H91" s="15" t="str">
        <x:v>legislation:trustee act 1925 s 1 1</x:v>
      </x:c>
      <x:c r="I91" s="15" t="str">
        <x:v>Trustee Act 1925</x:v>
      </x:c>
      <x:c r="J91" s="15" t="str">
        <x:v>Trustee Act 1925 s.1(1)</x:v>
      </x:c>
      <x:c r="K91" s="15" t="str"/>
      <x:c r="L91" s="15" t="str">
        <x:v>s.1(1)</x:v>
      </x:c>
      <x:c r="M91" s="15" t="n">
        <x:v>1</x:v>
      </x:c>
      <x:c r="N91" s="15" t="str">
        <x:v>legalFramework.statutoryProvisions[0]</x:v>
      </x:c>
    </x:row>
    <x:row r="92">
      <x:c r="A92" s="1" t="str">
        <x:v>U0091</x:v>
      </x:c>
      <x:c r="B92" s="1" t="str">
        <x:v>cmm927sxp000304jp8fpwf2ew</x:v>
      </x:c>
      <x:c r="C92" s="1" t="str">
        <x:v>skeleton-args-ca2018006090-aa90566cb5f6b5de</x:v>
      </x:c>
      <x:c r="D92" s="1" t="str">
        <x:v>synthetic</x:v>
      </x:c>
      <x:c r="E92" s="15" t="str">
        <x:v>Blackwood v Blackwood</x:v>
      </x:c>
      <x:c r="F92" s="16" t="n">
        <x:v>46083.45301398148</x:v>
      </x:c>
      <x:c r="G92" s="15" t="str">
        <x:v>legislation</x:v>
      </x:c>
      <x:c r="H92" s="15" t="str">
        <x:v>legislation:trustee act 2000</x:v>
      </x:c>
      <x:c r="I92" s="15" t="str">
        <x:v>Trustee Act 2000</x:v>
      </x:c>
      <x:c r="J92" s="15" t="str">
        <x:v>Trustee Act 2000</x:v>
      </x:c>
      <x:c r="K92" s="15" t="str"/>
      <x:c r="L92" s="15" t="str"/>
      <x:c r="M92" s="15" t="n">
        <x:v>1</x:v>
      </x:c>
      <x:c r="N92" s="15" t="str">
        <x:v>legalFramework.legalTestSummaries[1].sourceAuthority</x:v>
      </x:c>
    </x:row>
    <x:row r="93">
      <x:c r="A93" s="1" t="str">
        <x:v>U0092</x:v>
      </x:c>
      <x:c r="B93" s="1" t="str">
        <x:v>cmm927sxp000304jp8fpwf2ew</x:v>
      </x:c>
      <x:c r="C93" s="1" t="str">
        <x:v>skeleton-args-ca2018006090-aa90566cb5f6b5de</x:v>
      </x:c>
      <x:c r="D93" s="1" t="str">
        <x:v>synthetic</x:v>
      </x:c>
      <x:c r="E93" s="15" t="str">
        <x:v>Blackwood v Blackwood</x:v>
      </x:c>
      <x:c r="F93" s="16" t="n">
        <x:v>46083.45301398148</x:v>
      </x:c>
      <x:c r="G93" s="15" t="str">
        <x:v>legislation</x:v>
      </x:c>
      <x:c r="H93" s="15" t="str">
        <x:v>legislation:trustee act 2000 s 4</x:v>
      </x:c>
      <x:c r="I93" s="15" t="str">
        <x:v>Trustee Act 2000</x:v>
      </x:c>
      <x:c r="J93" s="15" t="str">
        <x:v>Trustee Act 2000 s.4</x:v>
      </x:c>
      <x:c r="K93" s="15" t="str"/>
      <x:c r="L93" s="15" t="str">
        <x:v>s.4</x:v>
      </x:c>
      <x:c r="M93" s="15" t="n">
        <x:v>1</x:v>
      </x:c>
      <x:c r="N93" s="15" t="str">
        <x:v>legalFramework.statutoryProvisions[1]</x:v>
      </x:c>
    </x:row>
    <x:row r="94">
      <x:c r="A94" s="1" t="str">
        <x:v>U0093</x:v>
      </x:c>
      <x:c r="B94" s="1" t="str">
        <x:v>cmm93eoww000904l4jttzk880</x:v>
      </x:c>
      <x:c r="C94" s="1" t="str">
        <x:v>skeleton-args-ca2019004792-59f1ed0831f20944</x:v>
      </x:c>
      <x:c r="D94" s="1" t="str">
        <x:v>synthetic</x:v>
      </x:c>
      <x:c r="E94" s="15" t="str">
        <x:v>Collins v North Thames NHS Foundation Trust</x:v>
      </x:c>
      <x:c r="F94" s="16" t="n">
        <x:v>46083.47617366898</x:v>
      </x:c>
      <x:c r="G94" s="15" t="str">
        <x:v>case</x:v>
      </x:c>
      <x:c r="H94" s="15" t="str">
        <x:v>case:2002 ewca civ 605</x:v>
      </x:c>
      <x:c r="I94" s="15" t="str">
        <x:v>[2002] EWCA Civ 605</x:v>
      </x:c>
      <x:c r="J94" s="15" t="str">
        <x:v>[2002] EWCA Civ 605</x:v>
      </x:c>
      <x:c r="K94" s="15" t="str"/>
      <x:c r="L94" s="15" t="str"/>
      <x:c r="M94" s="15" t="n">
        <x:v>1</x:v>
      </x:c>
      <x:c r="N94" s="15" t="str">
        <x:v>legalFramework.precedentCitations[0]</x:v>
      </x:c>
    </x:row>
    <x:row r="95">
      <x:c r="A95" s="1" t="str">
        <x:v>U0094</x:v>
      </x:c>
      <x:c r="B95" s="1" t="str">
        <x:v>cmm93eoww000904l4jttzk880</x:v>
      </x:c>
      <x:c r="C95" s="1" t="str">
        <x:v>skeleton-args-ca2019004792-59f1ed0831f20944</x:v>
      </x:c>
      <x:c r="D95" s="1" t="str">
        <x:v>synthetic</x:v>
      </x:c>
      <x:c r="E95" s="15" t="str">
        <x:v>Collins v North Thames NHS Foundation Trust</x:v>
      </x:c>
      <x:c r="F95" s="16" t="n">
        <x:v>46083.47617366898</x:v>
      </x:c>
      <x:c r="G95" s="15" t="str">
        <x:v>case</x:v>
      </x:c>
      <x:c r="H95" s="15" t="str">
        <x:v>case:2015 uksc 11</x:v>
      </x:c>
      <x:c r="I95" s="15" t="str">
        <x:v>[2015] UKSC 11</x:v>
      </x:c>
      <x:c r="J95" s="15" t="str">
        <x:v>[2015] UKSC 11</x:v>
      </x:c>
      <x:c r="K95" s="15" t="str"/>
      <x:c r="L95" s="15" t="str"/>
      <x:c r="M95" s="15" t="n">
        <x:v>1</x:v>
      </x:c>
      <x:c r="N95" s="15" t="str">
        <x:v>legalFramework.precedentCitations[2]</x:v>
      </x:c>
    </x:row>
    <x:row r="96">
      <x:c r="A96" s="1" t="str">
        <x:v>U0095</x:v>
      </x:c>
      <x:c r="B96" s="1" t="str">
        <x:v>cmm93eoww000904l4jttzk880</x:v>
      </x:c>
      <x:c r="C96" s="1" t="str">
        <x:v>skeleton-args-ca2019004792-59f1ed0831f20944</x:v>
      </x:c>
      <x:c r="D96" s="1" t="str">
        <x:v>synthetic</x:v>
      </x:c>
      <x:c r="E96" s="15" t="str">
        <x:v>Collins v North Thames NHS Foundation Trust</x:v>
      </x:c>
      <x:c r="F96" s="16" t="n">
        <x:v>46083.47617366898</x:v>
      </x:c>
      <x:c r="G96" s="15" t="str">
        <x:v>legislation</x:v>
      </x:c>
      <x:c r="H96" s="15" t="str">
        <x:v>legislation:limitation act 1980</x:v>
      </x:c>
      <x:c r="I96" s="15" t="str">
        <x:v>Limitation Act 1980</x:v>
      </x:c>
      <x:c r="J96" s="15" t="str">
        <x:v>Limitation Act 1980</x:v>
      </x:c>
      <x:c r="K96" s="15" t="str"/>
      <x:c r="L96" s="15" t="str"/>
      <x:c r="M96" s="15" t="n">
        <x:v>1</x:v>
      </x:c>
      <x:c r="N96" s="15" t="str">
        <x:v>legalFramework.statutoryProvisions[1]</x:v>
      </x:c>
    </x:row>
    <x:row r="97">
      <x:c r="A97" s="1" t="str">
        <x:v>U0096</x:v>
      </x:c>
      <x:c r="B97" s="1" t="str">
        <x:v>cmm93eoww000904l4jttzk880</x:v>
      </x:c>
      <x:c r="C97" s="1" t="str">
        <x:v>skeleton-args-ca2019004792-59f1ed0831f20944</x:v>
      </x:c>
      <x:c r="D97" s="1" t="str">
        <x:v>synthetic</x:v>
      </x:c>
      <x:c r="E97" s="15" t="str">
        <x:v>Collins v North Thames NHS Foundation Trust</x:v>
      </x:c>
      <x:c r="F97" s="16" t="n">
        <x:v>46083.47617366898</x:v>
      </x:c>
      <x:c r="G97" s="15" t="str">
        <x:v>legislation</x:v>
      </x:c>
      <x:c r="H97" s="15" t="str">
        <x:v>legislation:nhs act 2006</x:v>
      </x:c>
      <x:c r="I97" s="15" t="str">
        <x:v>NHS Act 2006</x:v>
      </x:c>
      <x:c r="J97" s="15" t="str">
        <x:v>NHS Act 2006</x:v>
      </x:c>
      <x:c r="K97" s="15" t="str"/>
      <x:c r="L97" s="15" t="str"/>
      <x:c r="M97" s="15" t="n">
        <x:v>1</x:v>
      </x:c>
      <x:c r="N97" s="15" t="str">
        <x:v>legalFramework.statutoryProvisions[0]</x:v>
      </x:c>
    </x:row>
    <x:row r="98">
      <x:c r="A98" s="1" t="str">
        <x:v>U0097</x:v>
      </x:c>
      <x:c r="B98" s="1" t="str">
        <x:v>cmm93eoww000904l4jttzk880</x:v>
      </x:c>
      <x:c r="C98" s="1" t="str">
        <x:v>skeleton-args-ca2019004792-59f1ed0831f20944</x:v>
      </x:c>
      <x:c r="D98" s="1" t="str">
        <x:v>synthetic</x:v>
      </x:c>
      <x:c r="E98" s="15" t="str">
        <x:v>Collins v North Thames NHS Foundation Trust</x:v>
      </x:c>
      <x:c r="F98" s="16" t="n">
        <x:v>46083.47617366898</x:v>
      </x:c>
      <x:c r="G98" s="15" t="str">
        <x:v>legislation</x:v>
      </x:c>
      <x:c r="H98" s="15" t="str">
        <x:v>legislation:senior courts act 1981 s 35a</x:v>
      </x:c>
      <x:c r="I98" s="15" t="str">
        <x:v>Senior Courts Act 1981, s.35A</x:v>
      </x:c>
      <x:c r="J98" s="15" t="str">
        <x:v>Senior Courts Act 1981, s.35A</x:v>
      </x:c>
      <x:c r="K98" s="15" t="str"/>
      <x:c r="L98" s="15" t="str"/>
      <x:c r="M98" s="15" t="n">
        <x:v>1</x:v>
      </x:c>
      <x:c r="N98" s="15" t="str">
        <x:v>decisionAndDisposition.interest.statutoryBasis</x:v>
      </x:c>
    </x:row>
    <x:row r="99">
      <x:c r="A99" s="1" t="str">
        <x:v>U0098</x:v>
      </x:c>
      <x:c r="B99" s="1" t="str">
        <x:v>cmm93eoww000904l4jttzk880</x:v>
      </x:c>
      <x:c r="C99" s="1" t="str">
        <x:v>skeleton-args-ca2019004792-59f1ed0831f20944</x:v>
      </x:c>
      <x:c r="D99" s="1" t="str">
        <x:v>synthetic</x:v>
      </x:c>
      <x:c r="E99" s="15" t="str">
        <x:v>Collins v North Thames NHS Foundation Trust</x:v>
      </x:c>
      <x:c r="F99" s="16" t="n">
        <x:v>46083.47617366898</x:v>
      </x:c>
      <x:c r="G99" s="15" t="str">
        <x:v>other</x:v>
      </x:c>
      <x:c r="H99" s="15" t="str">
        <x:v>other:2000 1 wlr 377</x:v>
      </x:c>
      <x:c r="I99" s="15" t="str">
        <x:v>[2000] 1 WLR 377</x:v>
      </x:c>
      <x:c r="J99" s="15" t="str">
        <x:v>[2000] 1 WLR 377</x:v>
      </x:c>
      <x:c r="K99" s="15" t="str"/>
      <x:c r="L99" s="15" t="str"/>
      <x:c r="M99" s="15" t="n">
        <x:v>1</x:v>
      </x:c>
      <x:c r="N99" s="15" t="str">
        <x:v>legalFramework.precedentCitations[1]</x:v>
      </x:c>
    </x:row>
    <x:row r="100">
      <x:c r="A100" s="1" t="str">
        <x:v>U0099</x:v>
      </x:c>
      <x:c r="B100" s="1" t="str">
        <x:v>cmmafut12000904l4kjskwky4</x:v>
      </x:c>
      <x:c r="C100" s="1" t="str">
        <x:v>skeleton-args-ca2025000412-e17d5e10793fe216</x:v>
      </x:c>
      <x:c r="D100" s="1" t="str">
        <x:v>synthetic</x:v>
      </x:c>
      <x:c r="E100" s="15" t="str">
        <x:v>R (Harrison) v Secretary of State for Justice</x:v>
      </x:c>
      <x:c r="F100" s="16" t="n">
        <x:v>46084.41799541667</x:v>
      </x:c>
      <x:c r="G100" s="15" t="str">
        <x:v>case</x:v>
      </x:c>
      <x:c r="H100" s="15" t="str">
        <x:v>case:2002 ewca civ 605</x:v>
      </x:c>
      <x:c r="I100" s="15" t="str">
        <x:v>English v Emery Reimbold &amp; Strick Ltd [2002] EWCA Civ 605</x:v>
      </x:c>
      <x:c r="J100" s="15" t="str">
        <x:v>English v Emery Reimbold &amp; Strick Ltd [2002] EWCA Civ 605</x:v>
      </x:c>
      <x:c r="K100" s="15" t="str"/>
      <x:c r="L100" s="15" t="str"/>
      <x:c r="M100" s="15" t="n">
        <x:v>1</x:v>
      </x:c>
      <x:c r="N100" s="15" t="str">
        <x:v>legalFramework.precedentCitations[0]</x:v>
      </x:c>
    </x:row>
    <x:row r="101">
      <x:c r="A101" s="1" t="str">
        <x:v>U0100</x:v>
      </x:c>
      <x:c r="B101" s="1" t="str">
        <x:v>cmmafut12000904l4kjskwky4</x:v>
      </x:c>
      <x:c r="C101" s="1" t="str">
        <x:v>skeleton-args-ca2025000412-e17d5e10793fe216</x:v>
      </x:c>
      <x:c r="D101" s="1" t="str">
        <x:v>synthetic</x:v>
      </x:c>
      <x:c r="E101" s="15" t="str">
        <x:v>R (Harrison) v Secretary of State for Justice</x:v>
      </x:c>
      <x:c r="F101" s="16" t="n">
        <x:v>46084.41799541667</x:v>
      </x:c>
      <x:c r="G101" s="15" t="str">
        <x:v>case</x:v>
      </x:c>
      <x:c r="H101" s="15" t="str">
        <x:v>case:2015 ewca civ 1170</x:v>
      </x:c>
      <x:c r="I101" s="15" t="str">
        <x:v>Bristow v The Secretary of State for Justice &amp; Anor</x:v>
      </x:c>
      <x:c r="J101" s="15" t="str">
        <x:v>[2015] EWCA Civ 1170</x:v>
      </x:c>
      <x:c r="K101" s="15" t="str">
        <x:v>1dbb4242-42ac-456f-989f-5098066d87ca</x:v>
      </x:c>
      <x:c r="L101" s="15" t="str"/>
      <x:c r="M101" s="15" t="n">
        <x:v>1</x:v>
      </x:c>
      <x:c r="N101" s="15" t="str">
        <x:v>issuesForDetermination.issueMatrix[0].sourceCases[0]</x:v>
      </x:c>
    </x:row>
    <x:row r="102">
      <x:c r="A102" s="1" t="str">
        <x:v>U0101</x:v>
      </x:c>
      <x:c r="B102" s="1" t="str">
        <x:v>cmmafut12000904l4kjskwky4</x:v>
      </x:c>
      <x:c r="C102" s="1" t="str">
        <x:v>skeleton-args-ca2025000412-e17d5e10793fe216</x:v>
      </x:c>
      <x:c r="D102" s="1" t="str">
        <x:v>synthetic</x:v>
      </x:c>
      <x:c r="E102" s="15" t="str">
        <x:v>R (Harrison) v Secretary of State for Justice</x:v>
      </x:c>
      <x:c r="F102" s="16" t="n">
        <x:v>46084.41799541667</x:v>
      </x:c>
      <x:c r="G102" s="15" t="str">
        <x:v>case</x:v>
      </x:c>
      <x:c r="H102" s="15" t="str">
        <x:v>case:james v hm prison birmingham judicial review on committal for civil contempt</x:v>
      </x:c>
      <x:c r="I102" s="15" t="str">
        <x:v>James v HM Prison Birmingham: Judicial Review on Committal for Civil Contempt</x:v>
      </x:c>
      <x:c r="J102" s="15" t="str">
        <x:v>N/A</x:v>
      </x:c>
      <x:c r="K102" s="15" t="str">
        <x:v>47c9c661-fe50-444e-8eb2-faf3fa2b12ba</x:v>
      </x:c>
      <x:c r="L102" s="15" t="str"/>
      <x:c r="M102" s="15" t="n">
        <x:v>1</x:v>
      </x:c>
      <x:c r="N102" s="15" t="str">
        <x:v>reasoningStructure[0].sourceCases[0]</x:v>
      </x:c>
    </x:row>
    <x:row r="103">
      <x:c r="A103" s="1" t="str">
        <x:v>U0102</x:v>
      </x:c>
      <x:c r="B103" s="1" t="str">
        <x:v>cmmafut12000904l4kjskwky4</x:v>
      </x:c>
      <x:c r="C103" s="1" t="str">
        <x:v>skeleton-args-ca2025000412-e17d5e10793fe216</x:v>
      </x:c>
      <x:c r="D103" s="1" t="str">
        <x:v>synthetic</x:v>
      </x:c>
      <x:c r="E103" s="15" t="str">
        <x:v>R (Harrison) v Secretary of State for Justice</x:v>
      </x:c>
      <x:c r="F103" s="16" t="n">
        <x:v>46084.41799541667</x:v>
      </x:c>
      <x:c r="G103" s="15" t="str">
        <x:v>case</x:v>
      </x:c>
      <x:c r="H103" s="15" t="str">
        <x:v>case:the howard league for penal reform and prisoners advice service v the lord chancellor</x:v>
      </x:c>
      <x:c r="I103" s="15" t="str">
        <x:v>The Howard League for Penal Reform and Prisoners' Advice Service v The Lord Chancellor</x:v>
      </x:c>
      <x:c r="J103" s="15" t="str">
        <x:v>N/A</x:v>
      </x:c>
      <x:c r="K103" s="15" t="str">
        <x:v>d60a5323-796e-4110-a6de-012ec16860c1</x:v>
      </x:c>
      <x:c r="L103" s="15" t="str"/>
      <x:c r="M103" s="15" t="n">
        <x:v>1</x:v>
      </x:c>
      <x:c r="N103" s="15" t="str">
        <x:v>factualFindings.contestedFacts[0].sourceCases[0]</x:v>
      </x:c>
    </x:row>
    <x:row r="104">
      <x:c r="A104" s="1" t="str">
        <x:v>U0103</x:v>
      </x:c>
      <x:c r="B104" s="1" t="str">
        <x:v>cmmafut12000904l4kjskwky4</x:v>
      </x:c>
      <x:c r="C104" s="1" t="str">
        <x:v>skeleton-args-ca2025000412-e17d5e10793fe216</x:v>
      </x:c>
      <x:c r="D104" s="1" t="str">
        <x:v>synthetic</x:v>
      </x:c>
      <x:c r="E104" s="15" t="str">
        <x:v>R (Harrison) v Secretary of State for Justice</x:v>
      </x:c>
      <x:c r="F104" s="16" t="n">
        <x:v>46084.41799541667</x:v>
      </x:c>
      <x:c r="G104" s="15" t="str">
        <x:v>case</x:v>
      </x:c>
      <x:c r="H104" s="15" t="str">
        <x:v>case:velyo velev v bulgaria app no 16032 07 echr 27 may 2014</x:v>
      </x:c>
      <x:c r="I104" s="15" t="str">
        <x:v>Velyo Velev v Bulgaria (App No 16032/07) ECHR 27 May 2014</x:v>
      </x:c>
      <x:c r="J104" s="15" t="str">
        <x:v>Velyo Velev v Bulgaria (App No 16032/07) ECHR 27 May 2014</x:v>
      </x:c>
      <x:c r="K104" s="15" t="str"/>
      <x:c r="L104" s="15" t="str"/>
      <x:c r="M104" s="15" t="n">
        <x:v>1</x:v>
      </x:c>
      <x:c r="N104" s="15" t="str">
        <x:v>legalFramework.legalTestSummaries[0].sourceAuthority</x:v>
      </x:c>
    </x:row>
    <x:row r="105">
      <x:c r="A105" s="1" t="str">
        <x:v>U0104</x:v>
      </x:c>
      <x:c r="B105" s="1" t="str">
        <x:v>cmmafut12000904l4kjskwky4</x:v>
      </x:c>
      <x:c r="C105" s="1" t="str">
        <x:v>skeleton-args-ca2025000412-e17d5e10793fe216</x:v>
      </x:c>
      <x:c r="D105" s="1" t="str">
        <x:v>synthetic</x:v>
      </x:c>
      <x:c r="E105" s="15" t="str">
        <x:v>R (Harrison) v Secretary of State for Justice</x:v>
      </x:c>
      <x:c r="F105" s="16" t="n">
        <x:v>46084.41799541667</x:v>
      </x:c>
      <x:c r="G105" s="15" t="str">
        <x:v>legislation</x:v>
      </x:c>
      <x:c r="H105" s="15" t="str">
        <x:v>legislation:senior courts act 1981 s 35a</x:v>
      </x:c>
      <x:c r="I105" s="15" t="str">
        <x:v>Senior Courts Act 1981</x:v>
      </x:c>
      <x:c r="J105" s="15" t="str">
        <x:v>Senior Courts Act 1981 s.35A</x:v>
      </x:c>
      <x:c r="K105" s="15" t="str"/>
      <x:c r="L105" s="15" t="str">
        <x:v>s.35A</x:v>
      </x:c>
      <x:c r="M105" s="15" t="n">
        <x:v>1</x:v>
      </x:c>
      <x:c r="N105" s="15" t="str">
        <x:v>legalFramework.statutoryProvisions[0]</x:v>
      </x:c>
    </x:row>
    <x:row r="106">
      <x:c r="A106" s="1" t="str">
        <x:v>U0105</x:v>
      </x:c>
      <x:c r="B106" s="1" t="str">
        <x:v>cmmc2zaji000h04l23a3cp61p</x:v>
      </x:c>
      <x:c r="C106" s="1" t="str">
        <x:v>skeleton-args-ca2022002088-9a827e5fc9cfa270</x:v>
      </x:c>
      <x:c r="D106" s="1" t="str">
        <x:v>synthetic</x:v>
      </x:c>
      <x:c r="E106" s="15" t="str">
        <x:v>HMRC v Dolphin Drilling Ltd</x:v>
      </x:c>
      <x:c r="F106" s="16" t="n">
        <x:v>46085.56737810185</x:v>
      </x:c>
      <x:c r="G106" s="15" t="str">
        <x:v>case</x:v>
      </x:c>
      <x:c r="H106" s="15" t="str">
        <x:v>case:2000 1 wlr 377</x:v>
      </x:c>
      <x:c r="I106" s="15" t="str">
        <x:v>Flannery v Halifax Estate Agencies Ltd [2000] 1 WLR 377</x:v>
      </x:c>
      <x:c r="J106" s="15" t="str">
        <x:v>Flannery v Halifax Estate Agencies Ltd [2000] 1 WLR 377</x:v>
      </x:c>
      <x:c r="K106" s="15" t="str"/>
      <x:c r="L106" s="15" t="str"/>
      <x:c r="M106" s="15" t="n">
        <x:v>1</x:v>
      </x:c>
      <x:c r="N106" s="15" t="str">
        <x:v>legalFramework.precedentCitations[1]</x:v>
      </x:c>
    </x:row>
    <x:row r="107">
      <x:c r="A107" s="1" t="str">
        <x:v>U0106</x:v>
      </x:c>
      <x:c r="B107" s="1" t="str">
        <x:v>cmmc2zaji000h04l23a3cp61p</x:v>
      </x:c>
      <x:c r="C107" s="1" t="str">
        <x:v>skeleton-args-ca2022002088-9a827e5fc9cfa270</x:v>
      </x:c>
      <x:c r="D107" s="1" t="str">
        <x:v>synthetic</x:v>
      </x:c>
      <x:c r="E107" s="15" t="str">
        <x:v>HMRC v Dolphin Drilling Ltd</x:v>
      </x:c>
      <x:c r="F107" s="16" t="n">
        <x:v>46085.56737810185</x:v>
      </x:c>
      <x:c r="G107" s="15" t="str">
        <x:v>case</x:v>
      </x:c>
      <x:c r="H107" s="15" t="str">
        <x:v>case:2002 ewca civ 605</x:v>
      </x:c>
      <x:c r="I107" s="15" t="str">
        <x:v>English v Emery Reimbold &amp; Strick Ltd [2002] EWCA Civ 605</x:v>
      </x:c>
      <x:c r="J107" s="15" t="str">
        <x:v>English v Emery Reimbold &amp; Strick Ltd [2002] EWCA Civ 605</x:v>
      </x:c>
      <x:c r="K107" s="15" t="str"/>
      <x:c r="L107" s="15" t="str"/>
      <x:c r="M107" s="15" t="n">
        <x:v>1</x:v>
      </x:c>
      <x:c r="N107" s="15" t="str">
        <x:v>legalFramework.precedentCitations[0]</x:v>
      </x:c>
    </x:row>
    <x:row r="108">
      <x:c r="A108" s="1" t="str">
        <x:v>U0107</x:v>
      </x:c>
      <x:c r="B108" s="1" t="str">
        <x:v>cmmc2zaji000h04l23a3cp61p</x:v>
      </x:c>
      <x:c r="C108" s="1" t="str">
        <x:v>skeleton-args-ca2022002088-9a827e5fc9cfa270</x:v>
      </x:c>
      <x:c r="D108" s="1" t="str">
        <x:v>synthetic</x:v>
      </x:c>
      <x:c r="E108" s="15" t="str">
        <x:v>HMRC v Dolphin Drilling Ltd</x:v>
      </x:c>
      <x:c r="F108" s="16" t="n">
        <x:v>46085.56737810185</x:v>
      </x:c>
      <x:c r="G108" s="15" t="str">
        <x:v>case</x:v>
      </x:c>
      <x:c r="H108" s="15" t="str">
        <x:v>case:2014 ewca civ 1062</x:v>
      </x:c>
      <x:c r="I108" s="15" t="str">
        <x:v>Revenue and Customs v Lloyds TSB Equipment Leasing (No 1) Ltd</x:v>
      </x:c>
      <x:c r="J108" s="15" t="str">
        <x:v>[2014] EWCA Civ 1062</x:v>
      </x:c>
      <x:c r="K108" s="15" t="str">
        <x:v>43ef5de1-aec0-41aa-83ef-7f2ecf54e8b8</x:v>
      </x:c>
      <x:c r="L108" s="15" t="str"/>
      <x:c r="M108" s="15" t="n">
        <x:v>4</x:v>
      </x:c>
      <x:c r="N108" s="15" t="str">
        <x:v>factualFindings.contestedFacts[1].sourceCases[0] | issuesForDetermination.issueMatrix[1].sourceCases[0] | legalFramework.statutoryProvisions[0].sourceCases[1] | reasoningStructure[1].sourceCases[0]</x:v>
      </x:c>
    </x:row>
    <x:row r="109">
      <x:c r="A109" s="1" t="str">
        <x:v>U0108</x:v>
      </x:c>
      <x:c r="B109" s="1" t="str">
        <x:v>cmmc2zaji000h04l23a3cp61p</x:v>
      </x:c>
      <x:c r="C109" s="1" t="str">
        <x:v>skeleton-args-ca2022002088-9a827e5fc9cfa270</x:v>
      </x:c>
      <x:c r="D109" s="1" t="str">
        <x:v>synthetic</x:v>
      </x:c>
      <x:c r="E109" s="15" t="str">
        <x:v>HMRC v Dolphin Drilling Ltd</x:v>
      </x:c>
      <x:c r="F109" s="16" t="n">
        <x:v>46085.56737810185</x:v>
      </x:c>
      <x:c r="G109" s="15" t="str">
        <x:v>case</x:v>
      </x:c>
      <x:c r="H109" s="15" t="str">
        <x:v>case:2022 ewca civ 1422</x:v>
      </x:c>
      <x:c r="I109" s="15" t="str">
        <x:v>Cobalt Data Centre 2 LLP &amp; Anor v HM Revenue &amp; Customs</x:v>
      </x:c>
      <x:c r="J109" s="15" t="str">
        <x:v>[2022] EWCA Civ 1422</x:v>
      </x:c>
      <x:c r="K109" s="15" t="str">
        <x:v>3b5f0b35-9abc-4644-bd76-178e4ddaa226</x:v>
      </x:c>
      <x:c r="L109" s="15" t="str"/>
      <x:c r="M109" s="15" t="n">
        <x:v>4</x:v>
      </x:c>
      <x:c r="N109" s="15" t="str">
        <x:v>factualFindings.contestedFacts[0].sourceCases[0] | issuesForDetermination.issueMatrix[0].sourceCases[0] | legalFramework.statutoryProvisions[0].sourceCases[0] | reasoningStructure[0].sourceCases[0]</x:v>
      </x:c>
    </x:row>
    <x:row r="110">
      <x:c r="A110" s="1" t="str">
        <x:v>U0109</x:v>
      </x:c>
      <x:c r="B110" s="1" t="str">
        <x:v>cmmc2zaji000h04l23a3cp61p</x:v>
      </x:c>
      <x:c r="C110" s="1" t="str">
        <x:v>skeleton-args-ca2022002088-9a827e5fc9cfa270</x:v>
      </x:c>
      <x:c r="D110" s="1" t="str">
        <x:v>synthetic</x:v>
      </x:c>
      <x:c r="E110" s="15" t="str">
        <x:v>HMRC v Dolphin Drilling Ltd</x:v>
      </x:c>
      <x:c r="F110" s="16" t="n">
        <x:v>46085.56737810185</x:v>
      </x:c>
      <x:c r="G110" s="15" t="str">
        <x:v>legislation</x:v>
      </x:c>
      <x:c r="H110" s="15" t="str">
        <x:v>legislation:as per senior courts act 1981 s 35a</x:v>
      </x:c>
      <x:c r="I110" s="15" t="str">
        <x:v>as per Senior Courts Act 1981, s.35A</x:v>
      </x:c>
      <x:c r="J110" s="15" t="str">
        <x:v>as per Senior Courts Act 1981, s.35A</x:v>
      </x:c>
      <x:c r="K110" s="15" t="str"/>
      <x:c r="L110" s="15" t="str"/>
      <x:c r="M110" s="15" t="n">
        <x:v>1</x:v>
      </x:c>
      <x:c r="N110" s="15" t="str">
        <x:v>decisionAndDisposition.interest.statutoryBasis</x:v>
      </x:c>
    </x:row>
    <x:row r="111">
      <x:c r="A111" s="1" t="str">
        <x:v>U0110</x:v>
      </x:c>
      <x:c r="B111" s="1" t="str">
        <x:v>cmmc2zaji000h04l23a3cp61p</x:v>
      </x:c>
      <x:c r="C111" s="1" t="str">
        <x:v>skeleton-args-ca2022002088-9a827e5fc9cfa270</x:v>
      </x:c>
      <x:c r="D111" s="1" t="str">
        <x:v>synthetic</x:v>
      </x:c>
      <x:c r="E111" s="15" t="str">
        <x:v>HMRC v Dolphin Drilling Ltd</x:v>
      </x:c>
      <x:c r="F111" s="16" t="n">
        <x:v>46085.56737810185</x:v>
      </x:c>
      <x:c r="G111" s="15" t="str">
        <x:v>legislation</x:v>
      </x:c>
      <x:c r="H111" s="15" t="str">
        <x:v>legislation:corporation tax act 2010 356k to 356l</x:v>
      </x:c>
      <x:c r="I111" s="15" t="str">
        <x:v>Corporation Tax Act 2010</x:v>
      </x:c>
      <x:c r="J111" s="15" t="str">
        <x:v>Corporation Tax Act 2010 356K to 356L</x:v>
      </x:c>
      <x:c r="K111" s="15" t="str"/>
      <x:c r="L111" s="15" t="str">
        <x:v>356K to 356L</x:v>
      </x:c>
      <x:c r="M111" s="15" t="n">
        <x:v>1</x:v>
      </x:c>
      <x:c r="N111" s="15" t="str">
        <x:v>legalFramework.statutoryProvisions[2]</x:v>
      </x:c>
    </x:row>
    <x:row r="112">
      <x:c r="A112" s="1" t="str">
        <x:v>U0111</x:v>
      </x:c>
      <x:c r="B112" s="1" t="str">
        <x:v>cmmc2zaji000h04l23a3cp61p</x:v>
      </x:c>
      <x:c r="C112" s="1" t="str">
        <x:v>skeleton-args-ca2022002088-9a827e5fc9cfa270</x:v>
      </x:c>
      <x:c r="D112" s="1" t="str">
        <x:v>synthetic</x:v>
      </x:c>
      <x:c r="E112" s="15" t="str">
        <x:v>HMRC v Dolphin Drilling Ltd</x:v>
      </x:c>
      <x:c r="F112" s="16" t="n">
        <x:v>46085.56737810185</x:v>
      </x:c>
      <x:c r="G112" s="15" t="str">
        <x:v>legislation</x:v>
      </x:c>
      <x:c r="H112" s="15" t="str">
        <x:v>legislation:corporation tax act 2010 part 8za</x:v>
      </x:c>
      <x:c r="I112" s="15" t="str">
        <x:v>Corporation Tax Act 2010</x:v>
      </x:c>
      <x:c r="J112" s="15" t="str">
        <x:v>Corporation Tax Act 2010 Part 8ZA</x:v>
      </x:c>
      <x:c r="K112" s="15" t="str"/>
      <x:c r="L112" s="15" t="str">
        <x:v>Part 8ZA</x:v>
      </x:c>
      <x:c r="M112" s="15" t="n">
        <x:v>1</x:v>
      </x:c>
      <x:c r="N112" s="15" t="str">
        <x:v>legalFramework.statutoryProvisions[0]</x:v>
      </x:c>
    </x:row>
    <x:row r="113">
      <x:c r="A113" s="1" t="str">
        <x:v>U0112</x:v>
      </x:c>
      <x:c r="B113" s="1" t="str">
        <x:v>cmmc2zaji000h04l23a3cp61p</x:v>
      </x:c>
      <x:c r="C113" s="1" t="str">
        <x:v>skeleton-args-ca2022002088-9a827e5fc9cfa270</x:v>
      </x:c>
      <x:c r="D113" s="1" t="str">
        <x:v>synthetic</x:v>
      </x:c>
      <x:c r="E113" s="15" t="str">
        <x:v>HMRC v Dolphin Drilling Ltd</x:v>
      </x:c>
      <x:c r="F113" s="16" t="n">
        <x:v>46085.56737810185</x:v>
      </x:c>
      <x:c r="G113" s="15" t="str">
        <x:v>legislation</x:v>
      </x:c>
      <x:c r="H113" s="15" t="str">
        <x:v>legislation:senior courts act 1981 s 35a</x:v>
      </x:c>
      <x:c r="I113" s="15" t="str">
        <x:v>Senior Courts Act 1981</x:v>
      </x:c>
      <x:c r="J113" s="15" t="str">
        <x:v>Senior Courts Act 1981 s.35A</x:v>
      </x:c>
      <x:c r="K113" s="15" t="str"/>
      <x:c r="L113" s="15" t="str">
        <x:v>s.35A</x:v>
      </x:c>
      <x:c r="M113" s="15" t="n">
        <x:v>1</x:v>
      </x:c>
      <x:c r="N113" s="15" t="str">
        <x:v>legalFramework.statutoryProvisions[1]</x:v>
      </x:c>
    </x:row>
    <x:row r="114">
      <x:c r="A114" s="1" t="str">
        <x:v>U0113</x:v>
      </x:c>
      <x:c r="B114" s="1" t="str">
        <x:v>cmmc4a8zu000h04jx2w3r0hzo</x:v>
      </x:c>
      <x:c r="C114" s="1" t="str">
        <x:v>ca-2024-000255-ellis-v-ssj-appellant-skeleton</x:v>
      </x:c>
      <x:c r="D114" s="1" t="str">
        <x:v>real</x:v>
      </x:c>
      <x:c r="E114" s="15" t="str">
        <x:v>R (Fajr Ellis) v Secretary of State for Justice</x:v>
      </x:c>
      <x:c r="F114" s="16" t="n">
        <x:v>46085.592734907405</x:v>
      </x:c>
      <x:c r="G114" s="15" t="str">
        <x:v>case</x:v>
      </x:c>
      <x:c r="H114" s="15" t="str">
        <x:v>case:2015 ewca civ 1170</x:v>
      </x:c>
      <x:c r="I114" s="15" t="str">
        <x:v>Bristow v The Secretary of State for Justice &amp; Anor</x:v>
      </x:c>
      <x:c r="J114" s="15" t="str">
        <x:v>[2015] EWCA Civ 1170</x:v>
      </x:c>
      <x:c r="K114" s="15" t="str">
        <x:v>1dbb4242-42ac-456f-989f-5098066d87ca</x:v>
      </x:c>
      <x:c r="L114" s="15" t="str"/>
      <x:c r="M114" s="15" t="n">
        <x:v>3</x:v>
      </x:c>
      <x:c r="N114" s="15" t="str">
        <x:v>factualFindings.contestedFacts[0].sourceCases[0] | issuesForDetermination.issueMatrix[0].sourceCases[0] | reasoningStructure[0].sourceCases[0]</x:v>
      </x:c>
    </x:row>
    <x:row r="115">
      <x:c r="A115" s="1" t="str">
        <x:v>U0114</x:v>
      </x:c>
      <x:c r="B115" s="1" t="str">
        <x:v>cmmc4a8zu000h04jx2w3r0hzo</x:v>
      </x:c>
      <x:c r="C115" s="1" t="str">
        <x:v>ca-2024-000255-ellis-v-ssj-appellant-skeleton</x:v>
      </x:c>
      <x:c r="D115" s="1" t="str">
        <x:v>real</x:v>
      </x:c>
      <x:c r="E115" s="15" t="str">
        <x:v>R (Fajr Ellis) v Secretary of State for Justice</x:v>
      </x:c>
      <x:c r="F115" s="16" t="n">
        <x:v>46085.592734907405</x:v>
      </x:c>
      <x:c r="G115" s="15" t="str">
        <x:v>case</x:v>
      </x:c>
      <x:c r="H115" s="15" t="str">
        <x:v>case:2022 ewca civ 4</x:v>
      </x:c>
      <x:c r="I115" s="15" t="str">
        <x:v>Pearce, R (On the Application Of) v Parole Board of England and Wales &amp; Anor</x:v>
      </x:c>
      <x:c r="J115" s="15" t="str">
        <x:v>[2022] EWCA Civ 4</x:v>
      </x:c>
      <x:c r="K115" s="15" t="str">
        <x:v>6704e94e-e6b0-4dfe-b4c9-c5d695bdc6aa</x:v>
      </x:c>
      <x:c r="L115" s="15" t="str"/>
      <x:c r="M115" s="15" t="n">
        <x:v>1</x:v>
      </x:c>
      <x:c r="N115" s="15" t="str">
        <x:v>factualFindings.chronology[1].sourceCases[0]</x:v>
      </x:c>
    </x:row>
    <x:row r="116">
      <x:c r="A116" s="1" t="str">
        <x:v>U0115</x:v>
      </x:c>
      <x:c r="B116" s="1" t="str">
        <x:v>cmmc4a8zu000h04jx2w3r0hzo</x:v>
      </x:c>
      <x:c r="C116" s="1" t="str">
        <x:v>ca-2024-000255-ellis-v-ssj-appellant-skeleton</x:v>
      </x:c>
      <x:c r="D116" s="1" t="str">
        <x:v>real</x:v>
      </x:c>
      <x:c r="E116" s="15" t="str">
        <x:v>R (Fajr Ellis) v Secretary of State for Justice</x:v>
      </x:c>
      <x:c r="F116" s="16" t="n">
        <x:v>46085.592734907405</x:v>
      </x:c>
      <x:c r="G116" s="15" t="str">
        <x:v>case</x:v>
      </x:c>
      <x:c r="H116" s="15" t="str">
        <x:v>case:flannery v halifax estate agencies ltd</x:v>
      </x:c>
      <x:c r="I116" s="15" t="str">
        <x:v>Flannery v Halifax Estate Agencies Ltd</x:v>
      </x:c>
      <x:c r="J116" s="15" t="str">
        <x:v>Flannery v Halifax Estate Agencies Ltd</x:v>
      </x:c>
      <x:c r="K116" s="15" t="str"/>
      <x:c r="L116" s="15" t="str"/>
      <x:c r="M116" s="15" t="n">
        <x:v>1</x:v>
      </x:c>
      <x:c r="N116" s="15" t="str">
        <x:v>legalFramework.precedentCitations[1]</x:v>
      </x:c>
    </x:row>
    <x:row r="117">
      <x:c r="A117" s="1" t="str">
        <x:v>U0116</x:v>
      </x:c>
      <x:c r="B117" s="1" t="str">
        <x:v>cmmc4a8zu000h04jx2w3r0hzo</x:v>
      </x:c>
      <x:c r="C117" s="1" t="str">
        <x:v>ca-2024-000255-ellis-v-ssj-appellant-skeleton</x:v>
      </x:c>
      <x:c r="D117" s="1" t="str">
        <x:v>real</x:v>
      </x:c>
      <x:c r="E117" s="15" t="str">
        <x:v>R (Fajr Ellis) v Secretary of State for Justice</x:v>
      </x:c>
      <x:c r="F117" s="16" t="n">
        <x:v>46085.592734907405</x:v>
      </x:c>
      <x:c r="G117" s="15" t="str">
        <x:v>case</x:v>
      </x:c>
      <x:c r="H117" s="15" t="str">
        <x:v>case:r johnson v sshd</x:v>
      </x:c>
      <x:c r="I117" s="15" t="str">
        <x:v>R (Johnson) v SSHD</x:v>
      </x:c>
      <x:c r="J117" s="15" t="str">
        <x:v>R (Johnson) v SSHD</x:v>
      </x:c>
      <x:c r="K117" s="15" t="str"/>
      <x:c r="L117" s="15" t="str"/>
      <x:c r="M117" s="15" t="n">
        <x:v>1</x:v>
      </x:c>
      <x:c r="N117" s="15" t="str">
        <x:v>legalFramework.precedentCitations[0]</x:v>
      </x:c>
    </x:row>
    <x:row r="118">
      <x:c r="A118" s="1" t="str">
        <x:v>U0117</x:v>
      </x:c>
      <x:c r="B118" s="1" t="str">
        <x:v>cmmc4a8zu000h04jx2w3r0hzo</x:v>
      </x:c>
      <x:c r="C118" s="1" t="str">
        <x:v>ca-2024-000255-ellis-v-ssj-appellant-skeleton</x:v>
      </x:c>
      <x:c r="D118" s="1" t="str">
        <x:v>real</x:v>
      </x:c>
      <x:c r="E118" s="15" t="str">
        <x:v>R (Fajr Ellis) v Secretary of State for Justice</x:v>
      </x:c>
      <x:c r="F118" s="16" t="n">
        <x:v>46085.592734907405</x:v>
      </x:c>
      <x:c r="G118" s="15" t="str">
        <x:v>case</x:v>
      </x:c>
      <x:c r="H118" s="15" t="str">
        <x:v>case:the howard league for penal reform and prisoners advice service v the lord chancellor</x:v>
      </x:c>
      <x:c r="I118" s="15" t="str">
        <x:v>The Howard League for Penal Reform and Prisoners' Advice Service v The Lord Chancellor</x:v>
      </x:c>
      <x:c r="J118" s="15" t="str">
        <x:v>N/A</x:v>
      </x:c>
      <x:c r="K118" s="15" t="str">
        <x:v>d60a5323-796e-4110-a6de-012ec16860c1</x:v>
      </x:c>
      <x:c r="L118" s="15" t="str"/>
      <x:c r="M118" s="15" t="n">
        <x:v>3</x:v>
      </x:c>
      <x:c r="N118" s="15" t="str">
        <x:v>factualFindings.contestedFacts[1].sourceCases[0] | issuesForDetermination.issueMatrix[1].sourceCases[0] | reasoningStructure[1].sourceCases[0]</x:v>
      </x:c>
    </x:row>
    <x:row r="119">
      <x:c r="A119" s="1" t="str">
        <x:v>U0118</x:v>
      </x:c>
      <x:c r="B119" s="1" t="str">
        <x:v>cmmc4a8zu000h04jx2w3r0hzo</x:v>
      </x:c>
      <x:c r="C119" s="1" t="str">
        <x:v>ca-2024-000255-ellis-v-ssj-appellant-skeleton</x:v>
      </x:c>
      <x:c r="D119" s="1" t="str">
        <x:v>real</x:v>
      </x:c>
      <x:c r="E119" s="15" t="str">
        <x:v>R (Fajr Ellis) v Secretary of State for Justice</x:v>
      </x:c>
      <x:c r="F119" s="16" t="n">
        <x:v>46085.592734907405</x:v>
      </x:c>
      <x:c r="G119" s="15" t="str">
        <x:v>legislation</x:v>
      </x:c>
      <x:c r="H119" s="15" t="str">
        <x:v>legislation:article 2 of the first protocol to the echr</x:v>
      </x:c>
      <x:c r="I119" s="15" t="str">
        <x:v>Article 2 of the First Protocol to the ECHR</x:v>
      </x:c>
      <x:c r="J119" s="15" t="str">
        <x:v>Article 2 of the First Protocol to the ECHR</x:v>
      </x:c>
      <x:c r="K119" s="15" t="str"/>
      <x:c r="L119" s="15" t="str"/>
      <x:c r="M119" s="15" t="n">
        <x:v>1</x:v>
      </x:c>
      <x:c r="N119" s="15" t="str">
        <x:v>legalFramework.legalTestSummaries[0].sourceAuthority</x:v>
      </x:c>
    </x:row>
    <x:row r="120">
      <x:c r="A120" s="1" t="str">
        <x:v>U0119</x:v>
      </x:c>
      <x:c r="B120" s="1" t="str">
        <x:v>cmmc4a8zu000h04jx2w3r0hzo</x:v>
      </x:c>
      <x:c r="C120" s="1" t="str">
        <x:v>ca-2024-000255-ellis-v-ssj-appellant-skeleton</x:v>
      </x:c>
      <x:c r="D120" s="1" t="str">
        <x:v>real</x:v>
      </x:c>
      <x:c r="E120" s="15" t="str">
        <x:v>R (Fajr Ellis) v Secretary of State for Justice</x:v>
      </x:c>
      <x:c r="F120" s="16" t="n">
        <x:v>46085.592734907405</x:v>
      </x:c>
      <x:c r="G120" s="15" t="str">
        <x:v>legislation</x:v>
      </x:c>
      <x:c r="H120" s="15" t="str">
        <x:v>legislation:human rights act 1998 2 1</x:v>
      </x:c>
      <x:c r="I120" s="15" t="str">
        <x:v>Human Rights Act 1998</x:v>
      </x:c>
      <x:c r="J120" s="15" t="str">
        <x:v>Human Rights Act 1998 2 (1)</x:v>
      </x:c>
      <x:c r="K120" s="15" t="str"/>
      <x:c r="L120" s="15" t="str">
        <x:v>2 (1)</x:v>
      </x:c>
      <x:c r="M120" s="15" t="n">
        <x:v>1</x:v>
      </x:c>
      <x:c r="N120" s="15" t="str">
        <x:v>legalFramework.statutoryProvisions[0]</x:v>
      </x:c>
    </x:row>
    <x:row r="121">
      <x:c r="A121" s="1" t="str">
        <x:v>U0120</x:v>
      </x:c>
      <x:c r="B121" s="1" t="str">
        <x:v>cmmc4a8zu000h04jx2w3r0hzo</x:v>
      </x:c>
      <x:c r="C121" s="1" t="str">
        <x:v>ca-2024-000255-ellis-v-ssj-appellant-skeleton</x:v>
      </x:c>
      <x:c r="D121" s="1" t="str">
        <x:v>real</x:v>
      </x:c>
      <x:c r="E121" s="15" t="str">
        <x:v>R (Fajr Ellis) v Secretary of State for Justice</x:v>
      </x:c>
      <x:c r="F121" s="16" t="n">
        <x:v>46085.592734907405</x:v>
      </x:c>
      <x:c r="G121" s="15" t="str">
        <x:v>legislation</x:v>
      </x:c>
      <x:c r="H121" s="15" t="str">
        <x:v>legislation:prison act 1952</x:v>
      </x:c>
      <x:c r="I121" s="15" t="str">
        <x:v>Prison Act 1952</x:v>
      </x:c>
      <x:c r="J121" s="15" t="str">
        <x:v>Prison Act 1952</x:v>
      </x:c>
      <x:c r="K121" s="15" t="str"/>
      <x:c r="L121" s="15" t="str"/>
      <x:c r="M121" s="15" t="n">
        <x:v>1</x:v>
      </x:c>
      <x:c r="N121" s="15" t="str">
        <x:v>legalFramework.legalTestSummaries[1].sourceAuthority</x:v>
      </x:c>
    </x:row>
    <x:row r="122">
      <x:c r="A122" s="1" t="str">
        <x:v>U0121</x:v>
      </x:c>
      <x:c r="B122" s="1" t="str">
        <x:v>cmmc4a8zu000h04jx2w3r0hzo</x:v>
      </x:c>
      <x:c r="C122" s="1" t="str">
        <x:v>ca-2024-000255-ellis-v-ssj-appellant-skeleton</x:v>
      </x:c>
      <x:c r="D122" s="1" t="str">
        <x:v>real</x:v>
      </x:c>
      <x:c r="E122" s="15" t="str">
        <x:v>R (Fajr Ellis) v Secretary of State for Justice</x:v>
      </x:c>
      <x:c r="F122" s="16" t="n">
        <x:v>46085.592734907405</x:v>
      </x:c>
      <x:c r="G122" s="15" t="str">
        <x:v>legislation</x:v>
      </x:c>
      <x:c r="H122" s="15" t="str">
        <x:v>legislation:prison act 1952 1</x:v>
      </x:c>
      <x:c r="I122" s="15" t="str">
        <x:v>Prison Act 1952</x:v>
      </x:c>
      <x:c r="J122" s="15" t="str">
        <x:v>Prison Act 1952 1</x:v>
      </x:c>
      <x:c r="K122" s="15" t="str"/>
      <x:c r="L122" s="15" t="str">
        <x:v>1</x:v>
      </x:c>
      <x:c r="M122" s="15" t="n">
        <x:v>1</x:v>
      </x:c>
      <x:c r="N122" s="15" t="str">
        <x:v>legalFramework.statutoryProvisions[1]</x:v>
      </x:c>
    </x:row>
    <x:row r="123">
      <x:c r="A123" s="1" t="str">
        <x:v>U0122</x:v>
      </x:c>
      <x:c r="B123" s="1" t="str">
        <x:v>cmmc4a8zu000h04jx2w3r0hzo</x:v>
      </x:c>
      <x:c r="C123" s="1" t="str">
        <x:v>ca-2024-000255-ellis-v-ssj-appellant-skeleton</x:v>
      </x:c>
      <x:c r="D123" s="1" t="str">
        <x:v>real</x:v>
      </x:c>
      <x:c r="E123" s="15" t="str">
        <x:v>R (Fajr Ellis) v Secretary of State for Justice</x:v>
      </x:c>
      <x:c r="F123" s="16" t="n">
        <x:v>46085.592734907405</x:v>
      </x:c>
      <x:c r="G123" s="15" t="str">
        <x:v>legislation</x:v>
      </x:c>
      <x:c r="H123" s="15" t="str">
        <x:v>legislation:sections 35a of the senior courts act 1981</x:v>
      </x:c>
      <x:c r="I123" s="15" t="str">
        <x:v>Sections 35A of the Senior Courts Act 1981.</x:v>
      </x:c>
      <x:c r="J123" s="15" t="str">
        <x:v>Sections 35A of the Senior Courts Act 1981.</x:v>
      </x:c>
      <x:c r="K123" s="15" t="str"/>
      <x:c r="L123" s="15" t="str"/>
      <x:c r="M123" s="15" t="n">
        <x:v>1</x:v>
      </x:c>
      <x:c r="N123" s="15" t="str">
        <x:v>decisionAndDisposition.interest.statutoryBasis</x:v>
      </x:c>
    </x:row>
    <x:row r="124">
      <x:c r="A124" s="1" t="str">
        <x:v>U0123</x:v>
      </x:c>
      <x:c r="B124" s="1" t="str">
        <x:v>cmmcal70d000h04k3e11w997v</x:v>
      </x:c>
      <x:c r="C124" s="1" t="str">
        <x:v>ew-cases-EWCA-Civ-2024-1110</x:v>
      </x:c>
      <x:c r="D124" s="1" t="str">
        <x:v>synthetic</x:v>
      </x:c>
      <x:c r="E124" s="15" t="str">
        <x:v>UnipolSai Assicurazioni S.p.A. v Covéa Insurance Plc</x:v>
      </x:c>
      <x:c r="F124" s="16" t="n">
        <x:v>46085.71528512731</x:v>
      </x:c>
      <x:c r="G124" s="15" t="str">
        <x:v>case</x:v>
      </x:c>
      <x:c r="H124" s="15" t="str">
        <x:v>case:2002 ewca civ 605</x:v>
      </x:c>
      <x:c r="I124" s="15" t="str">
        <x:v>[2002] EWCA Civ 605</x:v>
      </x:c>
      <x:c r="J124" s="15" t="str">
        <x:v>[2002] EWCA Civ 605</x:v>
      </x:c>
      <x:c r="K124" s="15" t="str"/>
      <x:c r="L124" s="15" t="str"/>
      <x:c r="M124" s="15" t="n">
        <x:v>1</x:v>
      </x:c>
      <x:c r="N124" s="15" t="str">
        <x:v>legalFramework.precedentCitations[0]</x:v>
      </x:c>
    </x:row>
    <x:row r="125">
      <x:c r="A125" s="1" t="str">
        <x:v>U0124</x:v>
      </x:c>
      <x:c r="B125" s="1" t="str">
        <x:v>cmmcal70d000h04k3e11w997v</x:v>
      </x:c>
      <x:c r="C125" s="1" t="str">
        <x:v>ew-cases-EWCA-Civ-2024-1110</x:v>
      </x:c>
      <x:c r="D125" s="1" t="str">
        <x:v>synthetic</x:v>
      </x:c>
      <x:c r="E125" s="15" t="str">
        <x:v>UnipolSai Assicurazioni S.p.A. v Covéa Insurance Plc</x:v>
      </x:c>
      <x:c r="F125" s="16" t="n">
        <x:v>46085.71528512731</x:v>
      </x:c>
      <x:c r="G125" s="15" t="str">
        <x:v>case</x:v>
      </x:c>
      <x:c r="H125" s="15" t="str">
        <x:v>case:2021 uksc 1</x:v>
      </x:c>
      <x:c r="I125" s="15" t="str">
        <x:v>FCA v Arch Insurance (UK) Ltd [2021] UKSC 1</x:v>
      </x:c>
      <x:c r="J125" s="15" t="str">
        <x:v>FCA v Arch Insurance (UK) Ltd [2021] UKSC 1</x:v>
      </x:c>
      <x:c r="K125" s="15" t="str"/>
      <x:c r="L125" s="15" t="str"/>
      <x:c r="M125" s="15" t="n">
        <x:v>1</x:v>
      </x:c>
      <x:c r="N125" s="15" t="str">
        <x:v>legalFramework.legalTestSummaries[0].sourceAuthority</x:v>
      </x:c>
    </x:row>
    <x:row r="126">
      <x:c r="A126" s="1" t="str">
        <x:v>U0125</x:v>
      </x:c>
      <x:c r="B126" s="1" t="str">
        <x:v>cmmcal70d000h04k3e11w997v</x:v>
      </x:c>
      <x:c r="C126" s="1" t="str">
        <x:v>ew-cases-EWCA-Civ-2024-1110</x:v>
      </x:c>
      <x:c r="D126" s="1" t="str">
        <x:v>synthetic</x:v>
      </x:c>
      <x:c r="E126" s="15" t="str">
        <x:v>UnipolSai Assicurazioni S.p.A. v Covéa Insurance Plc</x:v>
      </x:c>
      <x:c r="F126" s="16" t="n">
        <x:v>46085.71528512731</x:v>
      </x:c>
      <x:c r="G126" s="15" t="str">
        <x:v>case</x:v>
      </x:c>
      <x:c r="H126" s="15" t="str">
        <x:v>case:2022 ewca civ 15</x:v>
      </x:c>
      <x:c r="I126" s="15" t="str">
        <x:v>Aviva Insurance Limited and Swiss Reinsurance Company Limited v Secretary of State for Work and Pensions [2022] EWCA Civ 15</x:v>
      </x:c>
      <x:c r="J126" s="15" t="str">
        <x:v>Aviva Insurance Limited and Swiss Reinsurance Company Limited v Secretary of State for Work and Pensions [2022] EWCA Civ 15</x:v>
      </x:c>
      <x:c r="K126" s="15" t="str">
        <x:v>8bf594df-88d1-4791-89f3-b2699310ed7a</x:v>
      </x:c>
      <x:c r="L126" s="15" t="str"/>
      <x:c r="M126" s="15" t="n">
        <x:v>4</x:v>
      </x:c>
      <x:c r="N126" s="15" t="str">
        <x:v>factualFindings.contestedFacts[1].sourceCases[0] | issuesForDetermination.issueMatrix[1].sourceCases[0] | legalFramework.legalTestSummaries[1].sourceAuthority | reasoningStructure[1].sourceCases[0]</x:v>
      </x:c>
    </x:row>
    <x:row r="127">
      <x:c r="A127" s="1" t="str">
        <x:v>U0126</x:v>
      </x:c>
      <x:c r="B127" s="1" t="str">
        <x:v>cmmcal70d000h04k3e11w997v</x:v>
      </x:c>
      <x:c r="C127" s="1" t="str">
        <x:v>ew-cases-EWCA-Civ-2024-1110</x:v>
      </x:c>
      <x:c r="D127" s="1" t="str">
        <x:v>synthetic</x:v>
      </x:c>
      <x:c r="E127" s="15" t="str">
        <x:v>UnipolSai Assicurazioni S.p.A. v Covéa Insurance Plc</x:v>
      </x:c>
      <x:c r="F127" s="16" t="n">
        <x:v>46085.71528512731</x:v>
      </x:c>
      <x:c r="G127" s="15" t="str">
        <x:v>case</x:v>
      </x:c>
      <x:c r="H127" s="15" t="str">
        <x:v>case:soteria insurance ltd v ibm united kingdom ltd</x:v>
      </x:c>
      <x:c r="I127" s="15" t="str">
        <x:v>Soteria Insurance Ltd v IBM United Kingdom Ltd</x:v>
      </x:c>
      <x:c r="J127" s="15" t="str">
        <x:v>N/A</x:v>
      </x:c>
      <x:c r="K127" s="15" t="str">
        <x:v>81d53202-31ed-492b-a22e-15e4f280610b</x:v>
      </x:c>
      <x:c r="L127" s="15" t="str"/>
      <x:c r="M127" s="15" t="n">
        <x:v>3</x:v>
      </x:c>
      <x:c r="N127" s="15" t="str">
        <x:v>factualFindings.contestedFacts[0].sourceCases[0] | issuesForDetermination.issueMatrix[0].sourceCases[0] | reasoningStructure[0].sourceCases[0]</x:v>
      </x:c>
    </x:row>
    <x:row r="128">
      <x:c r="A128" s="1" t="str">
        <x:v>U0127</x:v>
      </x:c>
      <x:c r="B128" s="1" t="str">
        <x:v>cmmcal70d000h04k3e11w997v</x:v>
      </x:c>
      <x:c r="C128" s="1" t="str">
        <x:v>ew-cases-EWCA-Civ-2024-1110</x:v>
      </x:c>
      <x:c r="D128" s="1" t="str">
        <x:v>synthetic</x:v>
      </x:c>
      <x:c r="E128" s="15" t="str">
        <x:v>UnipolSai Assicurazioni S.p.A. v Covéa Insurance Plc</x:v>
      </x:c>
      <x:c r="F128" s="16" t="n">
        <x:v>46085.71528512731</x:v>
      </x:c>
      <x:c r="G128" s="15" t="str">
        <x:v>legislation</x:v>
      </x:c>
      <x:c r="H128" s="15" t="str">
        <x:v>legislation:arbitration act 1996 s 69</x:v>
      </x:c>
      <x:c r="I128" s="15" t="str">
        <x:v>Arbitration Act 1996</x:v>
      </x:c>
      <x:c r="J128" s="15" t="str">
        <x:v>Arbitration Act 1996 s.69</x:v>
      </x:c>
      <x:c r="K128" s="15" t="str"/>
      <x:c r="L128" s="15" t="str">
        <x:v>s.69</x:v>
      </x:c>
      <x:c r="M128" s="15" t="n">
        <x:v>1</x:v>
      </x:c>
      <x:c r="N128" s="15" t="str">
        <x:v>legalFramework.statutoryProvisions[0]</x:v>
      </x:c>
    </x:row>
    <x:row r="129">
      <x:c r="A129" s="1" t="str">
        <x:v>U0128</x:v>
      </x:c>
      <x:c r="B129" s="1" t="str">
        <x:v>cmmcal70d000h04k3e11w997v</x:v>
      </x:c>
      <x:c r="C129" s="1" t="str">
        <x:v>ew-cases-EWCA-Civ-2024-1110</x:v>
      </x:c>
      <x:c r="D129" s="1" t="str">
        <x:v>synthetic</x:v>
      </x:c>
      <x:c r="E129" s="15" t="str">
        <x:v>UnipolSai Assicurazioni S.p.A. v Covéa Insurance Plc</x:v>
      </x:c>
      <x:c r="F129" s="16" t="n">
        <x:v>46085.71528512731</x:v>
      </x:c>
      <x:c r="G129" s="15" t="str">
        <x:v>legislation</x:v>
      </x:c>
      <x:c r="H129" s="15" t="str">
        <x:v>legislation:senior courts act 1981 s 35a</x:v>
      </x:c>
      <x:c r="I129" s="15" t="str">
        <x:v>Senior Courts Act 1981</x:v>
      </x:c>
      <x:c r="J129" s="15" t="str">
        <x:v>Senior Courts Act 1981 s.35A</x:v>
      </x:c>
      <x:c r="K129" s="15" t="str"/>
      <x:c r="L129" s="15" t="str">
        <x:v>s.35A</x:v>
      </x:c>
      <x:c r="M129" s="15" t="n">
        <x:v>2</x:v>
      </x:c>
      <x:c r="N129" s="15" t="str">
        <x:v>decisionAndDisposition.interest.statutoryBasis | legalFramework.statutoryProvisions[1]</x:v>
      </x:c>
    </x:row>
    <x:row r="130">
      <x:c r="A130" s="1" t="str">
        <x:v>U0129</x:v>
      </x:c>
      <x:c r="B130" s="1" t="str">
        <x:v>cmmcal70d000h04k3e11w997v</x:v>
      </x:c>
      <x:c r="C130" s="1" t="str">
        <x:v>ew-cases-EWCA-Civ-2024-1110</x:v>
      </x:c>
      <x:c r="D130" s="1" t="str">
        <x:v>synthetic</x:v>
      </x:c>
      <x:c r="E130" s="15" t="str">
        <x:v>UnipolSai Assicurazioni S.p.A. v Covéa Insurance Plc</x:v>
      </x:c>
      <x:c r="F130" s="16" t="n">
        <x:v>46085.71528512731</x:v>
      </x:c>
      <x:c r="G130" s="15" t="str">
        <x:v>other</x:v>
      </x:c>
      <x:c r="H130" s="15" t="str">
        <x:v>other:2000 1 wlr 377</x:v>
      </x:c>
      <x:c r="I130" s="15" t="str">
        <x:v>[2000] 1 WLR 377</x:v>
      </x:c>
      <x:c r="J130" s="15" t="str">
        <x:v>[2000] 1 WLR 377</x:v>
      </x:c>
      <x:c r="K130" s="15" t="str"/>
      <x:c r="L130" s="15" t="str"/>
      <x:c r="M130" s="15" t="n">
        <x:v>1</x:v>
      </x:c>
      <x:c r="N130" s="15" t="str">
        <x:v>legalFramework.precedentCitations[1]</x:v>
      </x:c>
    </x:row>
    <x:row r="131">
      <x:c r="A131" s="1" t="str">
        <x:v>U0130</x:v>
      </x:c>
      <x:c r="B131" s="1" t="str">
        <x:v>cmmdjqxh3000304kvs37yorn3</x:v>
      </x:c>
      <x:c r="C131" s="1" t="str">
        <x:v>skeleton-args-ca2023004634-299a4a730fe1f43a</x:v>
      </x:c>
      <x:c r="D131" s="1" t="str">
        <x:v>synthetic</x:v>
      </x:c>
      <x:c r="E131" s="15" t="str">
        <x:v>Metropolitan Property Holdings Ltd v Artisan Coffee Co Ltd</x:v>
      </x:c>
      <x:c r="F131" s="16" t="n">
        <x:v>46086.59318206018</x:v>
      </x:c>
      <x:c r="G131" s="15" t="str">
        <x:v>case</x:v>
      </x:c>
      <x:c r="H131" s="15" t="str">
        <x:v>case:2000 1 wlr 377</x:v>
      </x:c>
      <x:c r="I131" s="15" t="str">
        <x:v>Flannery v Halifax Estate Agencies Ltd [2000] 1 WLR 377</x:v>
      </x:c>
      <x:c r="J131" s="15" t="str">
        <x:v>Flannery v Halifax Estate Agencies Ltd [2000] 1 WLR 377</x:v>
      </x:c>
      <x:c r="K131" s="15" t="str"/>
      <x:c r="L131" s="15" t="str"/>
      <x:c r="M131" s="15" t="n">
        <x:v>1</x:v>
      </x:c>
      <x:c r="N131" s="15" t="str">
        <x:v>legalFramework.precedentCitations[1]</x:v>
      </x:c>
    </x:row>
    <x:row r="132">
      <x:c r="A132" s="1" t="str">
        <x:v>U0131</x:v>
      </x:c>
      <x:c r="B132" s="1" t="str">
        <x:v>cmmdjqxh3000304kvs37yorn3</x:v>
      </x:c>
      <x:c r="C132" s="1" t="str">
        <x:v>skeleton-args-ca2023004634-299a4a730fe1f43a</x:v>
      </x:c>
      <x:c r="D132" s="1" t="str">
        <x:v>synthetic</x:v>
      </x:c>
      <x:c r="E132" s="15" t="str">
        <x:v>Metropolitan Property Holdings Ltd v Artisan Coffee Co Ltd</x:v>
      </x:c>
      <x:c r="F132" s="16" t="n">
        <x:v>46086.59318206018</x:v>
      </x:c>
      <x:c r="G132" s="15" t="str">
        <x:v>case</x:v>
      </x:c>
      <x:c r="H132" s="15" t="str">
        <x:v>case:2002 ewca civ 605</x:v>
      </x:c>
      <x:c r="I132" s="15" t="str">
        <x:v>English v Emery Reimbold &amp; Strick Ltd [2002] EWCA Civ 605</x:v>
      </x:c>
      <x:c r="J132" s="15" t="str">
        <x:v>English v Emery Reimbold &amp; Strick Ltd [2002] EWCA Civ 605</x:v>
      </x:c>
      <x:c r="K132" s="15" t="str"/>
      <x:c r="L132" s="15" t="str"/>
      <x:c r="M132" s="15" t="n">
        <x:v>1</x:v>
      </x:c>
      <x:c r="N132" s="15" t="str">
        <x:v>legalFramework.precedentCitations[0]</x:v>
      </x:c>
    </x:row>
    <x:row r="133">
      <x:c r="A133" s="1" t="str">
        <x:v>U0132</x:v>
      </x:c>
      <x:c r="B133" s="1" t="str">
        <x:v>cmmdjqxh3000304kvs37yorn3</x:v>
      </x:c>
      <x:c r="C133" s="1" t="str">
        <x:v>skeleton-args-ca2023004634-299a4a730fe1f43a</x:v>
      </x:c>
      <x:c r="D133" s="1" t="str">
        <x:v>synthetic</x:v>
      </x:c>
      <x:c r="E133" s="15" t="str">
        <x:v>Metropolitan Property Holdings Ltd v Artisan Coffee Co Ltd</x:v>
      </x:c>
      <x:c r="F133" s="16" t="n">
        <x:v>46086.59318206018</x:v>
      </x:c>
      <x:c r="G133" s="15" t="str">
        <x:v>case</x:v>
      </x:c>
      <x:c r="H133" s="15" t="str">
        <x:v>case:2014 ewca civ 18</x:v>
      </x:c>
      <x:c r="I133" s="15" t="str">
        <x:v>Topland Portfolio No 1 Ltd v Smiths News Trading Ltd</x:v>
      </x:c>
      <x:c r="J133" s="15" t="str">
        <x:v>[2014] EWCA Civ 18</x:v>
      </x:c>
      <x:c r="K133" s="15" t="str">
        <x:v>b8f5594c-ac32-4dd3-804a-fd0c938c4401</x:v>
      </x:c>
      <x:c r="L133" s="15" t="str"/>
      <x:c r="M133" s="15" t="n">
        <x:v>1</x:v>
      </x:c>
      <x:c r="N133" s="15" t="str">
        <x:v>factualFindings.contestedFacts[0].sourceCases[0]</x:v>
      </x:c>
    </x:row>
    <x:row r="134">
      <x:c r="A134" s="1" t="str">
        <x:v>U0133</x:v>
      </x:c>
      <x:c r="B134" s="1" t="str">
        <x:v>cmmdjqxh3000304kvs37yorn3</x:v>
      </x:c>
      <x:c r="C134" s="1" t="str">
        <x:v>skeleton-args-ca2023004634-299a4a730fe1f43a</x:v>
      </x:c>
      <x:c r="D134" s="1" t="str">
        <x:v>synthetic</x:v>
      </x:c>
      <x:c r="E134" s="15" t="str">
        <x:v>Metropolitan Property Holdings Ltd v Artisan Coffee Co Ltd</x:v>
      </x:c>
      <x:c r="F134" s="16" t="n">
        <x:v>46086.59318206018</x:v>
      </x:c>
      <x:c r="G134" s="15" t="str">
        <x:v>case</x:v>
      </x:c>
      <x:c r="H134" s="15" t="str">
        <x:v>case:2015 ewca civ 224</x:v>
      </x:c>
      <x:c r="I134" s="15" t="str">
        <x:v>Magnic Ltd v Ul-Hassan &amp; Anor</x:v>
      </x:c>
      <x:c r="J134" s="15" t="str">
        <x:v>[2015] EWCA Civ 224</x:v>
      </x:c>
      <x:c r="K134" s="15" t="str">
        <x:v>1b3f1357-0731-4894-9c17-a958eecd366a</x:v>
      </x:c>
      <x:c r="L134" s="15" t="str"/>
      <x:c r="M134" s="15" t="n">
        <x:v>2</x:v>
      </x:c>
      <x:c r="N134" s="15" t="str">
        <x:v>issuesForDetermination.issueMatrix[1].sourceCases[0] | reasoningStructure[1].sourceCases[0]</x:v>
      </x:c>
    </x:row>
    <x:row r="135">
      <x:c r="A135" s="1" t="str">
        <x:v>U0134</x:v>
      </x:c>
      <x:c r="B135" s="1" t="str">
        <x:v>cmmdjqxh3000304kvs37yorn3</x:v>
      </x:c>
      <x:c r="C135" s="1" t="str">
        <x:v>skeleton-args-ca2023004634-299a4a730fe1f43a</x:v>
      </x:c>
      <x:c r="D135" s="1" t="str">
        <x:v>synthetic</x:v>
      </x:c>
      <x:c r="E135" s="15" t="str">
        <x:v>Metropolitan Property Holdings Ltd v Artisan Coffee Co Ltd</x:v>
      </x:c>
      <x:c r="F135" s="16" t="n">
        <x:v>46086.59318206018</x:v>
      </x:c>
      <x:c r="G135" s="15" t="str">
        <x:v>case</x:v>
      </x:c>
      <x:c r="H135" s="15" t="str">
        <x:v>case:2015 ewca civ 632</x:v>
      </x:c>
      <x:c r="I135" s="15" t="str">
        <x:v>Nizami v Dezyanian</x:v>
      </x:c>
      <x:c r="J135" s="15" t="str">
        <x:v>[2015] EWCA Civ 632</x:v>
      </x:c>
      <x:c r="K135" s="15" t="str">
        <x:v>39df6304-6d5c-4744-8f1a-adcd4015ef46</x:v>
      </x:c>
      <x:c r="L135" s="15" t="str"/>
      <x:c r="M135" s="15" t="n">
        <x:v>2</x:v>
      </x:c>
      <x:c r="N135" s="15" t="str">
        <x:v>factualFindings.chronology[2].sourceCases[0] | legalFramework.statutoryProvisions[1].sourceCases[0]</x:v>
      </x:c>
    </x:row>
    <x:row r="136">
      <x:c r="A136" s="1" t="str">
        <x:v>U0135</x:v>
      </x:c>
      <x:c r="B136" s="1" t="str">
        <x:v>cmmdjqxh3000304kvs37yorn3</x:v>
      </x:c>
      <x:c r="C136" s="1" t="str">
        <x:v>skeleton-args-ca2023004634-299a4a730fe1f43a</x:v>
      </x:c>
      <x:c r="D136" s="1" t="str">
        <x:v>synthetic</x:v>
      </x:c>
      <x:c r="E136" s="15" t="str">
        <x:v>Metropolitan Property Holdings Ltd v Artisan Coffee Co Ltd</x:v>
      </x:c>
      <x:c r="F136" s="16" t="n">
        <x:v>46086.59318206018</x:v>
      </x:c>
      <x:c r="G136" s="15" t="str">
        <x:v>case</x:v>
      </x:c>
      <x:c r="H136" s="15" t="str">
        <x:v>case:2015 ewca civ 806</x:v>
      </x:c>
      <x:c r="I136" s="15" t="str">
        <x:v>Freifeld &amp; Anor v West Kensington Court Ltd</x:v>
      </x:c>
      <x:c r="J136" s="15" t="str">
        <x:v>[2015] EWCA Civ 806</x:v>
      </x:c>
      <x:c r="K136" s="15" t="str">
        <x:v>7fbb47eb-e7af-4898-89f6-50b1a29b5939</x:v>
      </x:c>
      <x:c r="L136" s="15" t="str"/>
      <x:c r="M136" s="15" t="n">
        <x:v>2</x:v>
      </x:c>
      <x:c r="N136" s="15" t="str">
        <x:v>issuesForDetermination.issueMatrix[0].sourceCases[0] | reasoningStructure[0].sourceCases[0]</x:v>
      </x:c>
    </x:row>
    <x:row r="137">
      <x:c r="A137" s="1" t="str">
        <x:v>U0136</x:v>
      </x:c>
      <x:c r="B137" s="1" t="str">
        <x:v>cmmdjqxh3000304kvs37yorn3</x:v>
      </x:c>
      <x:c r="C137" s="1" t="str">
        <x:v>skeleton-args-ca2023004634-299a4a730fe1f43a</x:v>
      </x:c>
      <x:c r="D137" s="1" t="str">
        <x:v>synthetic</x:v>
      </x:c>
      <x:c r="E137" s="15" t="str">
        <x:v>Metropolitan Property Holdings Ltd v Artisan Coffee Co Ltd</x:v>
      </x:c>
      <x:c r="F137" s="16" t="n">
        <x:v>46086.59318206018</x:v>
      </x:c>
      <x:c r="G137" s="15" t="str">
        <x:v>legislation</x:v>
      </x:c>
      <x:c r="H137" s="15" t="str">
        <x:v>legislation:landlord and tenant act 1954 part ii</x:v>
      </x:c>
      <x:c r="I137" s="15" t="str">
        <x:v>Landlord and Tenant Act 1954</x:v>
      </x:c>
      <x:c r="J137" s="15" t="str">
        <x:v>Landlord and Tenant Act 1954 Part II</x:v>
      </x:c>
      <x:c r="K137" s="15" t="str"/>
      <x:c r="L137" s="15" t="str">
        <x:v>Part II</x:v>
      </x:c>
      <x:c r="M137" s="15" t="n">
        <x:v>1</x:v>
      </x:c>
      <x:c r="N137" s="15" t="str">
        <x:v>legalFramework.statutoryProvisions[0]</x:v>
      </x:c>
    </x:row>
    <x:row r="138">
      <x:c r="A138" s="1" t="str">
        <x:v>U0137</x:v>
      </x:c>
      <x:c r="B138" s="1" t="str">
        <x:v>cmmdjqxh3000304kvs37yorn3</x:v>
      </x:c>
      <x:c r="C138" s="1" t="str">
        <x:v>skeleton-args-ca2023004634-299a4a730fe1f43a</x:v>
      </x:c>
      <x:c r="D138" s="1" t="str">
        <x:v>synthetic</x:v>
      </x:c>
      <x:c r="E138" s="15" t="str">
        <x:v>Metropolitan Property Holdings Ltd v Artisan Coffee Co Ltd</x:v>
      </x:c>
      <x:c r="F138" s="16" t="n">
        <x:v>46086.59318206018</x:v>
      </x:c>
      <x:c r="G138" s="15" t="str">
        <x:v>legislation</x:v>
      </x:c>
      <x:c r="H138" s="15" t="str">
        <x:v>legislation:law of property act 1925 s 146</x:v>
      </x:c>
      <x:c r="I138" s="15" t="str">
        <x:v>Law of Property Act 1925</x:v>
      </x:c>
      <x:c r="J138" s="15" t="str">
        <x:v>Law of Property Act 1925 Section 146</x:v>
      </x:c>
      <x:c r="K138" s="15" t="str"/>
      <x:c r="L138" s="15" t="str">
        <x:v>Section 146</x:v>
      </x:c>
      <x:c r="M138" s="15" t="n">
        <x:v>1</x:v>
      </x:c>
      <x:c r="N138" s="15" t="str">
        <x:v>legalFramework.statutoryProvisions[1]</x:v>
      </x:c>
    </x:row>
    <x:row r="139">
      <x:c r="A139" s="1" t="str">
        <x:v>U0138</x:v>
      </x:c>
      <x:c r="B139" s="1" t="str">
        <x:v>cmmdjqxh3000304kvs37yorn3</x:v>
      </x:c>
      <x:c r="C139" s="1" t="str">
        <x:v>skeleton-args-ca2023004634-299a4a730fe1f43a</x:v>
      </x:c>
      <x:c r="D139" s="1" t="str">
        <x:v>synthetic</x:v>
      </x:c>
      <x:c r="E139" s="15" t="str">
        <x:v>Metropolitan Property Holdings Ltd v Artisan Coffee Co Ltd</x:v>
      </x:c>
      <x:c r="F139" s="16" t="n">
        <x:v>46086.59318206018</x:v>
      </x:c>
      <x:c r="G139" s="15" t="str">
        <x:v>legislation</x:v>
      </x:c>
      <x:c r="H139" s="15" t="str">
        <x:v>legislation:senior courts act 1981 s 35a</x:v>
      </x:c>
      <x:c r="I139" s="15" t="str">
        <x:v>Senior Courts Act 1981, s.35A</x:v>
      </x:c>
      <x:c r="J139" s="15" t="str">
        <x:v>Senior Courts Act 1981, s.35A</x:v>
      </x:c>
      <x:c r="K139" s="15" t="str"/>
      <x:c r="L139" s="15" t="str"/>
      <x:c r="M139" s="15" t="n">
        <x:v>1</x:v>
      </x:c>
      <x:c r="N139" s="15" t="str">
        <x:v>decisionAndDisposition.interest.statutoryBasis</x:v>
      </x:c>
    </x:row>
    <x:row r="140">
      <x:c r="A140" s="1" t="str">
        <x:v>U0139</x:v>
      </x:c>
      <x:c r="B140" s="1" t="str">
        <x:v>cmmdkjytd000304jl24cdxqvp</x:v>
      </x:c>
      <x:c r="C140" s="1" t="str">
        <x:v>skeleton-args-ca2023004634-299a4a730fe1f43a</x:v>
      </x:c>
      <x:c r="D140" s="1" t="str">
        <x:v>synthetic</x:v>
      </x:c>
      <x:c r="E140" s="15" t="str">
        <x:v>Metropolitan Property Holdings Ltd v Artisan Coffee Co Ltd</x:v>
      </x:c>
      <x:c r="F140" s="16" t="n">
        <x:v>46086.60886219907</x:v>
      </x:c>
      <x:c r="G140" s="15" t="str">
        <x:v>case</x:v>
      </x:c>
      <x:c r="H140" s="15" t="str">
        <x:v>case:2000 1 wlr 377</x:v>
      </x:c>
      <x:c r="I140" s="15" t="str">
        <x:v>Flannery v Halifax Estate Agencies Ltd [2000] 1 WLR 377</x:v>
      </x:c>
      <x:c r="J140" s="15" t="str">
        <x:v>Flannery v Halifax Estate Agencies Ltd [2000] 1 WLR 377</x:v>
      </x:c>
      <x:c r="K140" s="15" t="str"/>
      <x:c r="L140" s="15" t="str"/>
      <x:c r="M140" s="15" t="n">
        <x:v>1</x:v>
      </x:c>
      <x:c r="N140" s="15" t="str">
        <x:v>legalFramework.precedentCitations[1]</x:v>
      </x:c>
    </x:row>
    <x:row r="141">
      <x:c r="A141" s="1" t="str">
        <x:v>U0140</x:v>
      </x:c>
      <x:c r="B141" s="1" t="str">
        <x:v>cmmdkjytd000304jl24cdxqvp</x:v>
      </x:c>
      <x:c r="C141" s="1" t="str">
        <x:v>skeleton-args-ca2023004634-299a4a730fe1f43a</x:v>
      </x:c>
      <x:c r="D141" s="1" t="str">
        <x:v>synthetic</x:v>
      </x:c>
      <x:c r="E141" s="15" t="str">
        <x:v>Metropolitan Property Holdings Ltd v Artisan Coffee Co Ltd</x:v>
      </x:c>
      <x:c r="F141" s="16" t="n">
        <x:v>46086.60886219907</x:v>
      </x:c>
      <x:c r="G141" s="15" t="str">
        <x:v>case</x:v>
      </x:c>
      <x:c r="H141" s="15" t="str">
        <x:v>case:2002 ewca civ 605</x:v>
      </x:c>
      <x:c r="I141" s="15" t="str">
        <x:v>English v Emery Reimbold &amp; Strick Ltd [2002] EWCA Civ 605</x:v>
      </x:c>
      <x:c r="J141" s="15" t="str">
        <x:v>English v Emery Reimbold &amp; Strick Ltd [2002] EWCA Civ 605</x:v>
      </x:c>
      <x:c r="K141" s="15" t="str"/>
      <x:c r="L141" s="15" t="str"/>
      <x:c r="M141" s="15" t="n">
        <x:v>1</x:v>
      </x:c>
      <x:c r="N141" s="15" t="str">
        <x:v>legalFramework.precedentCitations[0]</x:v>
      </x:c>
    </x:row>
    <x:row r="142">
      <x:c r="A142" s="1" t="str">
        <x:v>U0141</x:v>
      </x:c>
      <x:c r="B142" s="1" t="str">
        <x:v>cmmdkjytd000304jl24cdxqvp</x:v>
      </x:c>
      <x:c r="C142" s="1" t="str">
        <x:v>skeleton-args-ca2023004634-299a4a730fe1f43a</x:v>
      </x:c>
      <x:c r="D142" s="1" t="str">
        <x:v>synthetic</x:v>
      </x:c>
      <x:c r="E142" s="15" t="str">
        <x:v>Metropolitan Property Holdings Ltd v Artisan Coffee Co Ltd</x:v>
      </x:c>
      <x:c r="F142" s="16" t="n">
        <x:v>46086.60886219907</x:v>
      </x:c>
      <x:c r="G142" s="15" t="str">
        <x:v>case</x:v>
      </x:c>
      <x:c r="H142" s="15" t="str">
        <x:v>case:2022 ewca civ 1021</x:v>
      </x:c>
      <x:c r="I142" s="15" t="str">
        <x:v>Bank of New York Mellon (International) Limited v Cine-UK Limited</x:v>
      </x:c>
      <x:c r="J142" s="15" t="str">
        <x:v>[2022] EWCA Civ 1021</x:v>
      </x:c>
      <x:c r="K142" s="15" t="str">
        <x:v>00167e1d-845c-4a1d-b17c-1c91c10b2c37</x:v>
      </x:c>
      <x:c r="L142" s="15" t="str"/>
      <x:c r="M142" s="15" t="n">
        <x:v>1</x:v>
      </x:c>
      <x:c r="N142" s="15" t="str">
        <x:v>issuesForDetermination.issueMatrix[0].sourceCases[0]</x:v>
      </x:c>
    </x:row>
    <x:row r="143">
      <x:c r="A143" s="1" t="str">
        <x:v>U0142</x:v>
      </x:c>
      <x:c r="B143" s="1" t="str">
        <x:v>cmmdkjytd000304jl24cdxqvp</x:v>
      </x:c>
      <x:c r="C143" s="1" t="str">
        <x:v>skeleton-args-ca2023004634-299a4a730fe1f43a</x:v>
      </x:c>
      <x:c r="D143" s="1" t="str">
        <x:v>synthetic</x:v>
      </x:c>
      <x:c r="E143" s="15" t="str">
        <x:v>Metropolitan Property Holdings Ltd v Artisan Coffee Co Ltd</x:v>
      </x:c>
      <x:c r="F143" s="16" t="n">
        <x:v>46086.60886219907</x:v>
      </x:c>
      <x:c r="G143" s="15" t="str">
        <x:v>case</x:v>
      </x:c>
      <x:c r="H143" s="15" t="str">
        <x:v>case:freifeld &amp; anor v west kensington court ltd</x:v>
      </x:c>
      <x:c r="I143" s="15" t="str">
        <x:v>Freifeld &amp; Anor v West Kensington Court Ltd</x:v>
      </x:c>
      <x:c r="J143" s="15" t="str">
        <x:v>N/A</x:v>
      </x:c>
      <x:c r="K143" s="15" t="str">
        <x:v>18a014eb-e365-4420-b07a-dfdd42f053ec</x:v>
      </x:c>
      <x:c r="L143" s="15" t="str"/>
      <x:c r="M143" s="15" t="n">
        <x:v>2</x:v>
      </x:c>
      <x:c r="N143" s="15" t="str">
        <x:v>factualFindings.contestedFacts[0].sourceCases[0] | issuesForDetermination.issueMatrix[1].sourceCases[0]</x:v>
      </x:c>
    </x:row>
    <x:row r="144">
      <x:c r="A144" s="1" t="str">
        <x:v>U0143</x:v>
      </x:c>
      <x:c r="B144" s="1" t="str">
        <x:v>cmmdkjytd000304jl24cdxqvp</x:v>
      </x:c>
      <x:c r="C144" s="1" t="str">
        <x:v>skeleton-args-ca2023004634-299a4a730fe1f43a</x:v>
      </x:c>
      <x:c r="D144" s="1" t="str">
        <x:v>synthetic</x:v>
      </x:c>
      <x:c r="E144" s="15" t="str">
        <x:v>Metropolitan Property Holdings Ltd v Artisan Coffee Co Ltd</x:v>
      </x:c>
      <x:c r="F144" s="16" t="n">
        <x:v>46086.60886219907</x:v>
      </x:c>
      <x:c r="G144" s="15" t="str">
        <x:v>legislation</x:v>
      </x:c>
      <x:c r="H144" s="15" t="str">
        <x:v>legislation:landlord and tenant act 1954</x:v>
      </x:c>
      <x:c r="I144" s="15" t="str">
        <x:v>Landlord and Tenant Act 1954</x:v>
      </x:c>
      <x:c r="J144" s="15" t="str">
        <x:v>Landlord and Tenant Act 1954</x:v>
      </x:c>
      <x:c r="K144" s="15" t="str"/>
      <x:c r="L144" s="15" t="str"/>
      <x:c r="M144" s="15" t="n">
        <x:v>1</x:v>
      </x:c>
      <x:c r="N144" s="15" t="str">
        <x:v>legalFramework.legalTestSummaries[0].sourceAuthority</x:v>
      </x:c>
    </x:row>
    <x:row r="145">
      <x:c r="A145" s="1" t="str">
        <x:v>U0144</x:v>
      </x:c>
      <x:c r="B145" s="1" t="str">
        <x:v>cmmdkjytd000304jl24cdxqvp</x:v>
      </x:c>
      <x:c r="C145" s="1" t="str">
        <x:v>skeleton-args-ca2023004634-299a4a730fe1f43a</x:v>
      </x:c>
      <x:c r="D145" s="1" t="str">
        <x:v>synthetic</x:v>
      </x:c>
      <x:c r="E145" s="15" t="str">
        <x:v>Metropolitan Property Holdings Ltd v Artisan Coffee Co Ltd</x:v>
      </x:c>
      <x:c r="F145" s="16" t="n">
        <x:v>46086.60886219907</x:v>
      </x:c>
      <x:c r="G145" s="15" t="str">
        <x:v>legislation</x:v>
      </x:c>
      <x:c r="H145" s="15" t="str">
        <x:v>legislation:landlord and tenant act 1954 part ii</x:v>
      </x:c>
      <x:c r="I145" s="15" t="str">
        <x:v>Landlord and Tenant Act 1954</x:v>
      </x:c>
      <x:c r="J145" s="15" t="str">
        <x:v>Landlord and Tenant Act 1954 Part II</x:v>
      </x:c>
      <x:c r="K145" s="15" t="str"/>
      <x:c r="L145" s="15" t="str">
        <x:v>Part II</x:v>
      </x:c>
      <x:c r="M145" s="15" t="n">
        <x:v>1</x:v>
      </x:c>
      <x:c r="N145" s="15" t="str">
        <x:v>legalFramework.statutoryProvisions[0]</x:v>
      </x:c>
    </x:row>
    <x:row r="146">
      <x:c r="A146" s="1" t="str">
        <x:v>U0145</x:v>
      </x:c>
      <x:c r="B146" s="1" t="str">
        <x:v>cmmdkjytd000304jl24cdxqvp</x:v>
      </x:c>
      <x:c r="C146" s="1" t="str">
        <x:v>skeleton-args-ca2023004634-299a4a730fe1f43a</x:v>
      </x:c>
      <x:c r="D146" s="1" t="str">
        <x:v>synthetic</x:v>
      </x:c>
      <x:c r="E146" s="15" t="str">
        <x:v>Metropolitan Property Holdings Ltd v Artisan Coffee Co Ltd</x:v>
      </x:c>
      <x:c r="F146" s="16" t="n">
        <x:v>46086.60886219907</x:v>
      </x:c>
      <x:c r="G146" s="15" t="str">
        <x:v>legislation</x:v>
      </x:c>
      <x:c r="H146" s="15" t="str">
        <x:v>legislation:law of property act 1925 146</x:v>
      </x:c>
      <x:c r="I146" s="15" t="str">
        <x:v>Law of Property Act 1925</x:v>
      </x:c>
      <x:c r="J146" s="15" t="str">
        <x:v>Law of Property Act 1925 146</x:v>
      </x:c>
      <x:c r="K146" s="15" t="str"/>
      <x:c r="L146" s="15" t="str">
        <x:v>146</x:v>
      </x:c>
      <x:c r="M146" s="15" t="n">
        <x:v>1</x:v>
      </x:c>
      <x:c r="N146" s="15" t="str">
        <x:v>legalFramework.statutoryProvisions[1]</x:v>
      </x:c>
    </x:row>
    <x:row r="147">
      <x:c r="A147" s="1" t="str">
        <x:v>U0146</x:v>
      </x:c>
      <x:c r="B147" s="1" t="str">
        <x:v>cmmdkjytd000304jl24cdxqvp</x:v>
      </x:c>
      <x:c r="C147" s="1" t="str">
        <x:v>skeleton-args-ca2023004634-299a4a730fe1f43a</x:v>
      </x:c>
      <x:c r="D147" s="1" t="str">
        <x:v>synthetic</x:v>
      </x:c>
      <x:c r="E147" s="15" t="str">
        <x:v>Metropolitan Property Holdings Ltd v Artisan Coffee Co Ltd</x:v>
      </x:c>
      <x:c r="F147" s="16" t="n">
        <x:v>46086.60886219907</x:v>
      </x:c>
      <x:c r="G147" s="15" t="str">
        <x:v>legislation</x:v>
      </x:c>
      <x:c r="H147" s="15" t="str">
        <x:v>legislation:senior courts act 1981 s 35a</x:v>
      </x:c>
      <x:c r="I147" s="15" t="str">
        <x:v>Senior Courts Act 1981, s.35A</x:v>
      </x:c>
      <x:c r="J147" s="15" t="str">
        <x:v>Senior Courts Act 1981, s.35A</x:v>
      </x:c>
      <x:c r="K147" s="15" t="str"/>
      <x:c r="L147" s="15" t="str"/>
      <x:c r="M147" s="15" t="n">
        <x:v>2</x:v>
      </x:c>
      <x:c r="N147" s="15" t="str">
        <x:v>decisionAndDisposition.interest.statutoryBasis | legalFramework.precedentCitations[2]</x:v>
      </x:c>
    </x:row>
    <x:row r="148">
      <x:c r="A148" s="1" t="str">
        <x:v>U0147</x:v>
      </x:c>
      <x:c r="B148" s="1" t="str">
        <x:v>cmmf22axa000h04jxcpnnecs0</x:v>
      </x:c>
      <x:c r="C148" s="1" t="str">
        <x:v>ew-cases-EWCA-Civ-2024-1</x:v>
      </x:c>
      <x:c r="D148" s="1" t="str">
        <x:v>synthetic</x:v>
      </x:c>
      <x:c r="E148" s="15" t="str">
        <x:v>HMRC v Dolphin Drilling Ltd</x:v>
      </x:c>
      <x:c r="F148" s="16" t="n">
        <x:v>46087.649083854165</x:v>
      </x:c>
      <x:c r="G148" s="15" t="str">
        <x:v>case</x:v>
      </x:c>
      <x:c r="H148" s="15" t="str">
        <x:v>case:2002 ewca civ 605</x:v>
      </x:c>
      <x:c r="I148" s="15" t="str">
        <x:v>English v Emery Reimbold &amp; Strick Ltd [2002] EWCA Civ 605</x:v>
      </x:c>
      <x:c r="J148" s="15" t="str">
        <x:v>English v Emery Reimbold &amp; Strick Ltd [2002] EWCA Civ 605</x:v>
      </x:c>
      <x:c r="K148" s="15" t="str"/>
      <x:c r="L148" s="15" t="str"/>
      <x:c r="M148" s="15" t="n">
        <x:v>1</x:v>
      </x:c>
      <x:c r="N148" s="15" t="str">
        <x:v>legalFramework.precedentCitations[0]</x:v>
      </x:c>
    </x:row>
    <x:row r="149">
      <x:c r="A149" s="1" t="str">
        <x:v>U0148</x:v>
      </x:c>
      <x:c r="B149" s="1" t="str">
        <x:v>cmmf22axa000h04jxcpnnecs0</x:v>
      </x:c>
      <x:c r="C149" s="1" t="str">
        <x:v>ew-cases-EWCA-Civ-2024-1</x:v>
      </x:c>
      <x:c r="D149" s="1" t="str">
        <x:v>synthetic</x:v>
      </x:c>
      <x:c r="E149" s="15" t="str">
        <x:v>HMRC v Dolphin Drilling Ltd</x:v>
      </x:c>
      <x:c r="F149" s="16" t="n">
        <x:v>46087.649083854165</x:v>
      </x:c>
      <x:c r="G149" s="15" t="str">
        <x:v>case</x:v>
      </x:c>
      <x:c r="H149" s="15" t="str">
        <x:v>case:2016 ewca civ 782</x:v>
      </x:c>
      <x:c r="I149" s="15" t="str">
        <x:v>Greene King plc &amp; Anor v Revenue and Customs</x:v>
      </x:c>
      <x:c r="J149" s="15" t="str">
        <x:v>[2016] EWCA Civ 782</x:v>
      </x:c>
      <x:c r="K149" s="15" t="str">
        <x:v>24f747de-4a9b-43b6-90ad-0cce710f5bf8</x:v>
      </x:c>
      <x:c r="L149" s="15" t="str"/>
      <x:c r="M149" s="15" t="n">
        <x:v>1</x:v>
      </x:c>
      <x:c r="N149" s="15" t="str">
        <x:v>factualFindings.contestedFacts[1].sourceCases[0]</x:v>
      </x:c>
    </x:row>
    <x:row r="150">
      <x:c r="A150" s="1" t="str">
        <x:v>U0149</x:v>
      </x:c>
      <x:c r="B150" s="1" t="str">
        <x:v>cmmf22axa000h04jxcpnnecs0</x:v>
      </x:c>
      <x:c r="C150" s="1" t="str">
        <x:v>ew-cases-EWCA-Civ-2024-1</x:v>
      </x:c>
      <x:c r="D150" s="1" t="str">
        <x:v>synthetic</x:v>
      </x:c>
      <x:c r="E150" s="15" t="str">
        <x:v>HMRC v Dolphin Drilling Ltd</x:v>
      </x:c>
      <x:c r="F150" s="16" t="n">
        <x:v>46087.649083854165</x:v>
      </x:c>
      <x:c r="G150" s="15" t="str">
        <x:v>case</x:v>
      </x:c>
      <x:c r="H150" s="15" t="str">
        <x:v>case:2016 ewca civ 938</x:v>
      </x:c>
      <x:c r="I150" s="15" t="str">
        <x:v>Routier &amp; Anor v Revenue &amp; Customs</x:v>
      </x:c>
      <x:c r="J150" s="15" t="str">
        <x:v>[2016] EWCA Civ 938</x:v>
      </x:c>
      <x:c r="K150" s="15" t="str">
        <x:v>49a7af4c-0d11-408e-8d84-2238f7e8f04a</x:v>
      </x:c>
      <x:c r="L150" s="15" t="str"/>
      <x:c r="M150" s="15" t="n">
        <x:v>2</x:v>
      </x:c>
      <x:c r="N150" s="15" t="str">
        <x:v>issuesForDetermination.issueMatrix[1].sourceCases[0] | reasoningStructure[1].sourceCases[1]</x:v>
      </x:c>
    </x:row>
    <x:row r="151">
      <x:c r="A151" s="1" t="str">
        <x:v>U0150</x:v>
      </x:c>
      <x:c r="B151" s="1" t="str">
        <x:v>cmmf22axa000h04jxcpnnecs0</x:v>
      </x:c>
      <x:c r="C151" s="1" t="str">
        <x:v>ew-cases-EWCA-Civ-2024-1</x:v>
      </x:c>
      <x:c r="D151" s="1" t="str">
        <x:v>synthetic</x:v>
      </x:c>
      <x:c r="E151" s="15" t="str">
        <x:v>HMRC v Dolphin Drilling Ltd</x:v>
      </x:c>
      <x:c r="F151" s="16" t="n">
        <x:v>46087.649083854165</x:v>
      </x:c>
      <x:c r="G151" s="15" t="str">
        <x:v>case</x:v>
      </x:c>
      <x:c r="H151" s="15" t="str">
        <x:v>case:2022 ewca civ 305</x:v>
      </x:c>
      <x:c r="I151" s="15" t="str">
        <x:v>Cheshire Cavity Storage 1 Limited v HM Revenue &amp; Customs</x:v>
      </x:c>
      <x:c r="J151" s="15" t="str">
        <x:v>[2022] EWCA Civ 305</x:v>
      </x:c>
      <x:c r="K151" s="15" t="str">
        <x:v>321f1eb3-a7ee-452d-a5d1-e08732d9ac84</x:v>
      </x:c>
      <x:c r="L151" s="15" t="str"/>
      <x:c r="M151" s="15" t="n">
        <x:v>2</x:v>
      </x:c>
      <x:c r="N151" s="15" t="str">
        <x:v>factualFindings.contestedFacts[0].sourceCases[0] | reasoningStructure[1].sourceCases[0]</x:v>
      </x:c>
    </x:row>
    <x:row r="152">
      <x:c r="A152" s="1" t="str">
        <x:v>U0151</x:v>
      </x:c>
      <x:c r="B152" s="1" t="str">
        <x:v>cmmf22axa000h04jxcpnnecs0</x:v>
      </x:c>
      <x:c r="C152" s="1" t="str">
        <x:v>ew-cases-EWCA-Civ-2024-1</x:v>
      </x:c>
      <x:c r="D152" s="1" t="str">
        <x:v>synthetic</x:v>
      </x:c>
      <x:c r="E152" s="15" t="str">
        <x:v>HMRC v Dolphin Drilling Ltd</x:v>
      </x:c>
      <x:c r="F152" s="16" t="n">
        <x:v>46087.649083854165</x:v>
      </x:c>
      <x:c r="G152" s="15" t="str">
        <x:v>legislation</x:v>
      </x:c>
      <x:c r="H152" s="15" t="str">
        <x:v>legislation:corporation tax act 2010 part 8za</x:v>
      </x:c>
      <x:c r="I152" s="15" t="str">
        <x:v>Corporation Tax Act 2010</x:v>
      </x:c>
      <x:c r="J152" s="15" t="str">
        <x:v>Corporation Tax Act 2010 Part 8ZA</x:v>
      </x:c>
      <x:c r="K152" s="15" t="str"/>
      <x:c r="L152" s="15" t="str">
        <x:v>Part 8ZA</x:v>
      </x:c>
      <x:c r="M152" s="15" t="n">
        <x:v>1</x:v>
      </x:c>
      <x:c r="N152" s="15" t="str">
        <x:v>legalFramework.statutoryProvisions[0]</x:v>
      </x:c>
    </x:row>
    <x:row r="153">
      <x:c r="A153" s="1" t="str">
        <x:v>U0152</x:v>
      </x:c>
      <x:c r="B153" s="1" t="str">
        <x:v>cmmjsmua2000q04jstd4i8p7c</x:v>
      </x:c>
      <x:c r="C153" s="1" t="str">
        <x:v>ca-2024-000255-ellis-v-ssj-appellant-skeleton</x:v>
      </x:c>
      <x:c r="D153" s="1" t="str">
        <x:v>real</x:v>
      </x:c>
      <x:c r="E153" s="15" t="str">
        <x:v>R (Fajr Ellis) v Secretary of State for Justice</x:v>
      </x:c>
      <x:c r="F153" s="16" t="n">
        <x:v>46090.96497417824</x:v>
      </x:c>
      <x:c r="G153" s="15" t="str">
        <x:v>case</x:v>
      </x:c>
      <x:c r="H153" s="15" t="str">
        <x:v>case:2002 ewca civ 605</x:v>
      </x:c>
      <x:c r="I153" s="15" t="str">
        <x:v>English v Emery Reimbold &amp; Strick Ltd [2002] EWCA Civ 605</x:v>
      </x:c>
      <x:c r="J153" s="15" t="str">
        <x:v>English v Emery Reimbold &amp; Strick Ltd [2002] EWCA Civ 605</x:v>
      </x:c>
      <x:c r="K153" s="15" t="str"/>
      <x:c r="L153" s="15" t="str"/>
      <x:c r="M153" s="15" t="n">
        <x:v>1</x:v>
      </x:c>
      <x:c r="N153" s="15" t="str">
        <x:v>legalFramework.precedentCitations[0]</x:v>
      </x:c>
    </x:row>
    <x:row r="154">
      <x:c r="A154" s="1" t="str">
        <x:v>U0153</x:v>
      </x:c>
      <x:c r="B154" s="1" t="str">
        <x:v>cmmjsmua2000q04jstd4i8p7c</x:v>
      </x:c>
      <x:c r="C154" s="1" t="str">
        <x:v>ca-2024-000255-ellis-v-ssj-appellant-skeleton</x:v>
      </x:c>
      <x:c r="D154" s="1" t="str">
        <x:v>real</x:v>
      </x:c>
      <x:c r="E154" s="15" t="str">
        <x:v>R (Fajr Ellis) v Secretary of State for Justice</x:v>
      </x:c>
      <x:c r="F154" s="16" t="n">
        <x:v>46090.96497417824</x:v>
      </x:c>
      <x:c r="G154" s="15" t="str">
        <x:v>case</x:v>
      </x:c>
      <x:c r="H154" s="15" t="str">
        <x:v>case:catan and others v moldova and russia</x:v>
      </x:c>
      <x:c r="I154" s="15" t="str">
        <x:v>Catan and Others v. Moldova and Russia</x:v>
      </x:c>
      <x:c r="J154" s="15" t="str">
        <x:v>N/A</x:v>
      </x:c>
      <x:c r="K154" s="15" t="str">
        <x:v>522b4f69-32d0-44e3-9bb5-92859e5efde0</x:v>
      </x:c>
      <x:c r="L154" s="15" t="str"/>
      <x:c r="M154" s="15" t="n">
        <x:v>1</x:v>
      </x:c>
      <x:c r="N154" s="15" t="str">
        <x:v>factualFindings.chronology[0].sourceCases[0]</x:v>
      </x:c>
    </x:row>
    <x:row r="155">
      <x:c r="A155" s="1" t="str">
        <x:v>U0154</x:v>
      </x:c>
      <x:c r="B155" s="1" t="str">
        <x:v>cmmjsmua2000q04jstd4i8p7c</x:v>
      </x:c>
      <x:c r="C155" s="1" t="str">
        <x:v>ca-2024-000255-ellis-v-ssj-appellant-skeleton</x:v>
      </x:c>
      <x:c r="D155" s="1" t="str">
        <x:v>real</x:v>
      </x:c>
      <x:c r="E155" s="15" t="str">
        <x:v>R (Fajr Ellis) v Secretary of State for Justice</x:v>
      </x:c>
      <x:c r="F155" s="16" t="n">
        <x:v>46090.96497417824</x:v>
      </x:c>
      <x:c r="G155" s="15" t="str">
        <x:v>case</x:v>
      </x:c>
      <x:c r="H155" s="15" t="str">
        <x:v>case:kalda v estonia</x:v>
      </x:c>
      <x:c r="I155" s="15" t="str">
        <x:v>Kalda v. Estonia</x:v>
      </x:c>
      <x:c r="J155" s="15" t="str">
        <x:v>Kalda v. Estonia</x:v>
      </x:c>
      <x:c r="K155" s="15" t="str"/>
      <x:c r="L155" s="15" t="str"/>
      <x:c r="M155" s="15" t="n">
        <x:v>1</x:v>
      </x:c>
      <x:c r="N155" s="15" t="str">
        <x:v>legalFramework.legalTestSummaries[0].sourceAuthority</x:v>
      </x:c>
    </x:row>
    <x:row r="156">
      <x:c r="A156" s="1" t="str">
        <x:v>U0155</x:v>
      </x:c>
      <x:c r="B156" s="1" t="str">
        <x:v>cmmjsmua2000q04jstd4i8p7c</x:v>
      </x:c>
      <x:c r="C156" s="1" t="str">
        <x:v>ca-2024-000255-ellis-v-ssj-appellant-skeleton</x:v>
      </x:c>
      <x:c r="D156" s="1" t="str">
        <x:v>real</x:v>
      </x:c>
      <x:c r="E156" s="15" t="str">
        <x:v>R (Fajr Ellis) v Secretary of State for Justice</x:v>
      </x:c>
      <x:c r="F156" s="16" t="n">
        <x:v>46090.96497417824</x:v>
      </x:c>
      <x:c r="G156" s="15" t="str">
        <x:v>case</x:v>
      </x:c>
      <x:c r="H156" s="15" t="str">
        <x:v>case:kalda v estonia access to information rights for prisoners</x:v>
      </x:c>
      <x:c r="I156" s="15" t="str">
        <x:v>Kalda v. Estonia - Access to Information Rights for Prisoners</x:v>
      </x:c>
      <x:c r="J156" s="15" t="str">
        <x:v>N/A</x:v>
      </x:c>
      <x:c r="K156" s="15" t="str">
        <x:v>facdee26-7310-4355-9ef5-1fd21f107f72</x:v>
      </x:c>
      <x:c r="L156" s="15" t="str"/>
      <x:c r="M156" s="15" t="n">
        <x:v>3</x:v>
      </x:c>
      <x:c r="N156" s="15" t="str">
        <x:v>factualFindings.contestedFacts[1].sourceCases[0] | issuesForDetermination.issueMatrix[1].sourceCases[0] | reasoningStructure[1].sourceCases[0]</x:v>
      </x:c>
    </x:row>
    <x:row r="157">
      <x:c r="A157" s="1" t="str">
        <x:v>U0156</x:v>
      </x:c>
      <x:c r="B157" s="1" t="str">
        <x:v>cmmjsmua2000q04jstd4i8p7c</x:v>
      </x:c>
      <x:c r="C157" s="1" t="str">
        <x:v>ca-2024-000255-ellis-v-ssj-appellant-skeleton</x:v>
      </x:c>
      <x:c r="D157" s="1" t="str">
        <x:v>real</x:v>
      </x:c>
      <x:c r="E157" s="15" t="str">
        <x:v>R (Fajr Ellis) v Secretary of State for Justice</x:v>
      </x:c>
      <x:c r="F157" s="16" t="n">
        <x:v>46090.96497417824</x:v>
      </x:c>
      <x:c r="G157" s="15" t="str">
        <x:v>case</x:v>
      </x:c>
      <x:c r="H157" s="15" t="str">
        <x:v>case:mehmet arslan and orhan bingol v turkey</x:v>
      </x:c>
      <x:c r="I157" s="15" t="str">
        <x:v>Mehmet Arslan and Orhan Bingol v Turkey</x:v>
      </x:c>
      <x:c r="J157" s="15" t="str">
        <x:v>Mehmet Arslan and Orhan Bingol v Turkey</x:v>
      </x:c>
      <x:c r="K157" s="15" t="str"/>
      <x:c r="L157" s="15" t="str"/>
      <x:c r="M157" s="15" t="n">
        <x:v>1</x:v>
      </x:c>
      <x:c r="N157" s="15" t="str">
        <x:v>legalFramework.legalTestSummaries[1].sourceAuthority</x:v>
      </x:c>
    </x:row>
    <x:row r="158">
      <x:c r="A158" s="1" t="str">
        <x:v>U0157</x:v>
      </x:c>
      <x:c r="B158" s="1" t="str">
        <x:v>cmmjsmua2000q04jstd4i8p7c</x:v>
      </x:c>
      <x:c r="C158" s="1" t="str">
        <x:v>ca-2024-000255-ellis-v-ssj-appellant-skeleton</x:v>
      </x:c>
      <x:c r="D158" s="1" t="str">
        <x:v>real</x:v>
      </x:c>
      <x:c r="E158" s="15" t="str">
        <x:v>R (Fajr Ellis) v Secretary of State for Justice</x:v>
      </x:c>
      <x:c r="F158" s="16" t="n">
        <x:v>46090.96497417824</x:v>
      </x:c>
      <x:c r="G158" s="15" t="str">
        <x:v>case</x:v>
      </x:c>
      <x:c r="H158" s="15" t="str">
        <x:v>case:velyo velev v bulgaria</x:v>
      </x:c>
      <x:c r="I158" s="15" t="str">
        <x:v>Velyo Velev v. Bulgaria</x:v>
      </x:c>
      <x:c r="J158" s="15" t="str">
        <x:v>N/A</x:v>
      </x:c>
      <x:c r="K158" s="15" t="str">
        <x:v>dfa97e6e-7e32-4c80-9f6f-5e4f398f9d82</x:v>
      </x:c>
      <x:c r="L158" s="15" t="str"/>
      <x:c r="M158" s="15" t="n">
        <x:v>3</x:v>
      </x:c>
      <x:c r="N158" s="15" t="str">
        <x:v>factualFindings.contestedFacts[0].sourceCases[0] | issuesForDetermination.issueMatrix[0].sourceCases[0] | reasoningStructure[0].sourceCases[0]</x:v>
      </x:c>
    </x:row>
    <x:row r="159">
      <x:c r="A159" s="1" t="str">
        <x:v>U0158</x:v>
      </x:c>
      <x:c r="B159" s="1" t="str">
        <x:v>cmmjsmua2000q04jstd4i8p7c</x:v>
      </x:c>
      <x:c r="C159" s="1" t="str">
        <x:v>ca-2024-000255-ellis-v-ssj-appellant-skeleton</x:v>
      </x:c>
      <x:c r="D159" s="1" t="str">
        <x:v>real</x:v>
      </x:c>
      <x:c r="E159" s="15" t="str">
        <x:v>R (Fajr Ellis) v Secretary of State for Justice</x:v>
      </x:c>
      <x:c r="F159" s="16" t="n">
        <x:v>46090.96497417824</x:v>
      </x:c>
      <x:c r="G159" s="15" t="str">
        <x:v>legislation</x:v>
      </x:c>
      <x:c r="H159" s="15" t="str">
        <x:v>legislation:human rights act 1998 s 6</x:v>
      </x:c>
      <x:c r="I159" s="15" t="str">
        <x:v>Human Rights Act 1998</x:v>
      </x:c>
      <x:c r="J159" s="15" t="str">
        <x:v>Human Rights Act 1998 s.6</x:v>
      </x:c>
      <x:c r="K159" s="15" t="str"/>
      <x:c r="L159" s="15" t="str">
        <x:v>s.6</x:v>
      </x:c>
      <x:c r="M159" s="15" t="n">
        <x:v>1</x:v>
      </x:c>
      <x:c r="N159" s="15" t="str">
        <x:v>legalFramework.statutoryProvisions[0]</x:v>
      </x:c>
    </x:row>
    <x:row r="160">
      <x:c r="A160" s="1" t="str">
        <x:v>U0159</x:v>
      </x:c>
      <x:c r="B160" s="1" t="str">
        <x:v>cmmjsmua2000q04jstd4i8p7c</x:v>
      </x:c>
      <x:c r="C160" s="1" t="str">
        <x:v>ca-2024-000255-ellis-v-ssj-appellant-skeleton</x:v>
      </x:c>
      <x:c r="D160" s="1" t="str">
        <x:v>real</x:v>
      </x:c>
      <x:c r="E160" s="15" t="str">
        <x:v>R (Fajr Ellis) v Secretary of State for Justice</x:v>
      </x:c>
      <x:c r="F160" s="16" t="n">
        <x:v>46090.96497417824</x:v>
      </x:c>
      <x:c r="G160" s="15" t="str">
        <x:v>legislation</x:v>
      </x:c>
      <x:c r="H160" s="15" t="str">
        <x:v>legislation:prison rules 1999 s 19</x:v>
      </x:c>
      <x:c r="I160" s="15" t="str">
        <x:v>Prison Rules 1999</x:v>
      </x:c>
      <x:c r="J160" s="15" t="str">
        <x:v>Prison Rules 1999 s.19</x:v>
      </x:c>
      <x:c r="K160" s="15" t="str"/>
      <x:c r="L160" s="15" t="str">
        <x:v>s.19</x:v>
      </x:c>
      <x:c r="M160" s="15" t="n">
        <x:v>1</x:v>
      </x:c>
      <x:c r="N160" s="15" t="str">
        <x:v>legalFramework.statutoryProvisions[1]</x:v>
      </x:c>
    </x:row>
    <x:row r="161">
      <x:c r="A161" s="1" t="str">
        <x:v>U0160</x:v>
      </x:c>
      <x:c r="B161" s="1" t="str">
        <x:v>cmmjsmua2000q04jstd4i8p7c</x:v>
      </x:c>
      <x:c r="C161" s="1" t="str">
        <x:v>ca-2024-000255-ellis-v-ssj-appellant-skeleton</x:v>
      </x:c>
      <x:c r="D161" s="1" t="str">
        <x:v>real</x:v>
      </x:c>
      <x:c r="E161" s="15" t="str">
        <x:v>R (Fajr Ellis) v Secretary of State for Justice</x:v>
      </x:c>
      <x:c r="F161" s="16" t="n">
        <x:v>46090.96497417824</x:v>
      </x:c>
      <x:c r="G161" s="15" t="str">
        <x:v>legislation</x:v>
      </x:c>
      <x:c r="H161" s="15" t="str">
        <x:v>legislation:senior courts act 1981 s 35a</x:v>
      </x:c>
      <x:c r="I161" s="15" t="str">
        <x:v>Senior Courts Act 1981</x:v>
      </x:c>
      <x:c r="J161" s="15" t="str">
        <x:v>Senior Courts Act 1981 s.35A</x:v>
      </x:c>
      <x:c r="K161" s="15" t="str"/>
      <x:c r="L161" s="15" t="str">
        <x:v>s.35A</x:v>
      </x:c>
      <x:c r="M161" s="15" t="n">
        <x:v>2</x:v>
      </x:c>
      <x:c r="N161" s="15" t="str">
        <x:v>decisionAndDisposition.interest.statutoryBasis | legalFramework.statutoryProvisions[2]</x:v>
      </x:c>
    </x:row>
    <x:row r="162">
      <x:c r="A162" s="1" t="str">
        <x:v>U0161</x:v>
      </x:c>
      <x:c r="B162" s="1" t="str">
        <x:v>cmmjtnsdx000904l4vhap8xwc</x:v>
      </x:c>
      <x:c r="C162" s="1" t="str">
        <x:v>ca-2024-000255-ellis-v-ssj-appellant-skeleton</x:v>
      </x:c>
      <x:c r="D162" s="1" t="str">
        <x:v>real</x:v>
      </x:c>
      <x:c r="E162" s="15" t="str">
        <x:v>R (Fajr Ellis) v Secretary of State for Justice</x:v>
      </x:c>
      <x:c r="F162" s="16" t="n">
        <x:v>46090.98492577546</x:v>
      </x:c>
      <x:c r="G162" s="15" t="str">
        <x:v>case</x:v>
      </x:c>
      <x:c r="H162" s="15" t="str">
        <x:v>case:2000 1 wlr 377</x:v>
      </x:c>
      <x:c r="I162" s="15" t="str">
        <x:v>Flannery v Halifax Estate Agencies Ltd [2000] 1 WLR 377</x:v>
      </x:c>
      <x:c r="J162" s="15" t="str">
        <x:v>Flannery v Halifax Estate Agencies Ltd [2000] 1 WLR 377</x:v>
      </x:c>
      <x:c r="K162" s="15" t="str"/>
      <x:c r="L162" s="15" t="str"/>
      <x:c r="M162" s="15" t="n">
        <x:v>1</x:v>
      </x:c>
      <x:c r="N162" s="15" t="str">
        <x:v>legalFramework.precedentCitations[1]</x:v>
      </x:c>
    </x:row>
    <x:row r="163">
      <x:c r="A163" s="1" t="str">
        <x:v>U0162</x:v>
      </x:c>
      <x:c r="B163" s="1" t="str">
        <x:v>cmmjtnsdx000904l4vhap8xwc</x:v>
      </x:c>
      <x:c r="C163" s="1" t="str">
        <x:v>ca-2024-000255-ellis-v-ssj-appellant-skeleton</x:v>
      </x:c>
      <x:c r="D163" s="1" t="str">
        <x:v>real</x:v>
      </x:c>
      <x:c r="E163" s="15" t="str">
        <x:v>R (Fajr Ellis) v Secretary of State for Justice</x:v>
      </x:c>
      <x:c r="F163" s="16" t="n">
        <x:v>46090.98492577546</x:v>
      </x:c>
      <x:c r="G163" s="15" t="str">
        <x:v>case</x:v>
      </x:c>
      <x:c r="H163" s="15" t="str">
        <x:v>case:2002 ewca civ 605</x:v>
      </x:c>
      <x:c r="I163" s="15" t="str">
        <x:v>English v Emery Reimbold &amp; Strick Ltd [2002] EWCA Civ 605</x:v>
      </x:c>
      <x:c r="J163" s="15" t="str">
        <x:v>English v Emery Reimbold &amp; Strick Ltd [2002] EWCA Civ 605</x:v>
      </x:c>
      <x:c r="K163" s="15" t="str"/>
      <x:c r="L163" s="15" t="str"/>
      <x:c r="M163" s="15" t="n">
        <x:v>1</x:v>
      </x:c>
      <x:c r="N163" s="15" t="str">
        <x:v>legalFramework.precedentCitations[0]</x:v>
      </x:c>
    </x:row>
    <x:row r="164">
      <x:c r="A164" s="1" t="str">
        <x:v>U0163</x:v>
      </x:c>
      <x:c r="B164" s="1" t="str">
        <x:v>cmmjtnsdx000904l4vhap8xwc</x:v>
      </x:c>
      <x:c r="C164" s="1" t="str">
        <x:v>ca-2024-000255-ellis-v-ssj-appellant-skeleton</x:v>
      </x:c>
      <x:c r="D164" s="1" t="str">
        <x:v>real</x:v>
      </x:c>
      <x:c r="E164" s="15" t="str">
        <x:v>R (Fajr Ellis) v Secretary of State for Justice</x:v>
      </x:c>
      <x:c r="F164" s="16" t="n">
        <x:v>46090.98492577546</x:v>
      </x:c>
      <x:c r="G164" s="15" t="str">
        <x:v>case</x:v>
      </x:c>
      <x:c r="H164" s="15" t="str">
        <x:v>case:2015 ewca civ 1187</x:v>
      </x:c>
      <x:c r="I164" s="15" t="str">
        <x:v>Idira, R (On the Application Of) v The Secretary of State for the Home Department (Rev 1)</x:v>
      </x:c>
      <x:c r="J164" s="15" t="str">
        <x:v>[2015] EWCA Civ 1187</x:v>
      </x:c>
      <x:c r="K164" s="15" t="str">
        <x:v>80701211-fe03-4dc0-972a-b2e5467876b9</x:v>
      </x:c>
      <x:c r="L164" s="15" t="str"/>
      <x:c r="M164" s="15" t="n">
        <x:v>1</x:v>
      </x:c>
      <x:c r="N164" s="15" t="str">
        <x:v>issuesForDetermination.issueMatrix[0].sourceCases[0]</x:v>
      </x:c>
    </x:row>
    <x:row r="165">
      <x:c r="A165" s="1" t="str">
        <x:v>U0164</x:v>
      </x:c>
      <x:c r="B165" s="1" t="str">
        <x:v>cmmjtnsdx000904l4vhap8xwc</x:v>
      </x:c>
      <x:c r="C165" s="1" t="str">
        <x:v>ca-2024-000255-ellis-v-ssj-appellant-skeleton</x:v>
      </x:c>
      <x:c r="D165" s="1" t="str">
        <x:v>real</x:v>
      </x:c>
      <x:c r="E165" s="15" t="str">
        <x:v>R (Fajr Ellis) v Secretary of State for Justice</x:v>
      </x:c>
      <x:c r="F165" s="16" t="n">
        <x:v>46090.98492577546</x:v>
      </x:c>
      <x:c r="G165" s="15" t="str">
        <x:v>case</x:v>
      </x:c>
      <x:c r="H165" s="15" t="str">
        <x:v>case:the howard league for penal reform and prisoners advice service v the lord chancellor</x:v>
      </x:c>
      <x:c r="I165" s="15" t="str">
        <x:v>The Howard League for Penal Reform and Prisoners' Advice Service v The Lord Chancellor</x:v>
      </x:c>
      <x:c r="J165" s="15" t="str">
        <x:v>N/A</x:v>
      </x:c>
      <x:c r="K165" s="15" t="str">
        <x:v>d60a5323-796e-4110-a6de-012ec16860c1</x:v>
      </x:c>
      <x:c r="L165" s="15" t="str"/>
      <x:c r="M165" s="15" t="n">
        <x:v>1</x:v>
      </x:c>
      <x:c r="N165" s="15" t="str">
        <x:v>factualFindings.contestedFacts[0].sourceCases[0]</x:v>
      </x:c>
    </x:row>
    <x:row r="166">
      <x:c r="A166" s="1" t="str">
        <x:v>U0165</x:v>
      </x:c>
      <x:c r="B166" s="1" t="str">
        <x:v>cmmjtnsdx000904l4vhap8xwc</x:v>
      </x:c>
      <x:c r="C166" s="1" t="str">
        <x:v>ca-2024-000255-ellis-v-ssj-appellant-skeleton</x:v>
      </x:c>
      <x:c r="D166" s="1" t="str">
        <x:v>real</x:v>
      </x:c>
      <x:c r="E166" s="15" t="str">
        <x:v>R (Fajr Ellis) v Secretary of State for Justice</x:v>
      </x:c>
      <x:c r="F166" s="16" t="n">
        <x:v>46090.98492577546</x:v>
      </x:c>
      <x:c r="G166" s="15" t="str">
        <x:v>case</x:v>
      </x:c>
      <x:c r="H166" s="15" t="str">
        <x:v>case:use of languages in education in belgium</x:v>
      </x:c>
      <x:c r="I166" s="15" t="str">
        <x:v>Use of Languages in Education in Belgium</x:v>
      </x:c>
      <x:c r="J166" s="15" t="str">
        <x:v>N/A</x:v>
      </x:c>
      <x:c r="K166" s="15" t="str">
        <x:v>b15fdd53-0222-49df-98a5-84e25904f9fd</x:v>
      </x:c>
      <x:c r="L166" s="15" t="str"/>
      <x:c r="M166" s="15" t="n">
        <x:v>1</x:v>
      </x:c>
      <x:c r="N166" s="15" t="str">
        <x:v>issuesForDetermination.issueMatrix[1].sourceCases[0]</x:v>
      </x:c>
    </x:row>
    <x:row r="167">
      <x:c r="A167" s="1" t="str">
        <x:v>U0166</x:v>
      </x:c>
      <x:c r="B167" s="1" t="str">
        <x:v>cmmjtnsdx000904l4vhap8xwc</x:v>
      </x:c>
      <x:c r="C167" s="1" t="str">
        <x:v>ca-2024-000255-ellis-v-ssj-appellant-skeleton</x:v>
      </x:c>
      <x:c r="D167" s="1" t="str">
        <x:v>real</x:v>
      </x:c>
      <x:c r="E167" s="15" t="str">
        <x:v>R (Fajr Ellis) v Secretary of State for Justice</x:v>
      </x:c>
      <x:c r="F167" s="16" t="n">
        <x:v>46090.98492577546</x:v>
      </x:c>
      <x:c r="G167" s="15" t="str">
        <x:v>legislation</x:v>
      </x:c>
      <x:c r="H167" s="15" t="str">
        <x:v>legislation:european convention on human rights article 2 of the first protocol</x:v>
      </x:c>
      <x:c r="I167" s="15" t="str">
        <x:v>European Convention on Human Rights</x:v>
      </x:c>
      <x:c r="J167" s="15" t="str">
        <x:v>European Convention on Human Rights Article 2 of the First Protocol</x:v>
      </x:c>
      <x:c r="K167" s="15" t="str"/>
      <x:c r="L167" s="15" t="str">
        <x:v>Article 2 of the First Protocol</x:v>
      </x:c>
      <x:c r="M167" s="15" t="n">
        <x:v>1</x:v>
      </x:c>
      <x:c r="N167" s="15" t="str">
        <x:v>legalFramework.statutoryProvisions[0]</x:v>
      </x:c>
    </x:row>
    <x:row r="168">
      <x:c r="A168" s="1" t="str">
        <x:v>U0167</x:v>
      </x:c>
      <x:c r="B168" s="1" t="str">
        <x:v>cmmjtnsdx000904l4vhap8xwc</x:v>
      </x:c>
      <x:c r="C168" s="1" t="str">
        <x:v>ca-2024-000255-ellis-v-ssj-appellant-skeleton</x:v>
      </x:c>
      <x:c r="D168" s="1" t="str">
        <x:v>real</x:v>
      </x:c>
      <x:c r="E168" s="15" t="str">
        <x:v>R (Fajr Ellis) v Secretary of State for Justice</x:v>
      </x:c>
      <x:c r="F168" s="16" t="n">
        <x:v>46090.98492577546</x:v>
      </x:c>
      <x:c r="G168" s="15" t="str">
        <x:v>legislation</x:v>
      </x:c>
      <x:c r="H168" s="15" t="str">
        <x:v>legislation:human rights act 1998</x:v>
      </x:c>
      <x:c r="I168" s="15" t="str">
        <x:v>Human Rights Act 1998</x:v>
      </x:c>
      <x:c r="J168" s="15" t="str">
        <x:v>Human Rights Act 1998</x:v>
      </x:c>
      <x:c r="K168" s="15" t="str"/>
      <x:c r="L168" s="15" t="str"/>
      <x:c r="M168" s="15" t="n">
        <x:v>1</x:v>
      </x:c>
      <x:c r="N168" s="15" t="str">
        <x:v>legalFramework.statutoryProvisions[1]</x:v>
      </x:c>
    </x:row>
    <x:row r="169">
      <x:c r="A169" s="1" t="str">
        <x:v>U0168</x:v>
      </x:c>
      <x:c r="B169" s="1" t="str">
        <x:v>cmmjtnsdx000904l4vhap8xwc</x:v>
      </x:c>
      <x:c r="C169" s="1" t="str">
        <x:v>ca-2024-000255-ellis-v-ssj-appellant-skeleton</x:v>
      </x:c>
      <x:c r="D169" s="1" t="str">
        <x:v>real</x:v>
      </x:c>
      <x:c r="E169" s="15" t="str">
        <x:v>R (Fajr Ellis) v Secretary of State for Justice</x:v>
      </x:c>
      <x:c r="F169" s="16" t="n">
        <x:v>46090.98492577546</x:v>
      </x:c>
      <x:c r="G169" s="15" t="str">
        <x:v>legislation</x:v>
      </x:c>
      <x:c r="H169" s="15" t="str">
        <x:v>legislation:human rights act 1998 and the interplay with echr precedents</x:v>
      </x:c>
      <x:c r="I169" s="15" t="str">
        <x:v>Human Rights Act 1998 and the interplay with ECHR precedents</x:v>
      </x:c>
      <x:c r="J169" s="15" t="str">
        <x:v>Human Rights Act 1998 and the interplay with ECHR precedents</x:v>
      </x:c>
      <x:c r="K169" s="15" t="str"/>
      <x:c r="L169" s="15" t="str"/>
      <x:c r="M169" s="15" t="n">
        <x:v>1</x:v>
      </x:c>
      <x:c r="N169" s="15" t="str">
        <x:v>legalFramework.legalTestSummaries[1].sourceAuthority</x:v>
      </x:c>
    </x:row>
    <x:row r="170">
      <x:c r="A170" s="1" t="str">
        <x:v>U0169</x:v>
      </x:c>
      <x:c r="B170" s="1" t="str">
        <x:v>cmmjtnsdx000904l4vhap8xwc</x:v>
      </x:c>
      <x:c r="C170" s="1" t="str">
        <x:v>ca-2024-000255-ellis-v-ssj-appellant-skeleton</x:v>
      </x:c>
      <x:c r="D170" s="1" t="str">
        <x:v>real</x:v>
      </x:c>
      <x:c r="E170" s="15" t="str">
        <x:v>R (Fajr Ellis) v Secretary of State for Justice</x:v>
      </x:c>
      <x:c r="F170" s="16" t="n">
        <x:v>46090.98492577546</x:v>
      </x:c>
      <x:c r="G170" s="15" t="str">
        <x:v>legislation</x:v>
      </x:c>
      <x:c r="H170" s="15" t="str">
        <x:v>legislation:senior courts act 1981 s 35a</x:v>
      </x:c>
      <x:c r="I170" s="15" t="str">
        <x:v>Senior Courts Act 1981, s.35A</x:v>
      </x:c>
      <x:c r="J170" s="15" t="str">
        <x:v>Senior Courts Act 1981, s.35A</x:v>
      </x:c>
      <x:c r="K170" s="15" t="str"/>
      <x:c r="L170" s="15" t="str"/>
      <x:c r="M170" s="15" t="n">
        <x:v>1</x:v>
      </x:c>
      <x:c r="N170" s="15" t="str">
        <x:v>decisionAndDisposition.interest.statutoryBasis</x:v>
      </x:c>
    </x:row>
    <x:row r="171">
      <x:c r="A171" s="1" t="str">
        <x:v>U0170</x:v>
      </x:c>
      <x:c r="B171" s="1" t="str">
        <x:v>cmmjtnsdx000904l4vhap8xwc</x:v>
      </x:c>
      <x:c r="C171" s="1" t="str">
        <x:v>ca-2024-000255-ellis-v-ssj-appellant-skeleton</x:v>
      </x:c>
      <x:c r="D171" s="1" t="str">
        <x:v>real</x:v>
      </x:c>
      <x:c r="E171" s="15" t="str">
        <x:v>R (Fajr Ellis) v Secretary of State for Justice</x:v>
      </x:c>
      <x:c r="F171" s="16" t="n">
        <x:v>46090.98492577546</x:v>
      </x:c>
      <x:c r="G171" s="15" t="str">
        <x:v>other</x:v>
      </x:c>
      <x:c r="H171" s="15" t="str">
        <x:v>other:european court of human rights case law</x:v>
      </x:c>
      <x:c r="I171" s="15" t="str">
        <x:v>European Court of Human Rights case law</x:v>
      </x:c>
      <x:c r="J171" s="15" t="str">
        <x:v>European Court of Human Rights case law</x:v>
      </x:c>
      <x:c r="K171" s="15" t="str"/>
      <x:c r="L171" s="15" t="str"/>
      <x:c r="M171" s="15" t="n">
        <x:v>1</x:v>
      </x:c>
      <x:c r="N171" s="15" t="str">
        <x:v>legalFramework.legalTestSummaries[0].sourceAuthority</x:v>
      </x:c>
    </x:row>
    <x:row r="172">
      <x:c r="A172" s="1" t="str">
        <x:v>U0171</x:v>
      </x:c>
      <x:c r="B172" s="1" t="str">
        <x:v>cmmls2r93000304jme0bpsul9</x:v>
      </x:c>
      <x:c r="C172" s="1" t="str">
        <x:v>skeleton-args-ca2023004634-299a4a730fe1f43a</x:v>
      </x:c>
      <x:c r="D172" s="1" t="str">
        <x:v>synthetic</x:v>
      </x:c>
      <x:c r="E172" s="15" t="str">
        <x:v>Metropolitan Property Holdings Ltd v Artisan Coffee Co Ltd</x:v>
      </x:c>
      <x:c r="F172" s="16" t="n">
        <x:v>46092.35380873843</x:v>
      </x:c>
      <x:c r="G172" s="15" t="str">
        <x:v>case</x:v>
      </x:c>
      <x:c r="H172" s="15" t="str">
        <x:v>case:2002 ewca civ 605</x:v>
      </x:c>
      <x:c r="I172" s="15" t="str">
        <x:v>[2002] EWCA Civ 605</x:v>
      </x:c>
      <x:c r="J172" s="15" t="str">
        <x:v>[2002] EWCA Civ 605</x:v>
      </x:c>
      <x:c r="K172" s="15" t="str"/>
      <x:c r="L172" s="15" t="str"/>
      <x:c r="M172" s="15" t="n">
        <x:v>1</x:v>
      </x:c>
      <x:c r="N172" s="15" t="str">
        <x:v>legalFramework.precedentCitations[0]</x:v>
      </x:c>
    </x:row>
    <x:row r="173">
      <x:c r="A173" s="1" t="str">
        <x:v>U0172</x:v>
      </x:c>
      <x:c r="B173" s="1" t="str">
        <x:v>cmmls2r93000304jme0bpsul9</x:v>
      </x:c>
      <x:c r="C173" s="1" t="str">
        <x:v>skeleton-args-ca2023004634-299a4a730fe1f43a</x:v>
      </x:c>
      <x:c r="D173" s="1" t="str">
        <x:v>synthetic</x:v>
      </x:c>
      <x:c r="E173" s="15" t="str">
        <x:v>Metropolitan Property Holdings Ltd v Artisan Coffee Co Ltd</x:v>
      </x:c>
      <x:c r="F173" s="16" t="n">
        <x:v>46092.35380873843</x:v>
      </x:c>
      <x:c r="G173" s="15" t="str">
        <x:v>case</x:v>
      </x:c>
      <x:c r="H173" s="15" t="str">
        <x:v>case:bank of new york mellon international limited v cine uk limited</x:v>
      </x:c>
      <x:c r="I173" s="15" t="str">
        <x:v>Bank of New York Mellon (International) Limited v Cine-UK Limited</x:v>
      </x:c>
      <x:c r="J173" s="15" t="str">
        <x:v>N/A</x:v>
      </x:c>
      <x:c r="K173" s="15" t="str">
        <x:v>00167e1d-845c-4a1d-b17c-1c91c10b2c37</x:v>
      </x:c>
      <x:c r="L173" s="15" t="str"/>
      <x:c r="M173" s="15" t="n">
        <x:v>1</x:v>
      </x:c>
      <x:c r="N173" s="15" t="str">
        <x:v>factualFindings.contestedFacts[1].sourceCases[0]</x:v>
      </x:c>
    </x:row>
    <x:row r="174">
      <x:c r="A174" s="1" t="str">
        <x:v>U0173</x:v>
      </x:c>
      <x:c r="B174" s="1" t="str">
        <x:v>cmmls2r93000304jme0bpsul9</x:v>
      </x:c>
      <x:c r="C174" s="1" t="str">
        <x:v>skeleton-args-ca2023004634-299a4a730fe1f43a</x:v>
      </x:c>
      <x:c r="D174" s="1" t="str">
        <x:v>synthetic</x:v>
      </x:c>
      <x:c r="E174" s="15" t="str">
        <x:v>Metropolitan Property Holdings Ltd v Artisan Coffee Co Ltd</x:v>
      </x:c>
      <x:c r="F174" s="16" t="n">
        <x:v>46092.35380873843</x:v>
      </x:c>
      <x:c r="G174" s="15" t="str">
        <x:v>case</x:v>
      </x:c>
      <x:c r="H174" s="15" t="str">
        <x:v>case:bishop v chhokar</x:v>
      </x:c>
      <x:c r="I174" s="15" t="str">
        <x:v>Bishop v Chhokar</x:v>
      </x:c>
      <x:c r="J174" s="15" t="str">
        <x:v>N/A</x:v>
      </x:c>
      <x:c r="K174" s="15" t="str">
        <x:v>945cd74c-6126-4ef5-ae71-7c0099a28f2b</x:v>
      </x:c>
      <x:c r="L174" s="15" t="str"/>
      <x:c r="M174" s="15" t="n">
        <x:v>1</x:v>
      </x:c>
      <x:c r="N174" s="15" t="str">
        <x:v>reasoningStructure[0].sourceCases[0]</x:v>
      </x:c>
    </x:row>
    <x:row r="175">
      <x:c r="A175" s="1" t="str">
        <x:v>U0174</x:v>
      </x:c>
      <x:c r="B175" s="1" t="str">
        <x:v>cmmls2r93000304jme0bpsul9</x:v>
      </x:c>
      <x:c r="C175" s="1" t="str">
        <x:v>skeleton-args-ca2023004634-299a4a730fe1f43a</x:v>
      </x:c>
      <x:c r="D175" s="1" t="str">
        <x:v>synthetic</x:v>
      </x:c>
      <x:c r="E175" s="15" t="str">
        <x:v>Metropolitan Property Holdings Ltd v Artisan Coffee Co Ltd</x:v>
      </x:c>
      <x:c r="F175" s="16" t="n">
        <x:v>46092.35380873843</x:v>
      </x:c>
      <x:c r="G175" s="15" t="str">
        <x:v>case</x:v>
      </x:c>
      <x:c r="H175" s="15" t="str">
        <x:v>case:freifeld &amp; anor v west kensington court ltd</x:v>
      </x:c>
      <x:c r="I175" s="15" t="str">
        <x:v>Freifeld &amp; Anor v West Kensington Court Ltd</x:v>
      </x:c>
      <x:c r="J175" s="15" t="str">
        <x:v>N/A</x:v>
      </x:c>
      <x:c r="K175" s="15" t="str">
        <x:v>18a014eb-e365-4420-b07a-dfdd42f053ec</x:v>
      </x:c>
      <x:c r="L175" s="15" t="str"/>
      <x:c r="M175" s="15" t="n">
        <x:v>1</x:v>
      </x:c>
      <x:c r="N175" s="15" t="str">
        <x:v>factualFindings.contestedFacts[0].sourceCases[0]</x:v>
      </x:c>
    </x:row>
    <x:row r="176">
      <x:c r="A176" s="1" t="str">
        <x:v>U0175</x:v>
      </x:c>
      <x:c r="B176" s="1" t="str">
        <x:v>cmmls2r93000304jme0bpsul9</x:v>
      </x:c>
      <x:c r="C176" s="1" t="str">
        <x:v>skeleton-args-ca2023004634-299a4a730fe1f43a</x:v>
      </x:c>
      <x:c r="D176" s="1" t="str">
        <x:v>synthetic</x:v>
      </x:c>
      <x:c r="E176" s="15" t="str">
        <x:v>Metropolitan Property Holdings Ltd v Artisan Coffee Co Ltd</x:v>
      </x:c>
      <x:c r="F176" s="16" t="n">
        <x:v>46092.35380873843</x:v>
      </x:c>
      <x:c r="G176" s="15" t="str">
        <x:v>case</x:v>
      </x:c>
      <x:c r="H176" s="15" t="str">
        <x:v>case:hough v greathall ltd</x:v>
      </x:c>
      <x:c r="I176" s="15" t="str">
        <x:v>Hough v Greathall Ltd</x:v>
      </x:c>
      <x:c r="J176" s="15" t="str">
        <x:v>N/A</x:v>
      </x:c>
      <x:c r="K176" s="15" t="str">
        <x:v>093c1223-0ae8-4284-9849-0aa54158efc1</x:v>
      </x:c>
      <x:c r="L176" s="15" t="str"/>
      <x:c r="M176" s="15" t="n">
        <x:v>1</x:v>
      </x:c>
      <x:c r="N176" s="15" t="str">
        <x:v>reasoningStructure[1].sourceCases[0]</x:v>
      </x:c>
    </x:row>
    <x:row r="177">
      <x:c r="A177" s="1" t="str">
        <x:v>U0176</x:v>
      </x:c>
      <x:c r="B177" s="1" t="str">
        <x:v>cmmls2r93000304jme0bpsul9</x:v>
      </x:c>
      <x:c r="C177" s="1" t="str">
        <x:v>skeleton-args-ca2023004634-299a4a730fe1f43a</x:v>
      </x:c>
      <x:c r="D177" s="1" t="str">
        <x:v>synthetic</x:v>
      </x:c>
      <x:c r="E177" s="15" t="str">
        <x:v>Metropolitan Property Holdings Ltd v Artisan Coffee Co Ltd</x:v>
      </x:c>
      <x:c r="F177" s="16" t="n">
        <x:v>46092.35380873843</x:v>
      </x:c>
      <x:c r="G177" s="15" t="str">
        <x:v>case</x:v>
      </x:c>
      <x:c r="H177" s="15" t="str">
        <x:v>case:nizami v dezyanian</x:v>
      </x:c>
      <x:c r="I177" s="15" t="str">
        <x:v>Nizami v Dezyanian</x:v>
      </x:c>
      <x:c r="J177" s="15" t="str">
        <x:v>N/A</x:v>
      </x:c>
      <x:c r="K177" s="15" t="str">
        <x:v>39df6304-6d5c-4744-8f1a-adcd4015ef46</x:v>
      </x:c>
      <x:c r="L177" s="15" t="str"/>
      <x:c r="M177" s="15" t="n">
        <x:v>1</x:v>
      </x:c>
      <x:c r="N177" s="15" t="str">
        <x:v>issuesForDetermination.issueMatrix[0].sourceCases[0]</x:v>
      </x:c>
    </x:row>
    <x:row r="178">
      <x:c r="A178" s="1" t="str">
        <x:v>U0177</x:v>
      </x:c>
      <x:c r="B178" s="1" t="str">
        <x:v>cmmls2r93000304jme0bpsul9</x:v>
      </x:c>
      <x:c r="C178" s="1" t="str">
        <x:v>skeleton-args-ca2023004634-299a4a730fe1f43a</x:v>
      </x:c>
      <x:c r="D178" s="1" t="str">
        <x:v>synthetic</x:v>
      </x:c>
      <x:c r="E178" s="15" t="str">
        <x:v>Metropolitan Property Holdings Ltd v Artisan Coffee Co Ltd</x:v>
      </x:c>
      <x:c r="F178" s="16" t="n">
        <x:v>46092.35380873843</x:v>
      </x:c>
      <x:c r="G178" s="15" t="str">
        <x:v>case</x:v>
      </x:c>
      <x:c r="H178" s="15" t="str">
        <x:v>case:topland portfolio no 1 ltd v smiths news trading ltd</x:v>
      </x:c>
      <x:c r="I178" s="15" t="str">
        <x:v>Topland Portfolio No 1 Ltd v Smiths News Trading Ltd</x:v>
      </x:c>
      <x:c r="J178" s="15" t="str">
        <x:v>N/A</x:v>
      </x:c>
      <x:c r="K178" s="15" t="str">
        <x:v>b8f5594c-ac32-4dd3-804a-fd0c938c4401</x:v>
      </x:c>
      <x:c r="L178" s="15" t="str"/>
      <x:c r="M178" s="15" t="n">
        <x:v>1</x:v>
      </x:c>
      <x:c r="N178" s="15" t="str">
        <x:v>factualFindings.chronology[1].sourceCases[0]</x:v>
      </x:c>
    </x:row>
    <x:row r="179">
      <x:c r="A179" s="1" t="str">
        <x:v>U0178</x:v>
      </x:c>
      <x:c r="B179" s="1" t="str">
        <x:v>cmmls2r93000304jme0bpsul9</x:v>
      </x:c>
      <x:c r="C179" s="1" t="str">
        <x:v>skeleton-args-ca2023004634-299a4a730fe1f43a</x:v>
      </x:c>
      <x:c r="D179" s="1" t="str">
        <x:v>synthetic</x:v>
      </x:c>
      <x:c r="E179" s="15" t="str">
        <x:v>Metropolitan Property Holdings Ltd v Artisan Coffee Co Ltd</x:v>
      </x:c>
      <x:c r="F179" s="16" t="n">
        <x:v>46092.35380873843</x:v>
      </x:c>
      <x:c r="G179" s="15" t="str">
        <x:v>case</x:v>
      </x:c>
      <x:c r="H179" s="15" t="str">
        <x:v>case:youssefi v mussellwhite</x:v>
      </x:c>
      <x:c r="I179" s="15" t="str">
        <x:v>Youssefi v Mussellwhite</x:v>
      </x:c>
      <x:c r="J179" s="15" t="str">
        <x:v>N/A</x:v>
      </x:c>
      <x:c r="K179" s="15" t="str">
        <x:v>263eee40-14b4-40aa-8b6d-47da6b0fa9b3</x:v>
      </x:c>
      <x:c r="L179" s="15" t="str"/>
      <x:c r="M179" s="15" t="n">
        <x:v>1</x:v>
      </x:c>
      <x:c r="N179" s="15" t="str">
        <x:v>issuesForDetermination.issueMatrix[1].sourceCases[0]</x:v>
      </x:c>
    </x:row>
    <x:row r="180">
      <x:c r="A180" s="1" t="str">
        <x:v>U0179</x:v>
      </x:c>
      <x:c r="B180" s="1" t="str">
        <x:v>cmmls2r93000304jme0bpsul9</x:v>
      </x:c>
      <x:c r="C180" s="1" t="str">
        <x:v>skeleton-args-ca2023004634-299a4a730fe1f43a</x:v>
      </x:c>
      <x:c r="D180" s="1" t="str">
        <x:v>synthetic</x:v>
      </x:c>
      <x:c r="E180" s="15" t="str">
        <x:v>Metropolitan Property Holdings Ltd v Artisan Coffee Co Ltd</x:v>
      </x:c>
      <x:c r="F180" s="16" t="n">
        <x:v>46092.35380873843</x:v>
      </x:c>
      <x:c r="G180" s="15" t="str">
        <x:v>legislation</x:v>
      </x:c>
      <x:c r="H180" s="15" t="str">
        <x:v>legislation:landlord and tenant act 1954 part ii</x:v>
      </x:c>
      <x:c r="I180" s="15" t="str">
        <x:v>Landlord and Tenant Act 1954</x:v>
      </x:c>
      <x:c r="J180" s="15" t="str">
        <x:v>Landlord and Tenant Act 1954 Part II</x:v>
      </x:c>
      <x:c r="K180" s="15" t="str"/>
      <x:c r="L180" s="15" t="str">
        <x:v>Part II</x:v>
      </x:c>
      <x:c r="M180" s="15" t="n">
        <x:v>2</x:v>
      </x:c>
      <x:c r="N180" s="15" t="str">
        <x:v>legalFramework.legalTestSummaries[1].sourceAuthority | legalFramework.statutoryProvisions[0]</x:v>
      </x:c>
    </x:row>
    <x:row r="181">
      <x:c r="A181" s="1" t="str">
        <x:v>U0180</x:v>
      </x:c>
      <x:c r="B181" s="1" t="str">
        <x:v>cmmls2r93000304jme0bpsul9</x:v>
      </x:c>
      <x:c r="C181" s="1" t="str">
        <x:v>skeleton-args-ca2023004634-299a4a730fe1f43a</x:v>
      </x:c>
      <x:c r="D181" s="1" t="str">
        <x:v>synthetic</x:v>
      </x:c>
      <x:c r="E181" s="15" t="str">
        <x:v>Metropolitan Property Holdings Ltd v Artisan Coffee Co Ltd</x:v>
      </x:c>
      <x:c r="F181" s="16" t="n">
        <x:v>46092.35380873843</x:v>
      </x:c>
      <x:c r="G181" s="15" t="str">
        <x:v>legislation</x:v>
      </x:c>
      <x:c r="H181" s="15" t="str">
        <x:v>legislation:senior courts act 1981 s 35a</x:v>
      </x:c>
      <x:c r="I181" s="15" t="str">
        <x:v>Senior Courts Act 1981, s.35A</x:v>
      </x:c>
      <x:c r="J181" s="15" t="str">
        <x:v>Senior Courts Act 1981, s.35A</x:v>
      </x:c>
      <x:c r="K181" s="15" t="str"/>
      <x:c r="L181" s="15" t="str"/>
      <x:c r="M181" s="15" t="n">
        <x:v>2</x:v>
      </x:c>
      <x:c r="N181" s="15" t="str">
        <x:v>decisionAndDisposition.interest.statutoryBasis | legalFramework.legalTestSummaries[0].sourceAuthority</x:v>
      </x:c>
    </x:row>
    <x:row r="182">
      <x:c r="A182" s="1" t="str">
        <x:v>U0181</x:v>
      </x:c>
      <x:c r="B182" s="1" t="str">
        <x:v>cmmmudwct000304kzc6d15a3r</x:v>
      </x:c>
      <x:c r="C182" s="1" t="str">
        <x:v>skeleton-args-ca2021006069-a7200646d94c4a22</x:v>
      </x:c>
      <x:c r="D182" s="1" t="str">
        <x:v>synthetic</x:v>
      </x:c>
      <x:c r="E182" s="15" t="str">
        <x:v>Sunrise Hospitality Group Ltd v Grant Morrison &amp; Co LLP</x:v>
      </x:c>
      <x:c r="F182" s="16" t="n">
        <x:v>46093.09854530093</x:v>
      </x:c>
      <x:c r="G182" s="15" t="str">
        <x:v>case</x:v>
      </x:c>
      <x:c r="H182" s="15" t="str">
        <x:v>case:1990 2 ac 605</x:v>
      </x:c>
      <x:c r="I182" s="15" t="str">
        <x:v>Caparo Industries Plc v Dickman [1990] 2 AC 605</x:v>
      </x:c>
      <x:c r="J182" s="15" t="str">
        <x:v>Caparo Industries Plc v Dickman [1990] 2 AC 605</x:v>
      </x:c>
      <x:c r="K182" s="15" t="str"/>
      <x:c r="L182" s="15" t="str"/>
      <x:c r="M182" s="15" t="n">
        <x:v>1</x:v>
      </x:c>
      <x:c r="N182" s="15" t="str">
        <x:v>legalFramework.precedentCitations[0]</x:v>
      </x:c>
    </x:row>
    <x:row r="183">
      <x:c r="A183" s="1" t="str">
        <x:v>U0182</x:v>
      </x:c>
      <x:c r="B183" s="1" t="str">
        <x:v>cmmmudwct000304kzc6d15a3r</x:v>
      </x:c>
      <x:c r="C183" s="1" t="str">
        <x:v>skeleton-args-ca2021006069-a7200646d94c4a22</x:v>
      </x:c>
      <x:c r="D183" s="1" t="str">
        <x:v>synthetic</x:v>
      </x:c>
      <x:c r="E183" s="15" t="str">
        <x:v>Sunrise Hospitality Group Ltd v Grant Morrison &amp; Co LLP</x:v>
      </x:c>
      <x:c r="F183" s="16" t="n">
        <x:v>46093.09854530093</x:v>
      </x:c>
      <x:c r="G183" s="15" t="str">
        <x:v>case</x:v>
      </x:c>
      <x:c r="H183" s="15" t="str">
        <x:v>case:2009 ukhl 39</x:v>
      </x:c>
      <x:c r="I183" s="15" t="str">
        <x:v>Moore Stephens (a firm) v Stone Rolls Ltd [2009] UKHL 39</x:v>
      </x:c>
      <x:c r="J183" s="15" t="str">
        <x:v>Moore Stephens (a firm) v Stone Rolls Ltd [2009] UKHL 39</x:v>
      </x:c>
      <x:c r="K183" s="15" t="str"/>
      <x:c r="L183" s="15" t="str"/>
      <x:c r="M183" s="15" t="n">
        <x:v>1</x:v>
      </x:c>
      <x:c r="N183" s="15" t="str">
        <x:v>legalFramework.precedentCitations[1]</x:v>
      </x:c>
    </x:row>
    <x:row r="184">
      <x:c r="A184" s="1" t="str">
        <x:v>U0183</x:v>
      </x:c>
      <x:c r="B184" s="1" t="str">
        <x:v>cmmmudwct000304kzc6d15a3r</x:v>
      </x:c>
      <x:c r="C184" s="1" t="str">
        <x:v>skeleton-args-ca2021006069-a7200646d94c4a22</x:v>
      </x:c>
      <x:c r="D184" s="1" t="str">
        <x:v>synthetic</x:v>
      </x:c>
      <x:c r="E184" s="15" t="str">
        <x:v>Sunrise Hospitality Group Ltd v Grant Morrison &amp; Co LLP</x:v>
      </x:c>
      <x:c r="F184" s="16" t="n">
        <x:v>46093.09854530093</x:v>
      </x:c>
      <x:c r="G184" s="15" t="str">
        <x:v>case</x:v>
      </x:c>
      <x:c r="H184" s="15" t="str">
        <x:v>case:2023 ewca civ 551</x:v>
      </x:c>
      <x:c r="I184" s="15" t="str">
        <x:v>Secretary of State for the Home Department v Cox &amp; Ors</x:v>
      </x:c>
      <x:c r="J184" s="15" t="str">
        <x:v>[2023] EWCA Civ 551</x:v>
      </x:c>
      <x:c r="K184" s="15" t="str">
        <x:v>6e8e988c-074c-4ab1-9e37-5c84673b441b</x:v>
      </x:c>
      <x:c r="L184" s="15" t="str"/>
      <x:c r="M184" s="15" t="n">
        <x:v>1</x:v>
      </x:c>
      <x:c r="N184" s="15" t="str">
        <x:v>factualFindings.chronology[1].sourceCases[0]</x:v>
      </x:c>
    </x:row>
    <x:row r="185">
      <x:c r="A185" s="1" t="str">
        <x:v>U0184</x:v>
      </x:c>
      <x:c r="B185" s="1" t="str">
        <x:v>cmmmudwct000304kzc6d15a3r</x:v>
      </x:c>
      <x:c r="C185" s="1" t="str">
        <x:v>skeleton-args-ca2021006069-a7200646d94c4a22</x:v>
      </x:c>
      <x:c r="D185" s="1" t="str">
        <x:v>synthetic</x:v>
      </x:c>
      <x:c r="E185" s="15" t="str">
        <x:v>Sunrise Hospitality Group Ltd v Grant Morrison &amp; Co LLP</x:v>
      </x:c>
      <x:c r="F185" s="16" t="n">
        <x:v>46093.09854530093</x:v>
      </x:c>
      <x:c r="G185" s="15" t="str">
        <x:v>case</x:v>
      </x:c>
      <x:c r="H185" s="15" t="str">
        <x:v>case:caparo industries plc v dickman</x:v>
      </x:c>
      <x:c r="I185" s="15" t="str">
        <x:v>Caparo Industries Plc v Dickman</x:v>
      </x:c>
      <x:c r="J185" s="15" t="str">
        <x:v>Caparo Industries Plc v Dickman</x:v>
      </x:c>
      <x:c r="K185" s="15" t="str"/>
      <x:c r="L185" s="15" t="str"/>
      <x:c r="M185" s="15" t="n">
        <x:v>1</x:v>
      </x:c>
      <x:c r="N185" s="15" t="str">
        <x:v>legalFramework.legalTestSummaries[0].sourceAuthority</x:v>
      </x:c>
    </x:row>
    <x:row r="186">
      <x:c r="A186" s="1" t="str">
        <x:v>U0185</x:v>
      </x:c>
      <x:c r="B186" s="1" t="str">
        <x:v>cmmmudwct000304kzc6d15a3r</x:v>
      </x:c>
      <x:c r="C186" s="1" t="str">
        <x:v>skeleton-args-ca2021006069-a7200646d94c4a22</x:v>
      </x:c>
      <x:c r="D186" s="1" t="str">
        <x:v>synthetic</x:v>
      </x:c>
      <x:c r="E186" s="15" t="str">
        <x:v>Sunrise Hospitality Group Ltd v Grant Morrison &amp; Co LLP</x:v>
      </x:c>
      <x:c r="F186" s="16" t="n">
        <x:v>46093.09854530093</x:v>
      </x:c>
      <x:c r="G186" s="15" t="str">
        <x:v>case</x:v>
      </x:c>
      <x:c r="H186" s="15" t="str">
        <x:v>case:dowling v griffin</x:v>
      </x:c>
      <x:c r="I186" s="15" t="str">
        <x:v>Dowling v Griffin</x:v>
      </x:c>
      <x:c r="J186" s="15" t="str">
        <x:v>N/A</x:v>
      </x:c>
      <x:c r="K186" s="15" t="str">
        <x:v>3f8f64bf-8917-45f1-ac4e-d5c0890c76e6</x:v>
      </x:c>
      <x:c r="L186" s="15" t="str"/>
      <x:c r="M186" s="15" t="n">
        <x:v>3</x:v>
      </x:c>
      <x:c r="N186" s="15" t="str">
        <x:v>factualFindings.contestedFacts[0].sourceCases[0] | issuesForDetermination.issueMatrix[0].sourceCases[0] | reasoningStructure[0].sourceCases[0]</x:v>
      </x:c>
    </x:row>
    <x:row r="187">
      <x:c r="A187" s="1" t="str">
        <x:v>U0186</x:v>
      </x:c>
      <x:c r="B187" s="1" t="str">
        <x:v>cmmmudwct000304kzc6d15a3r</x:v>
      </x:c>
      <x:c r="C187" s="1" t="str">
        <x:v>skeleton-args-ca2021006069-a7200646d94c4a22</x:v>
      </x:c>
      <x:c r="D187" s="1" t="str">
        <x:v>synthetic</x:v>
      </x:c>
      <x:c r="E187" s="15" t="str">
        <x:v>Sunrise Hospitality Group Ltd v Grant Morrison &amp; Co LLP</x:v>
      </x:c>
      <x:c r="F187" s="16" t="n">
        <x:v>46093.09854530093</x:v>
      </x:c>
      <x:c r="G187" s="15" t="str">
        <x:v>case</x:v>
      </x:c>
      <x:c r="H187" s="15" t="str">
        <x:v>case:wellesley partners llp v withers llp</x:v>
      </x:c>
      <x:c r="I187" s="15" t="str">
        <x:v>Wellesley Partners LLP v Withers LLP</x:v>
      </x:c>
      <x:c r="J187" s="15" t="str">
        <x:v>N/A</x:v>
      </x:c>
      <x:c r="K187" s="15" t="str">
        <x:v>5bbb3770-46d1-41af-b347-aa54ea9834ba</x:v>
      </x:c>
      <x:c r="L187" s="15" t="str"/>
      <x:c r="M187" s="15" t="n">
        <x:v>3</x:v>
      </x:c>
      <x:c r="N187" s="15" t="str">
        <x:v>factualFindings.contestedFacts[1].sourceCases[0] | issuesForDetermination.issueMatrix[1].sourceCases[0] | reasoningStructure[1].sourceCases[0]</x:v>
      </x:c>
    </x:row>
    <x:row r="188">
      <x:c r="A188" s="1" t="str">
        <x:v>U0187</x:v>
      </x:c>
      <x:c r="B188" s="1" t="str">
        <x:v>cmmmudwct000304kzc6d15a3r</x:v>
      </x:c>
      <x:c r="C188" s="1" t="str">
        <x:v>skeleton-args-ca2021006069-a7200646d94c4a22</x:v>
      </x:c>
      <x:c r="D188" s="1" t="str">
        <x:v>synthetic</x:v>
      </x:c>
      <x:c r="E188" s="15" t="str">
        <x:v>Sunrise Hospitality Group Ltd v Grant Morrison &amp; Co LLP</x:v>
      </x:c>
      <x:c r="F188" s="16" t="n">
        <x:v>46093.09854530093</x:v>
      </x:c>
      <x:c r="G188" s="15" t="str">
        <x:v>legislation</x:v>
      </x:c>
      <x:c r="H188" s="15" t="str">
        <x:v>legislation:limitation act 1980 time limits for bringing claims</x:v>
      </x:c>
      <x:c r="I188" s="15" t="str">
        <x:v>Limitation Act 1980</x:v>
      </x:c>
      <x:c r="J188" s="15" t="str">
        <x:v>Limitation Act 1980 Time Limits for Bringing Claims</x:v>
      </x:c>
      <x:c r="K188" s="15" t="str"/>
      <x:c r="L188" s="15" t="str">
        <x:v>Time Limits for Bringing Claims</x:v>
      </x:c>
      <x:c r="M188" s="15" t="n">
        <x:v>1</x:v>
      </x:c>
      <x:c r="N188" s="15" t="str">
        <x:v>legalFramework.statutoryProvisions[1]</x:v>
      </x:c>
    </x:row>
    <x:row r="189">
      <x:c r="A189" s="1" t="str">
        <x:v>U0188</x:v>
      </x:c>
      <x:c r="B189" s="1" t="str">
        <x:v>cmmmudwct000304kzc6d15a3r</x:v>
      </x:c>
      <x:c r="C189" s="1" t="str">
        <x:v>skeleton-args-ca2021006069-a7200646d94c4a22</x:v>
      </x:c>
      <x:c r="D189" s="1" t="str">
        <x:v>synthetic</x:v>
      </x:c>
      <x:c r="E189" s="15" t="str">
        <x:v>Sunrise Hospitality Group Ltd v Grant Morrison &amp; Co LLP</x:v>
      </x:c>
      <x:c r="F189" s="16" t="n">
        <x:v>46093.09854530093</x:v>
      </x:c>
      <x:c r="G189" s="15" t="str">
        <x:v>legislation</x:v>
      </x:c>
      <x:c r="H189" s="15" t="str">
        <x:v>legislation:senior courts act 1981 s 35a</x:v>
      </x:c>
      <x:c r="I189" s="15" t="str">
        <x:v>Senior Courts Act 1981</x:v>
      </x:c>
      <x:c r="J189" s="15" t="str">
        <x:v>Senior Courts Act 1981 s.35A</x:v>
      </x:c>
      <x:c r="K189" s="15" t="str"/>
      <x:c r="L189" s="15" t="str">
        <x:v>s.35A</x:v>
      </x:c>
      <x:c r="M189" s="15" t="n">
        <x:v>2</x:v>
      </x:c>
      <x:c r="N189" s="15" t="str">
        <x:v>decisionAndDisposition.interest.statutoryBasis | legalFramework.statutoryProvisions[0]</x:v>
      </x:c>
    </x:row>
    <x:row r="190">
      <x:c r="A190" s="1" t="str">
        <x:v>U0189</x:v>
      </x:c>
      <x:c r="B190" s="1" t="str">
        <x:v>cmmrr64va000h04jvzuquhz2y</x:v>
      </x:c>
      <x:c r="C190" s="1" t="str">
        <x:v>ca-2024-000255-ellis-v-ssj-appellant-skeleton</x:v>
      </x:c>
      <x:c r="D190" s="1" t="str">
        <x:v>real</x:v>
      </x:c>
      <x:c r="E190" s="15" t="str">
        <x:v>R (Fajr Ellis) v Secretary of State for Justice</x:v>
      </x:c>
      <x:c r="F190" s="16" t="n">
        <x:v>46096.53523300926</x:v>
      </x:c>
      <x:c r="G190" s="15" t="str">
        <x:v>case</x:v>
      </x:c>
      <x:c r="H190" s="15" t="str">
        <x:v>case:2002 ewca civ 605</x:v>
      </x:c>
      <x:c r="I190" s="15" t="str">
        <x:v>[2002] EWCA Civ 605</x:v>
      </x:c>
      <x:c r="J190" s="15" t="str">
        <x:v>[2002] EWCA Civ 605</x:v>
      </x:c>
      <x:c r="K190" s="15" t="str"/>
      <x:c r="L190" s="15" t="str"/>
      <x:c r="M190" s="15" t="n">
        <x:v>1</x:v>
      </x:c>
      <x:c r="N190" s="15" t="str">
        <x:v>legalFramework.precedentCitations[0]</x:v>
      </x:c>
    </x:row>
    <x:row r="191">
      <x:c r="A191" s="1" t="str">
        <x:v>U0190</x:v>
      </x:c>
      <x:c r="B191" s="1" t="str">
        <x:v>cmmrr64va000h04jvzuquhz2y</x:v>
      </x:c>
      <x:c r="C191" s="1" t="str">
        <x:v>ca-2024-000255-ellis-v-ssj-appellant-skeleton</x:v>
      </x:c>
      <x:c r="D191" s="1" t="str">
        <x:v>real</x:v>
      </x:c>
      <x:c r="E191" s="15" t="str">
        <x:v>R (Fajr Ellis) v Secretary of State for Justice</x:v>
      </x:c>
      <x:c r="F191" s="16" t="n">
        <x:v>46096.53523300926</x:v>
      </x:c>
      <x:c r="G191" s="15" t="str">
        <x:v>case</x:v>
      </x:c>
      <x:c r="H191" s="15" t="str">
        <x:v>case:bright &amp; anor v the secretary of state for justice</x:v>
      </x:c>
      <x:c r="I191" s="15" t="str">
        <x:v>Bright &amp; Anor v The Secretary of State for Justice</x:v>
      </x:c>
      <x:c r="J191" s="15" t="str">
        <x:v>N/A</x:v>
      </x:c>
      <x:c r="K191" s="15" t="str">
        <x:v>da4b6be7-2b22-4bd1-af6b-a68873f0af8d</x:v>
      </x:c>
      <x:c r="L191" s="15" t="str"/>
      <x:c r="M191" s="15" t="n">
        <x:v>4</x:v>
      </x:c>
      <x:c r="N191" s="15" t="str">
        <x:v>factualFindings.contestedFacts[1].sourceCases[0] | issuesForDetermination.issueMatrix[1].sourceCases[0] | legalFramework.statutoryProvisions[1].sourceCases[0] | reasoningStructure[1].sourceCases[0]</x:v>
      </x:c>
    </x:row>
    <x:row r="192">
      <x:c r="A192" s="1" t="str">
        <x:v>U0191</x:v>
      </x:c>
      <x:c r="B192" s="1" t="str">
        <x:v>cmmrr64va000h04jvzuquhz2y</x:v>
      </x:c>
      <x:c r="C192" s="1" t="str">
        <x:v>ca-2024-000255-ellis-v-ssj-appellant-skeleton</x:v>
      </x:c>
      <x:c r="D192" s="1" t="str">
        <x:v>real</x:v>
      </x:c>
      <x:c r="E192" s="15" t="str">
        <x:v>R (Fajr Ellis) v Secretary of State for Justice</x:v>
      </x:c>
      <x:c r="F192" s="16" t="n">
        <x:v>46096.53523300926</x:v>
      </x:c>
      <x:c r="G192" s="15" t="str">
        <x:v>case</x:v>
      </x:c>
      <x:c r="H192" s="15" t="str">
        <x:v>case:bristow v the secretary of state for justice &amp; anor</x:v>
      </x:c>
      <x:c r="I192" s="15" t="str">
        <x:v>Bristow v The Secretary of State for Justice &amp; Anor</x:v>
      </x:c>
      <x:c r="J192" s="15" t="str">
        <x:v>N/A</x:v>
      </x:c>
      <x:c r="K192" s="15" t="str">
        <x:v>1dbb4242-42ac-456f-989f-5098066d87ca</x:v>
      </x:c>
      <x:c r="L192" s="15" t="str"/>
      <x:c r="M192" s="15" t="n">
        <x:v>4</x:v>
      </x:c>
      <x:c r="N192" s="15" t="str">
        <x:v>factualFindings.contestedFacts[0].sourceCases[0] | issuesForDetermination.issueMatrix[0].sourceCases[0] | legalFramework.statutoryProvisions[0].sourceCases[0] | reasoningStructure[0].sourceCases[0]</x:v>
      </x:c>
    </x:row>
    <x:row r="193">
      <x:c r="A193" s="1" t="str">
        <x:v>U0192</x:v>
      </x:c>
      <x:c r="B193" s="1" t="str">
        <x:v>cmmrr64va000h04jvzuquhz2y</x:v>
      </x:c>
      <x:c r="C193" s="1" t="str">
        <x:v>ca-2024-000255-ellis-v-ssj-appellant-skeleton</x:v>
      </x:c>
      <x:c r="D193" s="1" t="str">
        <x:v>real</x:v>
      </x:c>
      <x:c r="E193" s="15" t="str">
        <x:v>R (Fajr Ellis) v Secretary of State for Justice</x:v>
      </x:c>
      <x:c r="F193" s="16" t="n">
        <x:v>46096.53523300926</x:v>
      </x:c>
      <x:c r="G193" s="15" t="str">
        <x:v>legislation</x:v>
      </x:c>
      <x:c r="H193" s="15" t="str">
        <x:v>legislation:european convention on human rights article 2 of protocol 1</x:v>
      </x:c>
      <x:c r="I193" s="15" t="str">
        <x:v>European Convention on Human Rights</x:v>
      </x:c>
      <x:c r="J193" s="15" t="str">
        <x:v>European Convention on Human Rights Article 2 of Protocol 1</x:v>
      </x:c>
      <x:c r="K193" s="15" t="str"/>
      <x:c r="L193" s="15" t="str">
        <x:v>Article 2 of Protocol 1</x:v>
      </x:c>
      <x:c r="M193" s="15" t="n">
        <x:v>1</x:v>
      </x:c>
      <x:c r="N193" s="15" t="str">
        <x:v>legalFramework.statutoryProvisions[1]</x:v>
      </x:c>
    </x:row>
    <x:row r="194">
      <x:c r="A194" s="1" t="str">
        <x:v>U0193</x:v>
      </x:c>
      <x:c r="B194" s="1" t="str">
        <x:v>cmmrr64va000h04jvzuquhz2y</x:v>
      </x:c>
      <x:c r="C194" s="1" t="str">
        <x:v>ca-2024-000255-ellis-v-ssj-appellant-skeleton</x:v>
      </x:c>
      <x:c r="D194" s="1" t="str">
        <x:v>real</x:v>
      </x:c>
      <x:c r="E194" s="15" t="str">
        <x:v>R (Fajr Ellis) v Secretary of State for Justice</x:v>
      </x:c>
      <x:c r="F194" s="16" t="n">
        <x:v>46096.53523300926</x:v>
      </x:c>
      <x:c r="G194" s="15" t="str">
        <x:v>legislation</x:v>
      </x:c>
      <x:c r="H194" s="15" t="str">
        <x:v>legislation:human rights act 1998 s 1</x:v>
      </x:c>
      <x:c r="I194" s="15" t="str">
        <x:v>Human Rights Act 1998</x:v>
      </x:c>
      <x:c r="J194" s="15" t="str">
        <x:v>Human Rights Act 1998 s.1</x:v>
      </x:c>
      <x:c r="K194" s="15" t="str"/>
      <x:c r="L194" s="15" t="str">
        <x:v>s.1</x:v>
      </x:c>
      <x:c r="M194" s="15" t="n">
        <x:v>1</x:v>
      </x:c>
      <x:c r="N194" s="15" t="str">
        <x:v>legalFramework.statutoryProvisions[0]</x:v>
      </x:c>
    </x:row>
    <x:row r="195">
      <x:c r="A195" s="1" t="str">
        <x:v>U0194</x:v>
      </x:c>
      <x:c r="B195" s="1" t="str">
        <x:v>cmmrr64va000h04jvzuquhz2y</x:v>
      </x:c>
      <x:c r="C195" s="1" t="str">
        <x:v>ca-2024-000255-ellis-v-ssj-appellant-skeleton</x:v>
      </x:c>
      <x:c r="D195" s="1" t="str">
        <x:v>real</x:v>
      </x:c>
      <x:c r="E195" s="15" t="str">
        <x:v>R (Fajr Ellis) v Secretary of State for Justice</x:v>
      </x:c>
      <x:c r="F195" s="16" t="n">
        <x:v>46096.53523300926</x:v>
      </x:c>
      <x:c r="G195" s="15" t="str">
        <x:v>legislation</x:v>
      </x:c>
      <x:c r="H195" s="15" t="str">
        <x:v>legislation:senior courts act 1981 s 35a</x:v>
      </x:c>
      <x:c r="I195" s="15" t="str">
        <x:v>Senior Courts Act 1981, s.35A</x:v>
      </x:c>
      <x:c r="J195" s="15" t="str">
        <x:v>Senior Courts Act 1981, s.35A</x:v>
      </x:c>
      <x:c r="K195" s="15" t="str"/>
      <x:c r="L195" s="15" t="str"/>
      <x:c r="M195" s="15" t="n">
        <x:v>1</x:v>
      </x:c>
      <x:c r="N195" s="15" t="str">
        <x:v>decisionAndDisposition.interest.statutoryBasis</x:v>
      </x:c>
    </x:row>
    <x:row r="196">
      <x:c r="A196" s="1" t="str">
        <x:v>U0195</x:v>
      </x:c>
      <x:c r="B196" s="1" t="str">
        <x:v>cmmrr64va000h04jvzuquhz2y</x:v>
      </x:c>
      <x:c r="C196" s="1" t="str">
        <x:v>ca-2024-000255-ellis-v-ssj-appellant-skeleton</x:v>
      </x:c>
      <x:c r="D196" s="1" t="str">
        <x:v>real</x:v>
      </x:c>
      <x:c r="E196" s="15" t="str">
        <x:v>R (Fajr Ellis) v Secretary of State for Justice</x:v>
      </x:c>
      <x:c r="F196" s="16" t="n">
        <x:v>46096.53523300926</x:v>
      </x:c>
      <x:c r="G196" s="15" t="str">
        <x:v>other</x:v>
      </x:c>
      <x:c r="H196" s="15" t="str">
        <x:v>other:2000 1 wlr 377</x:v>
      </x:c>
      <x:c r="I196" s="15" t="str">
        <x:v>[2000] 1 WLR 377</x:v>
      </x:c>
      <x:c r="J196" s="15" t="str">
        <x:v>[2000] 1 WLR 377</x:v>
      </x:c>
      <x:c r="K196" s="15" t="str"/>
      <x:c r="L196" s="15" t="str"/>
      <x:c r="M196" s="15" t="n">
        <x:v>1</x:v>
      </x:c>
      <x:c r="N196" s="15" t="str">
        <x:v>legalFramework.precedentCitations[1]</x:v>
      </x:c>
    </x:row>
    <x:row r="197">
      <x:c r="A197" s="1" t="str">
        <x:v>U0196</x:v>
      </x:c>
      <x:c r="B197" s="1" t="str">
        <x:v>cmmsi1xqb000h04jsef3v6skf</x:v>
      </x:c>
      <x:c r="C197" s="1" t="str">
        <x:v>karpasitis-v-hertfordshire-county-council</x:v>
      </x:c>
      <x:c r="D197" s="1" t="str">
        <x:v>real</x:v>
      </x:c>
      <x:c r="E197" s="15" t="str">
        <x:v>Karpasitis v Hertfordshire County Council</x:v>
      </x:c>
      <x:c r="F197" s="16" t="n">
        <x:v>46097.0578459375</x:v>
      </x:c>
      <x:c r="G197" s="15" t="str">
        <x:v>case</x:v>
      </x:c>
      <x:c r="H197" s="15" t="str">
        <x:v>case:2000 1 wlr 377</x:v>
      </x:c>
      <x:c r="I197" s="15" t="str">
        <x:v>Flannery v Halifax Estate Agencies Ltd [2000] 1 WLR 377</x:v>
      </x:c>
      <x:c r="J197" s="15" t="str">
        <x:v>Flannery v Halifax Estate Agencies Ltd [2000] 1 WLR 377</x:v>
      </x:c>
      <x:c r="K197" s="15" t="str"/>
      <x:c r="L197" s="15" t="str"/>
      <x:c r="M197" s="15" t="n">
        <x:v>1</x:v>
      </x:c>
      <x:c r="N197" s="15" t="str">
        <x:v>legalFramework.precedentCitations[1]</x:v>
      </x:c>
    </x:row>
    <x:row r="198">
      <x:c r="A198" s="1" t="str">
        <x:v>U0197</x:v>
      </x:c>
      <x:c r="B198" s="1" t="str">
        <x:v>cmmsi1xqb000h04jsef3v6skf</x:v>
      </x:c>
      <x:c r="C198" s="1" t="str">
        <x:v>karpasitis-v-hertfordshire-county-council</x:v>
      </x:c>
      <x:c r="D198" s="1" t="str">
        <x:v>real</x:v>
      </x:c>
      <x:c r="E198" s="15" t="str">
        <x:v>Karpasitis v Hertfordshire County Council</x:v>
      </x:c>
      <x:c r="F198" s="16" t="n">
        <x:v>46097.0578459375</x:v>
      </x:c>
      <x:c r="G198" s="15" t="str">
        <x:v>case</x:v>
      </x:c>
      <x:c r="H198" s="15" t="str">
        <x:v>case:2002 ewca civ 605</x:v>
      </x:c>
      <x:c r="I198" s="15" t="str">
        <x:v>English v Emery Reimbold &amp; Strick Ltd [2002] EWCA Civ 605</x:v>
      </x:c>
      <x:c r="J198" s="15" t="str">
        <x:v>English v Emery Reimbold &amp; Strick Ltd [2002] EWCA Civ 605</x:v>
      </x:c>
      <x:c r="K198" s="15" t="str"/>
      <x:c r="L198" s="15" t="str"/>
      <x:c r="M198" s="15" t="n">
        <x:v>1</x:v>
      </x:c>
      <x:c r="N198" s="15" t="str">
        <x:v>legalFramework.precedentCitations[0]</x:v>
      </x:c>
    </x:row>
    <x:row r="199">
      <x:c r="A199" s="1" t="str">
        <x:v>U0198</x:v>
      </x:c>
      <x:c r="B199" s="1" t="str">
        <x:v>cmmsi1xqb000h04jsef3v6skf</x:v>
      </x:c>
      <x:c r="C199" s="1" t="str">
        <x:v>karpasitis-v-hertfordshire-county-council</x:v>
      </x:c>
      <x:c r="D199" s="1" t="str">
        <x:v>real</x:v>
      </x:c>
      <x:c r="E199" s="15" t="str">
        <x:v>Karpasitis v Hertfordshire County Council</x:v>
      </x:c>
      <x:c r="F199" s="16" t="n">
        <x:v>46097.0578459375</x:v>
      </x:c>
      <x:c r="G199" s="15" t="str">
        <x:v>case</x:v>
      </x:c>
      <x:c r="H199" s="15" t="str">
        <x:v>case:2010 ewca civ 776</x:v>
      </x:c>
      <x:c r="I199" s="15" t="str">
        <x:v>Yetkin v London Borough of Newham</x:v>
      </x:c>
      <x:c r="J199" s="15" t="str">
        <x:v>[2010] EWCA Civ 776</x:v>
      </x:c>
      <x:c r="K199" s="15" t="str">
        <x:v>5a42b4bc-fe8f-47be-9b13-869933b2ddff</x:v>
      </x:c>
      <x:c r="L199" s="15" t="str"/>
      <x:c r="M199" s="15" t="n">
        <x:v>1</x:v>
      </x:c>
      <x:c r="N199" s="15" t="str">
        <x:v>factualFindings.chronology[1].sourceCases[0]</x:v>
      </x:c>
    </x:row>
    <x:row r="200">
      <x:c r="A200" s="1" t="str">
        <x:v>U0199</x:v>
      </x:c>
      <x:c r="B200" s="1" t="str">
        <x:v>cmmsi1xqb000h04jsef3v6skf</x:v>
      </x:c>
      <x:c r="C200" s="1" t="str">
        <x:v>karpasitis-v-hertfordshire-county-council</x:v>
      </x:c>
      <x:c r="D200" s="1" t="str">
        <x:v>real</x:v>
      </x:c>
      <x:c r="E200" s="15" t="str">
        <x:v>Karpasitis v Hertfordshire County Council</x:v>
      </x:c>
      <x:c r="F200" s="16" t="n">
        <x:v>46097.0578459375</x:v>
      </x:c>
      <x:c r="G200" s="15" t="str">
        <x:v>case</x:v>
      </x:c>
      <x:c r="H200" s="15" t="str">
        <x:v>case:2016 ewhc 1767 qb</x:v>
      </x:c>
      <x:c r="I200" s="15" t="str">
        <x:v>King Lifting Ltd v Oxfordshire County Council</x:v>
      </x:c>
      <x:c r="J200" s="15" t="str">
        <x:v>[2016] EWHC 1767 (QB)</x:v>
      </x:c>
      <x:c r="K200" s="15" t="str">
        <x:v>52d20bb9-6964-44a6-9c32-d191ef76297c</x:v>
      </x:c>
      <x:c r="L200" s="15" t="str"/>
      <x:c r="M200" s="15" t="n">
        <x:v>1</x:v>
      </x:c>
      <x:c r="N200" s="15" t="str">
        <x:v>factualFindings.chronology[0].sourceCases[0]</x:v>
      </x:c>
    </x:row>
    <x:row r="201">
      <x:c r="A201" s="1" t="str">
        <x:v>U0200</x:v>
      </x:c>
      <x:c r="B201" s="1" t="str">
        <x:v>cmmsi1xqb000h04jsef3v6skf</x:v>
      </x:c>
      <x:c r="C201" s="1" t="str">
        <x:v>karpasitis-v-hertfordshire-county-council</x:v>
      </x:c>
      <x:c r="D201" s="1" t="str">
        <x:v>real</x:v>
      </x:c>
      <x:c r="E201" s="15" t="str">
        <x:v>Karpasitis v Hertfordshire County Council</x:v>
      </x:c>
      <x:c r="F201" s="16" t="n">
        <x:v>46097.0578459375</x:v>
      </x:c>
      <x:c r="G201" s="15" t="str">
        <x:v>case</x:v>
      </x:c>
      <x:c r="H201" s="15" t="str">
        <x:v>case:gorringe v calderdale metropolitan borough council</x:v>
      </x:c>
      <x:c r="I201" s="15" t="str">
        <x:v>Gorringe v. Calderdale Metropolitan Borough Council</x:v>
      </x:c>
      <x:c r="J201" s="15" t="str">
        <x:v>N/A</x:v>
      </x:c>
      <x:c r="K201" s="15" t="str">
        <x:v>bc30491e-9ae6-48da-90d0-71d8a8069b22</x:v>
      </x:c>
      <x:c r="L201" s="15" t="str"/>
      <x:c r="M201" s="15" t="n">
        <x:v>4</x:v>
      </x:c>
      <x:c r="N201" s="15" t="str">
        <x:v>factualFindings.contestedFacts[0].sourceCases[0] | issuesForDetermination.issueMatrix[0].sourceCases[0] | legalFramework.statutoryProvisions[0].sourceCases[0] | reasoningStructure[0].sourceCases[0]</x:v>
      </x:c>
    </x:row>
    <x:row r="202">
      <x:c r="A202" s="1" t="str">
        <x:v>U0201</x:v>
      </x:c>
      <x:c r="B202" s="1" t="str">
        <x:v>cmmsi1xqb000h04jsef3v6skf</x:v>
      </x:c>
      <x:c r="C202" s="1" t="str">
        <x:v>karpasitis-v-hertfordshire-county-council</x:v>
      </x:c>
      <x:c r="D202" s="1" t="str">
        <x:v>real</x:v>
      </x:c>
      <x:c r="E202" s="15" t="str">
        <x:v>Karpasitis v Hertfordshire County Council</x:v>
      </x:c>
      <x:c r="F202" s="16" t="n">
        <x:v>46097.0578459375</x:v>
      </x:c>
      <x:c r="G202" s="15" t="str">
        <x:v>case</x:v>
      </x:c>
      <x:c r="H202" s="15" t="str">
        <x:v>case:griffiths v gwynedd county council</x:v>
      </x:c>
      <x:c r="I202" s="15" t="str">
        <x:v>Griffiths v Gwynedd County Council</x:v>
      </x:c>
      <x:c r="J202" s="15" t="str">
        <x:v>N/A</x:v>
      </x:c>
      <x:c r="K202" s="15" t="str">
        <x:v>70c75405-8cba-40e2-92ff-8302ea4f6789</x:v>
      </x:c>
      <x:c r="L202" s="15" t="str"/>
      <x:c r="M202" s="15" t="n">
        <x:v>4</x:v>
      </x:c>
      <x:c r="N202" s="15" t="str">
        <x:v>factualFindings.contestedFacts[1].sourceCases[0] | issuesForDetermination.issueMatrix[1].sourceCases[0] | legalFramework.statutoryProvisions[0].sourceCases[1] | reasoningStructure[1].sourceCases[0]</x:v>
      </x:c>
    </x:row>
    <x:row r="203">
      <x:c r="A203" s="1" t="str">
        <x:v>U0202</x:v>
      </x:c>
      <x:c r="B203" s="1" t="str">
        <x:v>cmmsi1xqb000h04jsef3v6skf</x:v>
      </x:c>
      <x:c r="C203" s="1" t="str">
        <x:v>karpasitis-v-hertfordshire-county-council</x:v>
      </x:c>
      <x:c r="D203" s="1" t="str">
        <x:v>real</x:v>
      </x:c>
      <x:c r="E203" s="15" t="str">
        <x:v>Karpasitis v Hertfordshire County Council</x:v>
      </x:c>
      <x:c r="F203" s="16" t="n">
        <x:v>46097.0578459375</x:v>
      </x:c>
      <x:c r="G203" s="15" t="str">
        <x:v>legislation</x:v>
      </x:c>
      <x:c r="H203" s="15" t="str">
        <x:v>legislation:highways act 1980 41</x:v>
      </x:c>
      <x:c r="I203" s="15" t="str">
        <x:v>Highways Act 1980</x:v>
      </x:c>
      <x:c r="J203" s="15" t="str">
        <x:v>Highways Act 1980 41</x:v>
      </x:c>
      <x:c r="K203" s="15" t="str"/>
      <x:c r="L203" s="15" t="str">
        <x:v>41</x:v>
      </x:c>
      <x:c r="M203" s="15" t="n">
        <x:v>1</x:v>
      </x:c>
      <x:c r="N203" s="15" t="str">
        <x:v>legalFramework.statutoryProvisions[1]</x:v>
      </x:c>
    </x:row>
    <x:row r="204">
      <x:c r="A204" s="1" t="str">
        <x:v>U0203</x:v>
      </x:c>
      <x:c r="B204" s="1" t="str">
        <x:v>cmmsi1xqb000h04jsef3v6skf</x:v>
      </x:c>
      <x:c r="C204" s="1" t="str">
        <x:v>karpasitis-v-hertfordshire-county-council</x:v>
      </x:c>
      <x:c r="D204" s="1" t="str">
        <x:v>real</x:v>
      </x:c>
      <x:c r="E204" s="15" t="str">
        <x:v>Karpasitis v Hertfordshire County Council</x:v>
      </x:c>
      <x:c r="F204" s="16" t="n">
        <x:v>46097.0578459375</x:v>
      </x:c>
      <x:c r="G204" s="15" t="str">
        <x:v>legislation</x:v>
      </x:c>
      <x:c r="H204" s="15" t="str">
        <x:v>legislation:highways act 1980 58</x:v>
      </x:c>
      <x:c r="I204" s="15" t="str">
        <x:v>Highways Act 1980</x:v>
      </x:c>
      <x:c r="J204" s="15" t="str">
        <x:v>Highways Act 1980 58</x:v>
      </x:c>
      <x:c r="K204" s="15" t="str"/>
      <x:c r="L204" s="15" t="str">
        <x:v>58</x:v>
      </x:c>
      <x:c r="M204" s="15" t="n">
        <x:v>1</x:v>
      </x:c>
      <x:c r="N204" s="15" t="str">
        <x:v>legalFramework.statutoryProvisions[0]</x:v>
      </x:c>
    </x:row>
    <x:row r="205">
      <x:c r="A205" s="1" t="str">
        <x:v>U0204</x:v>
      </x:c>
      <x:c r="B205" s="1" t="str">
        <x:v>cmmsi1xqb000h04jsef3v6skf</x:v>
      </x:c>
      <x:c r="C205" s="1" t="str">
        <x:v>karpasitis-v-hertfordshire-county-council</x:v>
      </x:c>
      <x:c r="D205" s="1" t="str">
        <x:v>real</x:v>
      </x:c>
      <x:c r="E205" s="15" t="str">
        <x:v>Karpasitis v Hertfordshire County Council</x:v>
      </x:c>
      <x:c r="F205" s="16" t="n">
        <x:v>46097.0578459375</x:v>
      </x:c>
      <x:c r="G205" s="15" t="str">
        <x:v>legislation</x:v>
      </x:c>
      <x:c r="H205" s="15" t="str">
        <x:v>legislation:highways act 1980 s 41</x:v>
      </x:c>
      <x:c r="I205" s="15" t="str">
        <x:v>Highways Act 1980, Section 41</x:v>
      </x:c>
      <x:c r="J205" s="15" t="str">
        <x:v>Highways Act 1980, Section 41</x:v>
      </x:c>
      <x:c r="K205" s="15" t="str"/>
      <x:c r="L205" s="15" t="str"/>
      <x:c r="M205" s="15" t="n">
        <x:v>1</x:v>
      </x:c>
      <x:c r="N205" s="15" t="str">
        <x:v>legalFramework.legalTestSummaries[1].sourceAuthority</x:v>
      </x:c>
    </x:row>
    <x:row r="206">
      <x:c r="A206" s="1" t="str">
        <x:v>U0205</x:v>
      </x:c>
      <x:c r="B206" s="1" t="str">
        <x:v>cmmsi1xqb000h04jsef3v6skf</x:v>
      </x:c>
      <x:c r="C206" s="1" t="str">
        <x:v>karpasitis-v-hertfordshire-county-council</x:v>
      </x:c>
      <x:c r="D206" s="1" t="str">
        <x:v>real</x:v>
      </x:c>
      <x:c r="E206" s="15" t="str">
        <x:v>Karpasitis v Hertfordshire County Council</x:v>
      </x:c>
      <x:c r="F206" s="16" t="n">
        <x:v>46097.0578459375</x:v>
      </x:c>
      <x:c r="G206" s="15" t="str">
        <x:v>legislation</x:v>
      </x:c>
      <x:c r="H206" s="15" t="str">
        <x:v>legislation:highways act 1980 s 58</x:v>
      </x:c>
      <x:c r="I206" s="15" t="str">
        <x:v>Highways Act 1980, Section 58</x:v>
      </x:c>
      <x:c r="J206" s="15" t="str">
        <x:v>Highways Act 1980, Section 58</x:v>
      </x:c>
      <x:c r="K206" s="15" t="str"/>
      <x:c r="L206" s="15" t="str"/>
      <x:c r="M206" s="15" t="n">
        <x:v>1</x:v>
      </x:c>
      <x:c r="N206" s="15" t="str">
        <x:v>legalFramework.legalTestSummaries[0].sourceAuthority</x:v>
      </x:c>
    </x:row>
    <x:row r="207">
      <x:c r="A207" s="1" t="str">
        <x:v>U0206</x:v>
      </x:c>
      <x:c r="B207" s="1" t="str">
        <x:v>cmmsi1xqb000h04jsef3v6skf</x:v>
      </x:c>
      <x:c r="C207" s="1" t="str">
        <x:v>karpasitis-v-hertfordshire-county-council</x:v>
      </x:c>
      <x:c r="D207" s="1" t="str">
        <x:v>real</x:v>
      </x:c>
      <x:c r="E207" s="15" t="str">
        <x:v>Karpasitis v Hertfordshire County Council</x:v>
      </x:c>
      <x:c r="F207" s="16" t="n">
        <x:v>46097.0578459375</x:v>
      </x:c>
      <x:c r="G207" s="15" t="str">
        <x:v>legislation</x:v>
      </x:c>
      <x:c r="H207" s="15" t="str">
        <x:v>legislation:senior courts act 1981 s 35a</x:v>
      </x:c>
      <x:c r="I207" s="15" t="str">
        <x:v>Senior Courts Act 1981</x:v>
      </x:c>
      <x:c r="J207" s="15" t="str">
        <x:v>Senior Courts Act 1981 s.35A</x:v>
      </x:c>
      <x:c r="K207" s="15" t="str"/>
      <x:c r="L207" s="15" t="str">
        <x:v>s.35A</x:v>
      </x:c>
      <x:c r="M207" s="15" t="n">
        <x:v>2</x:v>
      </x:c>
      <x:c r="N207" s="15" t="str">
        <x:v>decisionAndDisposition.interest.statutoryBasis | legalFramework.statutoryProvisions[2]</x:v>
      </x:c>
    </x:row>
    <x:row r="208">
      <x:c r="A208" s="1" t="str">
        <x:v>U0207</x:v>
      </x:c>
      <x:c r="B208" s="1" t="str">
        <x:v>cmmsiews2000304lgc3ooyg67</x:v>
      </x:c>
      <x:c r="C208" s="1" t="str">
        <x:v>karpasitis-v-hertfordshire-county-council</x:v>
      </x:c>
      <x:c r="D208" s="1" t="str">
        <x:v>real</x:v>
      </x:c>
      <x:c r="E208" s="15" t="str">
        <x:v>Karpasitis v Hertfordshire County Council</x:v>
      </x:c>
      <x:c r="F208" s="16" t="n">
        <x:v>46097.06485164352</x:v>
      </x:c>
      <x:c r="G208" s="15" t="str">
        <x:v>case</x:v>
      </x:c>
      <x:c r="H208" s="15" t="str">
        <x:v>case:2000 1 wlr 377</x:v>
      </x:c>
      <x:c r="I208" s="15" t="str">
        <x:v>Flannery v Halifax Estate Agencies Ltd [2000] 1 WLR 377</x:v>
      </x:c>
      <x:c r="J208" s="15" t="str">
        <x:v>Flannery v Halifax Estate Agencies Ltd [2000] 1 WLR 377</x:v>
      </x:c>
      <x:c r="K208" s="15" t="str"/>
      <x:c r="L208" s="15" t="str"/>
      <x:c r="M208" s="15" t="n">
        <x:v>1</x:v>
      </x:c>
      <x:c r="N208" s="15" t="str">
        <x:v>legalFramework.precedentCitations[1]</x:v>
      </x:c>
    </x:row>
    <x:row r="209">
      <x:c r="A209" s="1" t="str">
        <x:v>U0208</x:v>
      </x:c>
      <x:c r="B209" s="1" t="str">
        <x:v>cmmsiews2000304lgc3ooyg67</x:v>
      </x:c>
      <x:c r="C209" s="1" t="str">
        <x:v>karpasitis-v-hertfordshire-county-council</x:v>
      </x:c>
      <x:c r="D209" s="1" t="str">
        <x:v>real</x:v>
      </x:c>
      <x:c r="E209" s="15" t="str">
        <x:v>Karpasitis v Hertfordshire County Council</x:v>
      </x:c>
      <x:c r="F209" s="16" t="n">
        <x:v>46097.06485164352</x:v>
      </x:c>
      <x:c r="G209" s="15" t="str">
        <x:v>case</x:v>
      </x:c>
      <x:c r="H209" s="15" t="str">
        <x:v>case:2023 ewhc 1290 kb</x:v>
      </x:c>
      <x:c r="I209" s="15" t="str">
        <x:v>Chapman v. Mid and South Sussex NHS Foundation Trust [2023] EWHC 1290 (KB)</x:v>
      </x:c>
      <x:c r="J209" s="15" t="str">
        <x:v>Chapman v. Mid and South Sussex NHS Foundation Trust [2023] EWHC 1290 (KB)</x:v>
      </x:c>
      <x:c r="K209" s="15" t="str"/>
      <x:c r="L209" s="15" t="str"/>
      <x:c r="M209" s="15" t="n">
        <x:v>1</x:v>
      </x:c>
      <x:c r="N209" s="15" t="str">
        <x:v>legalFramework.precedentCitations[0]</x:v>
      </x:c>
    </x:row>
    <x:row r="210">
      <x:c r="A210" s="1" t="str">
        <x:v>U0209</x:v>
      </x:c>
      <x:c r="B210" s="1" t="str">
        <x:v>cmmsiews2000304lgc3ooyg67</x:v>
      </x:c>
      <x:c r="C210" s="1" t="str">
        <x:v>karpasitis-v-hertfordshire-county-council</x:v>
      </x:c>
      <x:c r="D210" s="1" t="str">
        <x:v>real</x:v>
      </x:c>
      <x:c r="E210" s="15" t="str">
        <x:v>Karpasitis v Hertfordshire County Council</x:v>
      </x:c>
      <x:c r="F210" s="16" t="n">
        <x:v>46097.06485164352</x:v>
      </x:c>
      <x:c r="G210" s="15" t="str">
        <x:v>case</x:v>
      </x:c>
      <x:c r="H210" s="15" t="str">
        <x:v>case:griffiths v gwynedd county council</x:v>
      </x:c>
      <x:c r="I210" s="15" t="str">
        <x:v>Griffiths v Gwynedd County Council</x:v>
      </x:c>
      <x:c r="J210" s="15" t="str">
        <x:v>N/A</x:v>
      </x:c>
      <x:c r="K210" s="15" t="str">
        <x:v>70c75405-8cba-40e2-92ff-8302ea4f6789</x:v>
      </x:c>
      <x:c r="L210" s="15" t="str"/>
      <x:c r="M210" s="15" t="n">
        <x:v>3</x:v>
      </x:c>
      <x:c r="N210" s="15" t="str">
        <x:v>factualFindings.contestedFacts[0].sourceCases[0] | issuesForDetermination.issueMatrix[0].sourceCases[0] | reasoningStructure[0].sourceCases[0]</x:v>
      </x:c>
    </x:row>
    <x:row r="211">
      <x:c r="A211" s="1" t="str">
        <x:v>U0210</x:v>
      </x:c>
      <x:c r="B211" s="1" t="str">
        <x:v>cmmsiews2000304lgc3ooyg67</x:v>
      </x:c>
      <x:c r="C211" s="1" t="str">
        <x:v>karpasitis-v-hertfordshire-county-council</x:v>
      </x:c>
      <x:c r="D211" s="1" t="str">
        <x:v>real</x:v>
      </x:c>
      <x:c r="E211" s="15" t="str">
        <x:v>Karpasitis v Hertfordshire County Council</x:v>
      </x:c>
      <x:c r="F211" s="16" t="n">
        <x:v>46097.06485164352</x:v>
      </x:c>
      <x:c r="G211" s="15" t="str">
        <x:v>case</x:v>
      </x:c>
      <x:c r="H211" s="15" t="str">
        <x:v>case:the secretary of state for transport &amp; anor v cuciurean</x:v>
      </x:c>
      <x:c r="I211" s="15" t="str">
        <x:v>The Secretary of State for Transport &amp; Anor v Cuciurean</x:v>
      </x:c>
      <x:c r="J211" s="15" t="str">
        <x:v>N/A</x:v>
      </x:c>
      <x:c r="K211" s="15" t="str">
        <x:v>aeeec773-897a-43bf-a319-7d0c8a133974</x:v>
      </x:c>
      <x:c r="L211" s="15" t="str"/>
      <x:c r="M211" s="15" t="n">
        <x:v>3</x:v>
      </x:c>
      <x:c r="N211" s="15" t="str">
        <x:v>factualFindings.contestedFacts[1].sourceCases[0] | issuesForDetermination.issueMatrix[1].sourceCases[0] | reasoningStructure[1].sourceCases[0]</x:v>
      </x:c>
    </x:row>
    <x:row r="212">
      <x:c r="A212" s="1" t="str">
        <x:v>U0211</x:v>
      </x:c>
      <x:c r="B212" s="1" t="str">
        <x:v>cmmsiews2000304lgc3ooyg67</x:v>
      </x:c>
      <x:c r="C212" s="1" t="str">
        <x:v>karpasitis-v-hertfordshire-county-council</x:v>
      </x:c>
      <x:c r="D212" s="1" t="str">
        <x:v>real</x:v>
      </x:c>
      <x:c r="E212" s="15" t="str">
        <x:v>Karpasitis v Hertfordshire County Council</x:v>
      </x:c>
      <x:c r="F212" s="16" t="n">
        <x:v>46097.06485164352</x:v>
      </x:c>
      <x:c r="G212" s="15" t="str">
        <x:v>legislation</x:v>
      </x:c>
      <x:c r="H212" s="15" t="str">
        <x:v>legislation:highways act 1980 s 58</x:v>
      </x:c>
      <x:c r="I212" s="15" t="str">
        <x:v>Highways Act 1980</x:v>
      </x:c>
      <x:c r="J212" s="15" t="str">
        <x:v>Highways Act 1980 section 58</x:v>
      </x:c>
      <x:c r="K212" s="15" t="str"/>
      <x:c r="L212" s="15" t="str">
        <x:v>section 58</x:v>
      </x:c>
      <x:c r="M212" s="15" t="n">
        <x:v>2</x:v>
      </x:c>
      <x:c r="N212" s="15" t="str">
        <x:v>legalFramework.legalTestSummaries[0].sourceAuthority | legalFramework.statutoryProvisions[0]</x:v>
      </x:c>
    </x:row>
    <x:row r="213">
      <x:c r="A213" s="1" t="str">
        <x:v>U0212</x:v>
      </x:c>
      <x:c r="B213" s="1" t="str">
        <x:v>cmmsiews2000304lgc3ooyg67</x:v>
      </x:c>
      <x:c r="C213" s="1" t="str">
        <x:v>karpasitis-v-hertfordshire-county-council</x:v>
      </x:c>
      <x:c r="D213" s="1" t="str">
        <x:v>real</x:v>
      </x:c>
      <x:c r="E213" s="15" t="str">
        <x:v>Karpasitis v Hertfordshire County Council</x:v>
      </x:c>
      <x:c r="F213" s="16" t="n">
        <x:v>46097.06485164352</x:v>
      </x:c>
      <x:c r="G213" s="15" t="str">
        <x:v>legislation</x:v>
      </x:c>
      <x:c r="H213" s="15" t="str">
        <x:v>legislation:senior courts act 1981 s 35a</x:v>
      </x:c>
      <x:c r="I213" s="15" t="str">
        <x:v>Senior Courts Act 1981, s.35A</x:v>
      </x:c>
      <x:c r="J213" s="15" t="str">
        <x:v>Senior Courts Act 1981, s.35A</x:v>
      </x:c>
      <x:c r="K213" s="15" t="str"/>
      <x:c r="L213" s="15" t="str"/>
      <x:c r="M213" s="15" t="n">
        <x:v>1</x:v>
      </x:c>
      <x:c r="N213" s="15" t="str">
        <x:v>decisionAndDisposition.interest.statutoryBasis</x:v>
      </x:c>
    </x:row>
    <x:row r="214">
      <x:c r="A214" s="1" t="str">
        <x:v>U0213</x:v>
      </x:c>
      <x:c r="B214" s="1" t="str">
        <x:v>cmmsiews2000304lgc3ooyg67</x:v>
      </x:c>
      <x:c r="C214" s="1" t="str">
        <x:v>karpasitis-v-hertfordshire-county-council</x:v>
      </x:c>
      <x:c r="D214" s="1" t="str">
        <x:v>real</x:v>
      </x:c>
      <x:c r="E214" s="15" t="str">
        <x:v>Karpasitis v Hertfordshire County Council</x:v>
      </x:c>
      <x:c r="F214" s="16" t="n">
        <x:v>46097.06485164352</x:v>
      </x:c>
      <x:c r="G214" s="15" t="str">
        <x:v>other</x:v>
      </x:c>
      <x:c r="H214" s="15" t="str">
        <x:v>other:common law duties of care in tort</x:v>
      </x:c>
      <x:c r="I214" s="15" t="str">
        <x:v>Common law duties of care in tort</x:v>
      </x:c>
      <x:c r="J214" s="15" t="str">
        <x:v>Common law duties of care in tort</x:v>
      </x:c>
      <x:c r="K214" s="15" t="str"/>
      <x:c r="L214" s="15" t="str"/>
      <x:c r="M214" s="15" t="n">
        <x:v>1</x:v>
      </x:c>
      <x:c r="N214" s="15" t="str">
        <x:v>legalFramework.legalTestSummaries[1].sourceAuthority</x:v>
      </x:c>
    </x:row>
    <x:row r="215">
      <x:c r="A215" s="1" t="str">
        <x:v>U0214</x:v>
      </x:c>
      <x:c r="B215" s="1" t="str">
        <x:v>cmmxgyd9z000h04kttryogau2</x:v>
      </x:c>
      <x:c r="C215" s="1" t="str">
        <x:v>karpasitis-v-hertfordshire-county-council</x:v>
      </x:c>
      <x:c r="D215" s="1" t="str">
        <x:v>real</x:v>
      </x:c>
      <x:c r="E215" s="15" t="str">
        <x:v>Karpasitis v Hertfordshire County Council</x:v>
      </x:c>
      <x:c r="F215" s="16" t="n">
        <x:v>46100.53567913194</x:v>
      </x:c>
      <x:c r="G215" s="15" t="str">
        <x:v>case</x:v>
      </x:c>
      <x:c r="H215" s="15" t="str">
        <x:v>case:2002 ewca civ 605</x:v>
      </x:c>
      <x:c r="I215" s="15" t="str">
        <x:v>[2002] EWCA Civ 605</x:v>
      </x:c>
      <x:c r="J215" s="15" t="str">
        <x:v>[2002] EWCA Civ 605</x:v>
      </x:c>
      <x:c r="K215" s="15" t="str"/>
      <x:c r="L215" s="15" t="str"/>
      <x:c r="M215" s="15" t="n">
        <x:v>1</x:v>
      </x:c>
      <x:c r="N215" s="15" t="str">
        <x:v>legalFramework.precedentCitations[0]</x:v>
      </x:c>
    </x:row>
    <x:row r="216">
      <x:c r="A216" s="1" t="str">
        <x:v>U0215</x:v>
      </x:c>
      <x:c r="B216" s="1" t="str">
        <x:v>cmmxgyd9z000h04kttryogau2</x:v>
      </x:c>
      <x:c r="C216" s="1" t="str">
        <x:v>karpasitis-v-hertfordshire-county-council</x:v>
      </x:c>
      <x:c r="D216" s="1" t="str">
        <x:v>real</x:v>
      </x:c>
      <x:c r="E216" s="15" t="str">
        <x:v>Karpasitis v Hertfordshire County Council</x:v>
      </x:c>
      <x:c r="F216" s="16" t="n">
        <x:v>46100.53567913194</x:v>
      </x:c>
      <x:c r="G216" s="15" t="str">
        <x:v>case</x:v>
      </x:c>
      <x:c r="H216" s="15" t="str">
        <x:v>case:2022 ewca civ 18</x:v>
      </x:c>
      <x:c r="I216" s="15" t="str">
        <x:v>Brown &amp; Ors v South West Lakes Trust &amp; Ors</x:v>
      </x:c>
      <x:c r="J216" s="15" t="str">
        <x:v>[2022] EWCA Civ 18</x:v>
      </x:c>
      <x:c r="K216" s="15" t="str">
        <x:v>70d43223-0ec6-458b-b052-bdc295e0d6ec</x:v>
      </x:c>
      <x:c r="L216" s="15" t="str"/>
      <x:c r="M216" s="15" t="n">
        <x:v>3</x:v>
      </x:c>
      <x:c r="N216" s="15" t="str">
        <x:v>factualFindings.contestedFacts[1].sourceCases[0] | issuesForDetermination.issueMatrix[1].sourceCases[0] | reasoningStructure[1].sourceCases[0]</x:v>
      </x:c>
    </x:row>
    <x:row r="217">
      <x:c r="A217" s="1" t="str">
        <x:v>U0216</x:v>
      </x:c>
      <x:c r="B217" s="1" t="str">
        <x:v>cmmxgyd9z000h04kttryogau2</x:v>
      </x:c>
      <x:c r="C217" s="1" t="str">
        <x:v>karpasitis-v-hertfordshire-county-council</x:v>
      </x:c>
      <x:c r="D217" s="1" t="str">
        <x:v>real</x:v>
      </x:c>
      <x:c r="E217" s="15" t="str">
        <x:v>Karpasitis v Hertfordshire County Council</x:v>
      </x:c>
      <x:c r="F217" s="16" t="n">
        <x:v>46100.53567913194</x:v>
      </x:c>
      <x:c r="G217" s="15" t="str">
        <x:v>case</x:v>
      </x:c>
      <x:c r="H217" s="15" t="str">
        <x:v>case:2022 ewca civ 25</x:v>
      </x:c>
      <x:c r="I217" s="15" t="str">
        <x:v>Tindall &amp; Anor v Chief Constable of Thames Valley Police &amp; Anor</x:v>
      </x:c>
      <x:c r="J217" s="15" t="str">
        <x:v>[2022] EWCA Civ 25</x:v>
      </x:c>
      <x:c r="K217" s="15" t="str">
        <x:v>4685ad0e-87e7-4f59-8991-823ab27d9393</x:v>
      </x:c>
      <x:c r="L217" s="15" t="str"/>
      <x:c r="M217" s="15" t="n">
        <x:v>1</x:v>
      </x:c>
      <x:c r="N217" s="15" t="str">
        <x:v>factualFindings.chronology[0].sourceCases[0]</x:v>
      </x:c>
    </x:row>
    <x:row r="218">
      <x:c r="A218" s="1" t="str">
        <x:v>U0217</x:v>
      </x:c>
      <x:c r="B218" s="1" t="str">
        <x:v>cmmxgyd9z000h04kttryogau2</x:v>
      </x:c>
      <x:c r="C218" s="1" t="str">
        <x:v>karpasitis-v-hertfordshire-county-council</x:v>
      </x:c>
      <x:c r="D218" s="1" t="str">
        <x:v>real</x:v>
      </x:c>
      <x:c r="E218" s="15" t="str">
        <x:v>Karpasitis v Hertfordshire County Council</x:v>
      </x:c>
      <x:c r="F218" s="16" t="n">
        <x:v>46100.53567913194</x:v>
      </x:c>
      <x:c r="G218" s="15" t="str">
        <x:v>case</x:v>
      </x:c>
      <x:c r="H218" s="15" t="str">
        <x:v>case:gorringe v calderdale metropolitan borough council</x:v>
      </x:c>
      <x:c r="I218" s="15" t="str">
        <x:v>Gorringe v. Calderdale Metropolitan Borough Council</x:v>
      </x:c>
      <x:c r="J218" s="15" t="str">
        <x:v>N/A</x:v>
      </x:c>
      <x:c r="K218" s="15" t="str">
        <x:v>bc30491e-9ae6-48da-90d0-71d8a8069b22</x:v>
      </x:c>
      <x:c r="L218" s="15" t="str"/>
      <x:c r="M218" s="15" t="n">
        <x:v>4</x:v>
      </x:c>
      <x:c r="N218" s="15" t="str">
        <x:v>factualFindings.contestedFacts[0].sourceCases[0] | issuesForDetermination.issueMatrix[0].sourceCases[0] | legalFramework.precedentCitations[1].sourceCases[0] | reasoningStructure[0].sourceCases[0]</x:v>
      </x:c>
    </x:row>
    <x:row r="219">
      <x:c r="A219" s="1" t="str">
        <x:v>U0218</x:v>
      </x:c>
      <x:c r="B219" s="1" t="str">
        <x:v>cmmxgyd9z000h04kttryogau2</x:v>
      </x:c>
      <x:c r="C219" s="1" t="str">
        <x:v>karpasitis-v-hertfordshire-county-council</x:v>
      </x:c>
      <x:c r="D219" s="1" t="str">
        <x:v>real</x:v>
      </x:c>
      <x:c r="E219" s="15" t="str">
        <x:v>Karpasitis v Hertfordshire County Council</x:v>
      </x:c>
      <x:c r="F219" s="16" t="n">
        <x:v>46100.53567913194</x:v>
      </x:c>
      <x:c r="G219" s="15" t="str">
        <x:v>case</x:v>
      </x:c>
      <x:c r="H219" s="15" t="str">
        <x:v>case:king lifting ltd v oxfordshire county council</x:v>
      </x:c>
      <x:c r="I219" s="15" t="str">
        <x:v>King Lifting Ltd v Oxfordshire County Council</x:v>
      </x:c>
      <x:c r="J219" s="15" t="str">
        <x:v>[2016] EWHC 1767</x:v>
      </x:c>
      <x:c r="K219" s="15" t="str">
        <x:v>52d20bb9-6964-44a6-9c32-d191ef76297c</x:v>
      </x:c>
      <x:c r="L219" s="15" t="str"/>
      <x:c r="M219" s="15" t="n">
        <x:v>1</x:v>
      </x:c>
      <x:c r="N219" s="15" t="str">
        <x:v>legalFramework.precedentCitations[3].sourceCases[0]</x:v>
      </x:c>
    </x:row>
    <x:row r="220">
      <x:c r="A220" s="1" t="str">
        <x:v>U0219</x:v>
      </x:c>
      <x:c r="B220" s="1" t="str">
        <x:v>cmmxgyd9z000h04kttryogau2</x:v>
      </x:c>
      <x:c r="C220" s="1" t="str">
        <x:v>karpasitis-v-hertfordshire-county-council</x:v>
      </x:c>
      <x:c r="D220" s="1" t="str">
        <x:v>real</x:v>
      </x:c>
      <x:c r="E220" s="15" t="str">
        <x:v>Karpasitis v Hertfordshire County Council</x:v>
      </x:c>
      <x:c r="F220" s="16" t="n">
        <x:v>46100.53567913194</x:v>
      </x:c>
      <x:c r="G220" s="15" t="str">
        <x:v>legislation</x:v>
      </x:c>
      <x:c r="H220" s="15" t="str">
        <x:v>legislation:highways act 1980 s 41</x:v>
      </x:c>
      <x:c r="I220" s="15" t="str">
        <x:v>Highways Act 1980</x:v>
      </x:c>
      <x:c r="J220" s="15" t="str">
        <x:v>Highways Act 1980 s.41</x:v>
      </x:c>
      <x:c r="K220" s="15" t="str"/>
      <x:c r="L220" s="15" t="str">
        <x:v>s.41</x:v>
      </x:c>
      <x:c r="M220" s="15" t="n">
        <x:v>1</x:v>
      </x:c>
      <x:c r="N220" s="15" t="str">
        <x:v>legalFramework.statutoryProvisions[1]</x:v>
      </x:c>
    </x:row>
    <x:row r="221">
      <x:c r="A221" s="1" t="str">
        <x:v>U0220</x:v>
      </x:c>
      <x:c r="B221" s="1" t="str">
        <x:v>cmmxgyd9z000h04kttryogau2</x:v>
      </x:c>
      <x:c r="C221" s="1" t="str">
        <x:v>karpasitis-v-hertfordshire-county-council</x:v>
      </x:c>
      <x:c r="D221" s="1" t="str">
        <x:v>real</x:v>
      </x:c>
      <x:c r="E221" s="15" t="str">
        <x:v>Karpasitis v Hertfordshire County Council</x:v>
      </x:c>
      <x:c r="F221" s="16" t="n">
        <x:v>46100.53567913194</x:v>
      </x:c>
      <x:c r="G221" s="15" t="str">
        <x:v>legislation</x:v>
      </x:c>
      <x:c r="H221" s="15" t="str">
        <x:v>legislation:highways act 1980 s 58</x:v>
      </x:c>
      <x:c r="I221" s="15" t="str">
        <x:v>Highways Act 1980</x:v>
      </x:c>
      <x:c r="J221" s="15" t="str">
        <x:v>Highways Act 1980 s.58</x:v>
      </x:c>
      <x:c r="K221" s="15" t="str"/>
      <x:c r="L221" s="15" t="str">
        <x:v>s.58</x:v>
      </x:c>
      <x:c r="M221" s="15" t="n">
        <x:v>2</x:v>
      </x:c>
      <x:c r="N221" s="15" t="str">
        <x:v>legalFramework.legalTestSummaries[0].sourceAuthority | legalFramework.statutoryProvisions[0]</x:v>
      </x:c>
    </x:row>
    <x:row r="222">
      <x:c r="A222" s="1" t="str">
        <x:v>U0221</x:v>
      </x:c>
      <x:c r="B222" s="1" t="str">
        <x:v>cmmxgyd9z000h04kttryogau2</x:v>
      </x:c>
      <x:c r="C222" s="1" t="str">
        <x:v>karpasitis-v-hertfordshire-county-council</x:v>
      </x:c>
      <x:c r="D222" s="1" t="str">
        <x:v>real</x:v>
      </x:c>
      <x:c r="E222" s="15" t="str">
        <x:v>Karpasitis v Hertfordshire County Council</x:v>
      </x:c>
      <x:c r="F222" s="16" t="n">
        <x:v>46100.53567913194</x:v>
      </x:c>
      <x:c r="G222" s="15" t="str">
        <x:v>legislation</x:v>
      </x:c>
      <x:c r="H222" s="15" t="str">
        <x:v>legislation:senior courts act 1981 s 35a</x:v>
      </x:c>
      <x:c r="I222" s="15" t="str">
        <x:v>Senior Courts Act 1981, s.35A</x:v>
      </x:c>
      <x:c r="J222" s="15" t="str">
        <x:v>Senior Courts Act 1981, s.35A</x:v>
      </x:c>
      <x:c r="K222" s="15" t="str"/>
      <x:c r="L222" s="15" t="str"/>
      <x:c r="M222" s="15" t="n">
        <x:v>2</x:v>
      </x:c>
      <x:c r="N222" s="15" t="str">
        <x:v>decisionAndDisposition.interest.statutoryBasis | legalFramework.precedentCitations[2]</x:v>
      </x:c>
    </x:row>
    <x:row r="223">
      <x:c r="A223" s="1" t="str">
        <x:v>U0222</x:v>
      </x:c>
      <x:c r="B223" s="1" t="str">
        <x:v>cmmxgyd9z000h04kttryogau2</x:v>
      </x:c>
      <x:c r="C223" s="1" t="str">
        <x:v>karpasitis-v-hertfordshire-county-council</x:v>
      </x:c>
      <x:c r="D223" s="1" t="str">
        <x:v>real</x:v>
      </x:c>
      <x:c r="E223" s="15" t="str">
        <x:v>Karpasitis v Hertfordshire County Council</x:v>
      </x:c>
      <x:c r="F223" s="16" t="n">
        <x:v>46100.53567913194</x:v>
      </x:c>
      <x:c r="G223" s="15" t="str">
        <x:v>other</x:v>
      </x:c>
      <x:c r="H223" s="15" t="str">
        <x:v>other:2000 1 wlr 377</x:v>
      </x:c>
      <x:c r="I223" s="15" t="str">
        <x:v>[2000] 1 WLR 377</x:v>
      </x:c>
      <x:c r="J223" s="15" t="str">
        <x:v>[2000] 1 WLR 377</x:v>
      </x:c>
      <x:c r="K223" s="15" t="str"/>
      <x:c r="L223" s="15" t="str"/>
      <x:c r="M223" s="15" t="n">
        <x:v>1</x:v>
      </x:c>
      <x:c r="N223" s="15" t="str">
        <x:v>legalFramework.precedentCitations[1]</x:v>
      </x:c>
    </x:row>
    <x:row r="224">
      <x:c r="A224" s="1" t="str">
        <x:v>U0223</x:v>
      </x:c>
      <x:c r="B224" s="1" t="str">
        <x:v>cmmxgyd9z000h04kttryogau2</x:v>
      </x:c>
      <x:c r="C224" s="1" t="str">
        <x:v>karpasitis-v-hertfordshire-county-council</x:v>
      </x:c>
      <x:c r="D224" s="1" t="str">
        <x:v>real</x:v>
      </x:c>
      <x:c r="E224" s="15" t="str">
        <x:v>Karpasitis v Hertfordshire County Council</x:v>
      </x:c>
      <x:c r="F224" s="16" t="n">
        <x:v>46100.53567913194</x:v>
      </x:c>
      <x:c r="G224" s="15" t="str">
        <x:v>other</x:v>
      </x:c>
      <x:c r="H224" s="15" t="str">
        <x:v>other:2020 4 wlr 55</x:v>
      </x:c>
      <x:c r="I224" s="15" t="str">
        <x:v>[2020] 4 WLR 55</x:v>
      </x:c>
      <x:c r="J224" s="15" t="str">
        <x:v>[2020] 4 WLR 55</x:v>
      </x:c>
      <x:c r="K224" s="15" t="str"/>
      <x:c r="L224" s="15" t="str"/>
      <x:c r="M224" s="15" t="n">
        <x:v>1</x:v>
      </x:c>
      <x:c r="N224" s="15" t="str">
        <x:v>legalFramework.precedentCitations[3]</x:v>
      </x:c>
    </x:row>
    <x:row r="225">
      <x:c r="A225" s="1" t="str">
        <x:v>U0224</x:v>
      </x:c>
      <x:c r="B225" s="1" t="str">
        <x:v>cmmxgyd9z000h04kttryogau2</x:v>
      </x:c>
      <x:c r="C225" s="1" t="str">
        <x:v>karpasitis-v-hertfordshire-county-council</x:v>
      </x:c>
      <x:c r="D225" s="1" t="str">
        <x:v>real</x:v>
      </x:c>
      <x:c r="E225" s="15" t="str">
        <x:v>Karpasitis v Hertfordshire County Council</x:v>
      </x:c>
      <x:c r="F225" s="16" t="n">
        <x:v>46100.53567913194</x:v>
      </x:c>
      <x:c r="G225" s="15" t="str">
        <x:v>other</x:v>
      </x:c>
      <x:c r="H225" s="15" t="str">
        <x:v>other:case law on public authorities</x:v>
      </x:c>
      <x:c r="I225" s="15" t="str">
        <x:v>Case law on public authorities</x:v>
      </x:c>
      <x:c r="J225" s="15" t="str">
        <x:v>Case law on public authorities</x:v>
      </x:c>
      <x:c r="K225" s="15" t="str"/>
      <x:c r="L225" s="15" t="str"/>
      <x:c r="M225" s="15" t="n">
        <x:v>1</x:v>
      </x:c>
      <x:c r="N225" s="15" t="str">
        <x:v>legalFramework.legalTestSummaries[1].sourceAuthority</x:v>
      </x:c>
    </x:row>
    <x:row r="226">
      <x:c r="A226" s="1" t="str">
        <x:v>U0225</x:v>
      </x:c>
      <x:c r="B226" s="1" t="str">
        <x:v>cmmxi2xkc000t04l8hsscxyvl</x:v>
      </x:c>
      <x:c r="C226" s="1" t="str">
        <x:v>ksy-juice-blends-uk-limited-v-citrosuco-gmbh</x:v>
      </x:c>
      <x:c r="D226" s="1" t="str">
        <x:v>real</x:v>
      </x:c>
      <x:c r="E226" s="15" t="str">
        <x:v>KSY Juice Blends UK Limited v Citrosuco GmbH</x:v>
      </x:c>
      <x:c r="F226" s="16" t="n">
        <x:v>46100.55758346065</x:v>
      </x:c>
      <x:c r="G226" s="15" t="str">
        <x:v>case</x:v>
      </x:c>
      <x:c r="H226" s="15" t="str">
        <x:v>case:2001 2 lloyd s rep 76</x:v>
      </x:c>
      <x:c r="I226" s="15" t="str">
        <x:v>Mamidoil v Okta [2001] 2 Lloyd's Rep 76</x:v>
      </x:c>
      <x:c r="J226" s="15" t="str">
        <x:v>Mamidoil v Okta [2001] 2 Lloyd's Rep 76</x:v>
      </x:c>
      <x:c r="K226" s="15" t="str"/>
      <x:c r="L226" s="15" t="str"/>
      <x:c r="M226" s="15" t="n">
        <x:v>1</x:v>
      </x:c>
      <x:c r="N226" s="15" t="str">
        <x:v>legalFramework.precedentCitations[0]</x:v>
      </x:c>
    </x:row>
    <x:row r="227">
      <x:c r="A227" s="1" t="str">
        <x:v>U0226</x:v>
      </x:c>
      <x:c r="B227" s="1" t="str">
        <x:v>cmmxi2xkc000t04l8hsscxyvl</x:v>
      </x:c>
      <x:c r="C227" s="1" t="str">
        <x:v>ksy-juice-blends-uk-limited-v-citrosuco-gmbh</x:v>
      </x:c>
      <x:c r="D227" s="1" t="str">
        <x:v>real</x:v>
      </x:c>
      <x:c r="E227" s="15" t="str">
        <x:v>KSY Juice Blends UK Limited v Citrosuco GmbH</x:v>
      </x:c>
      <x:c r="F227" s="16" t="n">
        <x:v>46100.55758346065</x:v>
      </x:c>
      <x:c r="G227" s="15" t="str">
        <x:v>case</x:v>
      </x:c>
      <x:c r="H227" s="15" t="str">
        <x:v>case:2009 ukhl 38</x:v>
      </x:c>
      <x:c r="I227" s="15" t="str">
        <x:v>Chartbrook Ltd v Persimmon Homes Ltd [2009] UKHL 38</x:v>
      </x:c>
      <x:c r="J227" s="15" t="str">
        <x:v>Chartbrook Ltd v Persimmon Homes Ltd [2009] UKHL 38</x:v>
      </x:c>
      <x:c r="K227" s="15" t="str">
        <x:v>2d2f67c0-33b8-47de-ade5-124c90fc1a95</x:v>
      </x:c>
      <x:c r="L227" s="15" t="str"/>
      <x:c r="M227" s="15" t="n">
        <x:v>6</x:v>
      </x:c>
      <x:c r="N227" s="15" t="str">
        <x:v>factualFindings.contestedFacts[1].sourceCases[0] | issuesForDetermination.issueMatrix[1].sourceCases[0] | legalFramework.precedentCitations[1] | legalFramework.precedentCitations[1].sourceCases[0] | legalFramework.statutoryProvisions[0].sourceCases[0] | reasoningStructure[1].sourceCases[0]</x:v>
      </x:c>
    </x:row>
    <x:row r="228">
      <x:c r="A228" s="1" t="str">
        <x:v>U0227</x:v>
      </x:c>
      <x:c r="B228" s="1" t="str">
        <x:v>cmmxi2xkc000t04l8hsscxyvl</x:v>
      </x:c>
      <x:c r="C228" s="1" t="str">
        <x:v>ksy-juice-blends-uk-limited-v-citrosuco-gmbh</x:v>
      </x:c>
      <x:c r="D228" s="1" t="str">
        <x:v>real</x:v>
      </x:c>
      <x:c r="E228" s="15" t="str">
        <x:v>KSY Juice Blends UK Limited v Citrosuco GmbH</x:v>
      </x:c>
      <x:c r="F228" s="16" t="n">
        <x:v>46100.55758346065</x:v>
      </x:c>
      <x:c r="G228" s="15" t="str">
        <x:v>case</x:v>
      </x:c>
      <x:c r="H228" s="15" t="str">
        <x:v>case:cornelius v dubai islamic bank pjsc</x:v>
      </x:c>
      <x:c r="I228" s="15" t="str">
        <x:v>Cornelius v Dubai Islamic Bank PJSC</x:v>
      </x:c>
      <x:c r="J228" s="15" t="str"/>
      <x:c r="K228" s="15" t="str">
        <x:v>89eec5b0-6a53-4135-8ab9-17e062417bff</x:v>
      </x:c>
      <x:c r="L228" s="15" t="str"/>
      <x:c r="M228" s="15" t="n">
        <x:v>1</x:v>
      </x:c>
      <x:c r="N228" s="15" t="str">
        <x:v>factualFindings.chronology[1].sourceCases[0]</x:v>
      </x:c>
    </x:row>
    <x:row r="229">
      <x:c r="A229" s="1" t="str">
        <x:v>U0228</x:v>
      </x:c>
      <x:c r="B229" s="1" t="str">
        <x:v>cmmxi2xkc000t04l8hsscxyvl</x:v>
      </x:c>
      <x:c r="C229" s="1" t="str">
        <x:v>ksy-juice-blends-uk-limited-v-citrosuco-gmbh</x:v>
      </x:c>
      <x:c r="D229" s="1" t="str">
        <x:v>real</x:v>
      </x:c>
      <x:c r="E229" s="15" t="str">
        <x:v>KSY Juice Blends UK Limited v Citrosuco GmbH</x:v>
      </x:c>
      <x:c r="F229" s="16" t="n">
        <x:v>46100.55758346065</x:v>
      </x:c>
      <x:c r="G229" s="15" t="str">
        <x:v>case</x:v>
      </x:c>
      <x:c r="H229" s="15" t="str">
        <x:v>case:proforce recruit ltd v the rugby group ltd</x:v>
      </x:c>
      <x:c r="I229" s="15" t="str">
        <x:v>Proforce Recruit Ltd v The Rugby Group Ltd</x:v>
      </x:c>
      <x:c r="J229" s="15" t="str"/>
      <x:c r="K229" s="15" t="str">
        <x:v>66a2adb7-bddd-44b0-98f8-695142e21b39</x:v>
      </x:c>
      <x:c r="L229" s="15" t="str"/>
      <x:c r="M229" s="15" t="n">
        <x:v>3</x:v>
      </x:c>
      <x:c r="N229" s="15" t="str">
        <x:v>factualFindings.contestedFacts[0].sourceCases[0] | issuesForDetermination.issueMatrix[0].sourceCases[0] | reasoningStructure[0].sourceCases[0]</x:v>
      </x:c>
    </x:row>
    <x:row r="230">
      <x:c r="A230" s="1" t="str">
        <x:v>U0229</x:v>
      </x:c>
      <x:c r="B230" s="1" t="str">
        <x:v>cmmxi2xkc000t04l8hsscxyvl</x:v>
      </x:c>
      <x:c r="C230" s="1" t="str">
        <x:v>ksy-juice-blends-uk-limited-v-citrosuco-gmbh</x:v>
      </x:c>
      <x:c r="D230" s="1" t="str">
        <x:v>real</x:v>
      </x:c>
      <x:c r="E230" s="15" t="str">
        <x:v>KSY Juice Blends UK Limited v Citrosuco GmbH</x:v>
      </x:c>
      <x:c r="F230" s="16" t="n">
        <x:v>46100.55758346065</x:v>
      </x:c>
      <x:c r="G230" s="15" t="str">
        <x:v>legislation</x:v>
      </x:c>
      <x:c r="H230" s="15" t="str">
        <x:v>legislation:sale of goods act 1979 8 2</x:v>
      </x:c>
      <x:c r="I230" s="15" t="str">
        <x:v>Sale of Goods Act 1979</x:v>
      </x:c>
      <x:c r="J230" s="15" t="str">
        <x:v>Sale of Goods Act 1979 8(2)</x:v>
      </x:c>
      <x:c r="K230" s="15" t="str"/>
      <x:c r="L230" s="15" t="str">
        <x:v>8(2)</x:v>
      </x:c>
      <x:c r="M230" s="15" t="n">
        <x:v>1</x:v>
      </x:c>
      <x:c r="N230" s="15" t="str">
        <x:v>legalFramework.statutoryProvisions[0]</x:v>
      </x:c>
    </x:row>
    <x:row r="231">
      <x:c r="A231" s="1" t="str">
        <x:v>U0230</x:v>
      </x:c>
      <x:c r="B231" s="1" t="str">
        <x:v>cmmxi2xkc000t04l8hsscxyvl</x:v>
      </x:c>
      <x:c r="C231" s="1" t="str">
        <x:v>ksy-juice-blends-uk-limited-v-citrosuco-gmbh</x:v>
      </x:c>
      <x:c r="D231" s="1" t="str">
        <x:v>real</x:v>
      </x:c>
      <x:c r="E231" s="15" t="str">
        <x:v>KSY Juice Blends UK Limited v Citrosuco GmbH</x:v>
      </x:c>
      <x:c r="F231" s="16" t="n">
        <x:v>46100.55758346065</x:v>
      </x:c>
      <x:c r="G231" s="15" t="str">
        <x:v>legislation</x:v>
      </x:c>
      <x:c r="H231" s="15" t="str">
        <x:v>legislation:senior courts act 1981 s 35a</x:v>
      </x:c>
      <x:c r="I231" s="15" t="str">
        <x:v>Senior Courts Act 1981, s.35A</x:v>
      </x:c>
      <x:c r="J231" s="15" t="str">
        <x:v>Senior Courts Act 1981, s.35A</x:v>
      </x:c>
      <x:c r="K231" s="15" t="str"/>
      <x:c r="L231" s="15" t="str"/>
      <x:c r="M231" s="15" t="n">
        <x:v>1</x:v>
      </x:c>
      <x:c r="N231" s="15" t="str">
        <x:v>decisionAndDisposition.interest.statutoryBasis</x:v>
      </x:c>
    </x:row>
    <x:row r="232">
      <x:c r="A232" s="1" t="str">
        <x:v>U0231</x:v>
      </x:c>
      <x:c r="B232" s="1" t="str">
        <x:v>cmmxktfx8000904johoqmmfkm</x:v>
      </x:c>
      <x:c r="C232" s="1" t="str">
        <x:v>karpasitis-v-hertfordshire-county-council</x:v>
      </x:c>
      <x:c r="D232" s="1" t="str">
        <x:v>real</x:v>
      </x:c>
      <x:c r="E232" s="15" t="str">
        <x:v>Karpasitis v Hertfordshire County Council</x:v>
      </x:c>
      <x:c r="F232" s="16" t="n">
        <x:v>46100.61077880787</x:v>
      </x:c>
      <x:c r="G232" s="15" t="str">
        <x:v>case</x:v>
      </x:c>
      <x:c r="H232" s="15" t="str">
        <x:v>case:2000 1 wlr 377</x:v>
      </x:c>
      <x:c r="I232" s="15" t="str">
        <x:v>Flannery v Halifax Estate Agencies Ltd [2000] 1 WLR 377</x:v>
      </x:c>
      <x:c r="J232" s="15" t="str">
        <x:v>Flannery v Halifax Estate Agencies Ltd [2000] 1 WLR 377</x:v>
      </x:c>
      <x:c r="K232" s="15" t="str"/>
      <x:c r="L232" s="15" t="str"/>
      <x:c r="M232" s="15" t="n">
        <x:v>1</x:v>
      </x:c>
      <x:c r="N232" s="15" t="str">
        <x:v>legalFramework.precedentCitations[1]</x:v>
      </x:c>
    </x:row>
    <x:row r="233">
      <x:c r="A233" s="1" t="str">
        <x:v>U0232</x:v>
      </x:c>
      <x:c r="B233" s="1" t="str">
        <x:v>cmmxktfx8000904johoqmmfkm</x:v>
      </x:c>
      <x:c r="C233" s="1" t="str">
        <x:v>karpasitis-v-hertfordshire-county-council</x:v>
      </x:c>
      <x:c r="D233" s="1" t="str">
        <x:v>real</x:v>
      </x:c>
      <x:c r="E233" s="15" t="str">
        <x:v>Karpasitis v Hertfordshire County Council</x:v>
      </x:c>
      <x:c r="F233" s="16" t="n">
        <x:v>46100.61077880787</x:v>
      </x:c>
      <x:c r="G233" s="15" t="str">
        <x:v>case</x:v>
      </x:c>
      <x:c r="H233" s="15" t="str">
        <x:v>case:2002 ewca civ 605</x:v>
      </x:c>
      <x:c r="I233" s="15" t="str">
        <x:v>English v Emery Reimbold &amp; Strick Ltd [2002] EWCA Civ 605</x:v>
      </x:c>
      <x:c r="J233" s="15" t="str">
        <x:v>English v Emery Reimbold &amp; Strick Ltd [2002] EWCA Civ 605</x:v>
      </x:c>
      <x:c r="K233" s="15" t="str"/>
      <x:c r="L233" s="15" t="str"/>
      <x:c r="M233" s="15" t="n">
        <x:v>1</x:v>
      </x:c>
      <x:c r="N233" s="15" t="str">
        <x:v>legalFramework.precedentCitations[0]</x:v>
      </x:c>
    </x:row>
    <x:row r="234">
      <x:c r="A234" s="1" t="str">
        <x:v>U0233</x:v>
      </x:c>
      <x:c r="B234" s="1" t="str">
        <x:v>cmmxktfx8000904johoqmmfkm</x:v>
      </x:c>
      <x:c r="C234" s="1" t="str">
        <x:v>karpasitis-v-hertfordshire-county-council</x:v>
      </x:c>
      <x:c r="D234" s="1" t="str">
        <x:v>real</x:v>
      </x:c>
      <x:c r="E234" s="15" t="str">
        <x:v>Karpasitis v Hertfordshire County Council</x:v>
      </x:c>
      <x:c r="F234" s="16" t="n">
        <x:v>46100.61077880787</x:v>
      </x:c>
      <x:c r="G234" s="15" t="str">
        <x:v>case</x:v>
      </x:c>
      <x:c r="H234" s="15" t="str">
        <x:v>case:2010 ewca civ 776</x:v>
      </x:c>
      <x:c r="I234" s="15" t="str">
        <x:v>Yetkin v London Borough of Newham</x:v>
      </x:c>
      <x:c r="J234" s="15" t="str">
        <x:v>[2010] EWCA Civ 776</x:v>
      </x:c>
      <x:c r="K234" s="15" t="str">
        <x:v>5a42b4bc-fe8f-47be-9b13-869933b2ddff</x:v>
      </x:c>
      <x:c r="L234" s="15" t="str"/>
      <x:c r="M234" s="15" t="n">
        <x:v>1</x:v>
      </x:c>
      <x:c r="N234" s="15" t="str">
        <x:v>legalFramework.statutoryProvisions[0].sourceCases[0]</x:v>
      </x:c>
    </x:row>
    <x:row r="235">
      <x:c r="A235" s="1" t="str">
        <x:v>U0234</x:v>
      </x:c>
      <x:c r="B235" s="1" t="str">
        <x:v>cmmxktfx8000904johoqmmfkm</x:v>
      </x:c>
      <x:c r="C235" s="1" t="str">
        <x:v>karpasitis-v-hertfordshire-county-council</x:v>
      </x:c>
      <x:c r="D235" s="1" t="str">
        <x:v>real</x:v>
      </x:c>
      <x:c r="E235" s="15" t="str">
        <x:v>Karpasitis v Hertfordshire County Council</x:v>
      </x:c>
      <x:c r="F235" s="16" t="n">
        <x:v>46100.61077880787</x:v>
      </x:c>
      <x:c r="G235" s="15" t="str">
        <x:v>case</x:v>
      </x:c>
      <x:c r="H235" s="15" t="str">
        <x:v>case:2015 ewca civ 1440</x:v>
      </x:c>
      <x:c r="I235" s="15" t="str">
        <x:v>Griffiths v Gwynedd County Council</x:v>
      </x:c>
      <x:c r="J235" s="15" t="str">
        <x:v>[2015] EWCA Civ 1440</x:v>
      </x:c>
      <x:c r="K235" s="15" t="str">
        <x:v>70c75405-8cba-40e2-92ff-8302ea4f6789</x:v>
      </x:c>
      <x:c r="L235" s="15" t="str"/>
      <x:c r="M235" s="15" t="n">
        <x:v>3</x:v>
      </x:c>
      <x:c r="N235" s="15" t="str">
        <x:v>factualFindings.contestedFacts[1].sourceCases[0] | issuesForDetermination.issueMatrix[1].sourceCases[0] | reasoningStructure[1].sourceCases[0]</x:v>
      </x:c>
    </x:row>
    <x:row r="236">
      <x:c r="A236" s="1" t="str">
        <x:v>U0235</x:v>
      </x:c>
      <x:c r="B236" s="1" t="str">
        <x:v>cmmxktfx8000904johoqmmfkm</x:v>
      </x:c>
      <x:c r="C236" s="1" t="str">
        <x:v>karpasitis-v-hertfordshire-county-council</x:v>
      </x:c>
      <x:c r="D236" s="1" t="str">
        <x:v>real</x:v>
      </x:c>
      <x:c r="E236" s="15" t="str">
        <x:v>Karpasitis v Hertfordshire County Council</x:v>
      </x:c>
      <x:c r="F236" s="16" t="n">
        <x:v>46100.61077880787</x:v>
      </x:c>
      <x:c r="G236" s="15" t="str">
        <x:v>case</x:v>
      </x:c>
      <x:c r="H236" s="15" t="str">
        <x:v>case:2016 ewhc 1767 qb</x:v>
      </x:c>
      <x:c r="I236" s="15" t="str">
        <x:v>King Lifting Ltd v Oxfordshire County Council</x:v>
      </x:c>
      <x:c r="J236" s="15" t="str">
        <x:v>[2016] EWHC 1767 (QB)</x:v>
      </x:c>
      <x:c r="K236" s="15" t="str">
        <x:v>52d20bb9-6964-44a6-9c32-d191ef76297c</x:v>
      </x:c>
      <x:c r="L236" s="15" t="str"/>
      <x:c r="M236" s="15" t="n">
        <x:v>1</x:v>
      </x:c>
      <x:c r="N236" s="15" t="str">
        <x:v>factualFindings.chronology[0].sourceCases[0]</x:v>
      </x:c>
    </x:row>
    <x:row r="237">
      <x:c r="A237" s="1" t="str">
        <x:v>U0236</x:v>
      </x:c>
      <x:c r="B237" s="1" t="str">
        <x:v>cmmxktfx8000904johoqmmfkm</x:v>
      </x:c>
      <x:c r="C237" s="1" t="str">
        <x:v>karpasitis-v-hertfordshire-county-council</x:v>
      </x:c>
      <x:c r="D237" s="1" t="str">
        <x:v>real</x:v>
      </x:c>
      <x:c r="E237" s="15" t="str">
        <x:v>Karpasitis v Hertfordshire County Council</x:v>
      </x:c>
      <x:c r="F237" s="16" t="n">
        <x:v>46100.61077880787</x:v>
      </x:c>
      <x:c r="G237" s="15" t="str">
        <x:v>case</x:v>
      </x:c>
      <x:c r="H237" s="15" t="str">
        <x:v>case:2022 ewca civ 18</x:v>
      </x:c>
      <x:c r="I237" s="15" t="str">
        <x:v>Brown &amp; Ors v South West Lakes Trust &amp; Ors</x:v>
      </x:c>
      <x:c r="J237" s="15" t="str">
        <x:v>[2022] EWCA Civ 18</x:v>
      </x:c>
      <x:c r="K237" s="15" t="str">
        <x:v>70d43223-0ec6-458b-b052-bdc295e0d6ec</x:v>
      </x:c>
      <x:c r="L237" s="15" t="str"/>
      <x:c r="M237" s="15" t="n">
        <x:v>2</x:v>
      </x:c>
      <x:c r="N237" s="15" t="str">
        <x:v>factualFindings.chronology[1].sourceCases[0] | legalFramework.statutoryProvisions[3].sourceCases[0]</x:v>
      </x:c>
    </x:row>
    <x:row r="238">
      <x:c r="A238" s="1" t="str">
        <x:v>U0237</x:v>
      </x:c>
      <x:c r="B238" s="1" t="str">
        <x:v>cmmxktfx8000904johoqmmfkm</x:v>
      </x:c>
      <x:c r="C238" s="1" t="str">
        <x:v>karpasitis-v-hertfordshire-county-council</x:v>
      </x:c>
      <x:c r="D238" s="1" t="str">
        <x:v>real</x:v>
      </x:c>
      <x:c r="E238" s="15" t="str">
        <x:v>Karpasitis v Hertfordshire County Council</x:v>
      </x:c>
      <x:c r="F238" s="16" t="n">
        <x:v>46100.61077880787</x:v>
      </x:c>
      <x:c r="G238" s="15" t="str">
        <x:v>case</x:v>
      </x:c>
      <x:c r="H238" s="15" t="str">
        <x:v>case:gorringe v calderdale metropolitan borough council</x:v>
      </x:c>
      <x:c r="I238" s="15" t="str">
        <x:v>Gorringe v. Calderdale Metropolitan Borough Council</x:v>
      </x:c>
      <x:c r="J238" s="15" t="str">
        <x:v>N/A</x:v>
      </x:c>
      <x:c r="K238" s="15" t="str">
        <x:v>bc30491e-9ae6-48da-90d0-71d8a8069b22</x:v>
      </x:c>
      <x:c r="L238" s="15" t="str"/>
      <x:c r="M238" s="15" t="n">
        <x:v>3</x:v>
      </x:c>
      <x:c r="N238" s="15" t="str">
        <x:v>factualFindings.contestedFacts[0].sourceCases[0] | issuesForDetermination.issueMatrix[0].sourceCases[0] | reasoningStructure[0].sourceCases[0]</x:v>
      </x:c>
    </x:row>
    <x:row r="239">
      <x:c r="A239" s="1" t="str">
        <x:v>U0238</x:v>
      </x:c>
      <x:c r="B239" s="1" t="str">
        <x:v>cmmxktfx8000904johoqmmfkm</x:v>
      </x:c>
      <x:c r="C239" s="1" t="str">
        <x:v>karpasitis-v-hertfordshire-county-council</x:v>
      </x:c>
      <x:c r="D239" s="1" t="str">
        <x:v>real</x:v>
      </x:c>
      <x:c r="E239" s="15" t="str">
        <x:v>Karpasitis v Hertfordshire County Council</x:v>
      </x:c>
      <x:c r="F239" s="16" t="n">
        <x:v>46100.61077880787</x:v>
      </x:c>
      <x:c r="G239" s="15" t="str">
        <x:v>legislation</x:v>
      </x:c>
      <x:c r="H239" s="15" t="str">
        <x:v>legislation:civil procedure rules part 52</x:v>
      </x:c>
      <x:c r="I239" s="15" t="str">
        <x:v>Civil Procedure Rules</x:v>
      </x:c>
      <x:c r="J239" s="15" t="str">
        <x:v>Civil Procedure Rules Part 52</x:v>
      </x:c>
      <x:c r="K239" s="15" t="str"/>
      <x:c r="L239" s="15" t="str">
        <x:v>Part 52</x:v>
      </x:c>
      <x:c r="M239" s="15" t="n">
        <x:v>1</x:v>
      </x:c>
      <x:c r="N239" s="15" t="str">
        <x:v>legalFramework.statutoryProvisions[2]</x:v>
      </x:c>
    </x:row>
    <x:row r="240">
      <x:c r="A240" s="1" t="str">
        <x:v>U0239</x:v>
      </x:c>
      <x:c r="B240" s="1" t="str">
        <x:v>cmmxktfx8000904johoqmmfkm</x:v>
      </x:c>
      <x:c r="C240" s="1" t="str">
        <x:v>karpasitis-v-hertfordshire-county-council</x:v>
      </x:c>
      <x:c r="D240" s="1" t="str">
        <x:v>real</x:v>
      </x:c>
      <x:c r="E240" s="15" t="str">
        <x:v>Karpasitis v Hertfordshire County Council</x:v>
      </x:c>
      <x:c r="F240" s="16" t="n">
        <x:v>46100.61077880787</x:v>
      </x:c>
      <x:c r="G240" s="15" t="str">
        <x:v>legislation</x:v>
      </x:c>
      <x:c r="H240" s="15" t="str">
        <x:v>legislation:highways act 1980 s 41</x:v>
      </x:c>
      <x:c r="I240" s="15" t="str">
        <x:v>Highways Act 1980</x:v>
      </x:c>
      <x:c r="J240" s="15" t="str">
        <x:v>Highways Act 1980 Section 41</x:v>
      </x:c>
      <x:c r="K240" s="15" t="str"/>
      <x:c r="L240" s="15" t="str">
        <x:v>Section 41</x:v>
      </x:c>
      <x:c r="M240" s="15" t="n">
        <x:v>2</x:v>
      </x:c>
      <x:c r="N240" s="15" t="str">
        <x:v>legalFramework.legalTestSummaries[1].sourceAuthority | legalFramework.statutoryProvisions[3]</x:v>
      </x:c>
    </x:row>
    <x:row r="241">
      <x:c r="A241" s="1" t="str">
        <x:v>U0240</x:v>
      </x:c>
      <x:c r="B241" s="1" t="str">
        <x:v>cmmxktfx8000904johoqmmfkm</x:v>
      </x:c>
      <x:c r="C241" s="1" t="str">
        <x:v>karpasitis-v-hertfordshire-county-council</x:v>
      </x:c>
      <x:c r="D241" s="1" t="str">
        <x:v>real</x:v>
      </x:c>
      <x:c r="E241" s="15" t="str">
        <x:v>Karpasitis v Hertfordshire County Council</x:v>
      </x:c>
      <x:c r="F241" s="16" t="n">
        <x:v>46100.61077880787</x:v>
      </x:c>
      <x:c r="G241" s="15" t="str">
        <x:v>legislation</x:v>
      </x:c>
      <x:c r="H241" s="15" t="str">
        <x:v>legislation:highways act 1980 s 58</x:v>
      </x:c>
      <x:c r="I241" s="15" t="str">
        <x:v>Highways Act 1980</x:v>
      </x:c>
      <x:c r="J241" s="15" t="str">
        <x:v>Highways Act 1980 Section 58</x:v>
      </x:c>
      <x:c r="K241" s="15" t="str"/>
      <x:c r="L241" s="15" t="str">
        <x:v>Section 58</x:v>
      </x:c>
      <x:c r="M241" s="15" t="n">
        <x:v>2</x:v>
      </x:c>
      <x:c r="N241" s="15" t="str">
        <x:v>legalFramework.legalTestSummaries[0].sourceAuthority | legalFramework.statutoryProvisions[0]</x:v>
      </x:c>
    </x:row>
    <x:row r="242">
      <x:c r="A242" s="1" t="str">
        <x:v>U0241</x:v>
      </x:c>
      <x:c r="B242" s="1" t="str">
        <x:v>cmmxktfx8000904johoqmmfkm</x:v>
      </x:c>
      <x:c r="C242" s="1" t="str">
        <x:v>karpasitis-v-hertfordshire-county-council</x:v>
      </x:c>
      <x:c r="D242" s="1" t="str">
        <x:v>real</x:v>
      </x:c>
      <x:c r="E242" s="15" t="str">
        <x:v>Karpasitis v Hertfordshire County Council</x:v>
      </x:c>
      <x:c r="F242" s="16" t="n">
        <x:v>46100.61077880787</x:v>
      </x:c>
      <x:c r="G242" s="15" t="str">
        <x:v>legislation</x:v>
      </x:c>
      <x:c r="H242" s="15" t="str">
        <x:v>legislation:senior courts act 1981 s 35a</x:v>
      </x:c>
      <x:c r="I242" s="15" t="str">
        <x:v>Senior Courts Act 1981</x:v>
      </x:c>
      <x:c r="J242" s="15" t="str">
        <x:v>Senior Courts Act 1981 s.35A</x:v>
      </x:c>
      <x:c r="K242" s="15" t="str"/>
      <x:c r="L242" s="15" t="str">
        <x:v>s.35A</x:v>
      </x:c>
      <x:c r="M242" s="15" t="n">
        <x:v>2</x:v>
      </x:c>
      <x:c r="N242" s="15" t="str">
        <x:v>decisionAndDisposition.interest.statutoryBasis | legalFramework.statutoryProvisions[1]</x:v>
      </x:c>
    </x:row>
    <x:row r="243">
      <x:c r="A243" s="1" t="str">
        <x:v>U0242</x:v>
      </x:c>
      <x:c r="B243" s="1" t="str">
        <x:v>cmmxpdot1000h04i8q3aleh7a</x:v>
      </x:c>
      <x:c r="C243" s="1" t="str">
        <x:v>karpasitis-v-hertfordshire-county-council</x:v>
      </x:c>
      <x:c r="D243" s="1" t="str">
        <x:v>real</x:v>
      </x:c>
      <x:c r="E243" s="15" t="str">
        <x:v>Karpasitis v Hertfordshire County Council</x:v>
      </x:c>
      <x:c r="F243" s="16" t="n">
        <x:v>46100.69947208333</x:v>
      </x:c>
      <x:c r="G243" s="15" t="str">
        <x:v>case</x:v>
      </x:c>
      <x:c r="H243" s="15" t="str">
        <x:v>case:2002 ewca civ 605</x:v>
      </x:c>
      <x:c r="I243" s="15" t="str">
        <x:v>English v Emery Reimbold &amp; Strick Ltd [2002] EWCA Civ 605</x:v>
      </x:c>
      <x:c r="J243" s="15" t="str">
        <x:v>English v Emery Reimbold &amp; Strick Ltd [2002] EWCA Civ 605</x:v>
      </x:c>
      <x:c r="K243" s="15" t="str"/>
      <x:c r="L243" s="15" t="str"/>
      <x:c r="M243" s="15" t="n">
        <x:v>1</x:v>
      </x:c>
      <x:c r="N243" s="15" t="str">
        <x:v>legalFramework.precedentCitations[0]</x:v>
      </x:c>
    </x:row>
    <x:row r="244">
      <x:c r="A244" s="1" t="str">
        <x:v>U0243</x:v>
      </x:c>
      <x:c r="B244" s="1" t="str">
        <x:v>cmmxpdot1000h04i8q3aleh7a</x:v>
      </x:c>
      <x:c r="C244" s="1" t="str">
        <x:v>karpasitis-v-hertfordshire-county-council</x:v>
      </x:c>
      <x:c r="D244" s="1" t="str">
        <x:v>real</x:v>
      </x:c>
      <x:c r="E244" s="15" t="str">
        <x:v>Karpasitis v Hertfordshire County Council</x:v>
      </x:c>
      <x:c r="F244" s="16" t="n">
        <x:v>46100.69947208333</x:v>
      </x:c>
      <x:c r="G244" s="15" t="str">
        <x:v>case</x:v>
      </x:c>
      <x:c r="H244" s="15" t="str">
        <x:v>case:2016 ewhc 1767 qb</x:v>
      </x:c>
      <x:c r="I244" s="15" t="str">
        <x:v>King Lifting Ltd v Oxfordshire County Council</x:v>
      </x:c>
      <x:c r="J244" s="15" t="str">
        <x:v>[2016] EWHC 1767 (QB)</x:v>
      </x:c>
      <x:c r="K244" s="15" t="str">
        <x:v>52d20bb9-6964-44a6-9c32-d191ef76297c</x:v>
      </x:c>
      <x:c r="L244" s="15" t="str"/>
      <x:c r="M244" s="15" t="n">
        <x:v>3</x:v>
      </x:c>
      <x:c r="N244" s="15" t="str">
        <x:v>factualFindings.contestedFacts[0].sourceCases[0] | issuesForDetermination.issueMatrix[0].sourceCases[0] | reasoningStructure[0].sourceCases[0]</x:v>
      </x:c>
    </x:row>
    <x:row r="245">
      <x:c r="A245" s="1" t="str">
        <x:v>U0244</x:v>
      </x:c>
      <x:c r="B245" s="1" t="str">
        <x:v>cmmxpdot1000h04i8q3aleh7a</x:v>
      </x:c>
      <x:c r="C245" s="1" t="str">
        <x:v>karpasitis-v-hertfordshire-county-council</x:v>
      </x:c>
      <x:c r="D245" s="1" t="str">
        <x:v>real</x:v>
      </x:c>
      <x:c r="E245" s="15" t="str">
        <x:v>Karpasitis v Hertfordshire County Council</x:v>
      </x:c>
      <x:c r="F245" s="16" t="n">
        <x:v>46100.69947208333</x:v>
      </x:c>
      <x:c r="G245" s="15" t="str">
        <x:v>case</x:v>
      </x:c>
      <x:c r="H245" s="15" t="str">
        <x:v>case:gorringe v calderdale metropolitan borough council</x:v>
      </x:c>
      <x:c r="I245" s="15" t="str">
        <x:v>Gorringe v. Calderdale Metropolitan Borough Council</x:v>
      </x:c>
      <x:c r="J245" s="15" t="str">
        <x:v>N/A</x:v>
      </x:c>
      <x:c r="K245" s="15" t="str">
        <x:v>bc30491e-9ae6-48da-90d0-71d8a8069b22</x:v>
      </x:c>
      <x:c r="L245" s="15" t="str"/>
      <x:c r="M245" s="15" t="n">
        <x:v>3</x:v>
      </x:c>
      <x:c r="N245" s="15" t="str">
        <x:v>factualFindings.contestedFacts[1].sourceCases[0] | issuesForDetermination.issueMatrix[1].sourceCases[0] | reasoningStructure[1].sourceCases[0]</x:v>
      </x:c>
    </x:row>
    <x:row r="246">
      <x:c r="A246" s="1" t="str">
        <x:v>U0245</x:v>
      </x:c>
      <x:c r="B246" s="1" t="str">
        <x:v>cmmxpdot1000h04i8q3aleh7a</x:v>
      </x:c>
      <x:c r="C246" s="1" t="str">
        <x:v>karpasitis-v-hertfordshire-county-council</x:v>
      </x:c>
      <x:c r="D246" s="1" t="str">
        <x:v>real</x:v>
      </x:c>
      <x:c r="E246" s="15" t="str">
        <x:v>Karpasitis v Hertfordshire County Council</x:v>
      </x:c>
      <x:c r="F246" s="16" t="n">
        <x:v>46100.69947208333</x:v>
      </x:c>
      <x:c r="G246" s="15" t="str">
        <x:v>legislation</x:v>
      </x:c>
      <x:c r="H246" s="15" t="str">
        <x:v>legislation:highways act 1980 41</x:v>
      </x:c>
      <x:c r="I246" s="15" t="str">
        <x:v>Highways Act 1980</x:v>
      </x:c>
      <x:c r="J246" s="15" t="str">
        <x:v>Highways Act 1980 41</x:v>
      </x:c>
      <x:c r="K246" s="15" t="str"/>
      <x:c r="L246" s="15" t="str">
        <x:v>41</x:v>
      </x:c>
      <x:c r="M246" s="15" t="n">
        <x:v>1</x:v>
      </x:c>
      <x:c r="N246" s="15" t="str">
        <x:v>legalFramework.statutoryProvisions[1]</x:v>
      </x:c>
    </x:row>
    <x:row r="247">
      <x:c r="A247" s="1" t="str">
        <x:v>U0246</x:v>
      </x:c>
      <x:c r="B247" s="1" t="str">
        <x:v>cmmxpdot1000h04i8q3aleh7a</x:v>
      </x:c>
      <x:c r="C247" s="1" t="str">
        <x:v>karpasitis-v-hertfordshire-county-council</x:v>
      </x:c>
      <x:c r="D247" s="1" t="str">
        <x:v>real</x:v>
      </x:c>
      <x:c r="E247" s="15" t="str">
        <x:v>Karpasitis v Hertfordshire County Council</x:v>
      </x:c>
      <x:c r="F247" s="16" t="n">
        <x:v>46100.69947208333</x:v>
      </x:c>
      <x:c r="G247" s="15" t="str">
        <x:v>legislation</x:v>
      </x:c>
      <x:c r="H247" s="15" t="str">
        <x:v>legislation:highways act 1980 58</x:v>
      </x:c>
      <x:c r="I247" s="15" t="str">
        <x:v>Highways Act 1980</x:v>
      </x:c>
      <x:c r="J247" s="15" t="str">
        <x:v>Highways Act 1980 58</x:v>
      </x:c>
      <x:c r="K247" s="15" t="str"/>
      <x:c r="L247" s="15" t="str">
        <x:v>58</x:v>
      </x:c>
      <x:c r="M247" s="15" t="n">
        <x:v>1</x:v>
      </x:c>
      <x:c r="N247" s="15" t="str">
        <x:v>legalFramework.statutoryProvisions[0]</x:v>
      </x:c>
    </x:row>
    <x:row r="248">
      <x:c r="A248" s="1" t="str">
        <x:v>U0247</x:v>
      </x:c>
      <x:c r="B248" s="1" t="str">
        <x:v>cmmxpdot1000h04i8q3aleh7a</x:v>
      </x:c>
      <x:c r="C248" s="1" t="str">
        <x:v>karpasitis-v-hertfordshire-county-council</x:v>
      </x:c>
      <x:c r="D248" s="1" t="str">
        <x:v>real</x:v>
      </x:c>
      <x:c r="E248" s="15" t="str">
        <x:v>Karpasitis v Hertfordshire County Council</x:v>
      </x:c>
      <x:c r="F248" s="16" t="n">
        <x:v>46100.69947208333</x:v>
      </x:c>
      <x:c r="G248" s="15" t="str">
        <x:v>legislation</x:v>
      </x:c>
      <x:c r="H248" s="15" t="str">
        <x:v>legislation:senior courts act 1981 s 35a</x:v>
      </x:c>
      <x:c r="I248" s="15" t="str">
        <x:v>Senior Courts Act 1981, s.35A</x:v>
      </x:c>
      <x:c r="J248" s="15" t="str">
        <x:v>Senior Courts Act 1981, s.35A</x:v>
      </x:c>
      <x:c r="K248" s="15" t="str"/>
      <x:c r="L248" s="15" t="str"/>
      <x:c r="M248" s="15" t="n">
        <x:v>1</x:v>
      </x:c>
      <x:c r="N248" s="15" t="str">
        <x:v>decisionAndDisposition.interest.statutoryBasis</x:v>
      </x:c>
    </x:row>
    <x:row r="249">
      <x:c r="A249" s="1" t="str">
        <x:v>U0248</x:v>
      </x:c>
      <x:c r="B249" s="1" t="str">
        <x:v>cmmxsk5kn000h04ldd570wr09</x:v>
      </x:c>
      <x:c r="C249" s="1" t="str">
        <x:v>greenfields--iow--limited-v-isle-of-wight-council---westridge-village-limited</x:v>
      </x:c>
      <x:c r="D249" s="1" t="str">
        <x:v>real</x:v>
      </x:c>
      <x:c r="E249" s="15" t="str">
        <x:v>Greenfields (IOW) Limited v Isle of Wight Council &amp; Westridge Village Limited</x:v>
      </x:c>
      <x:c r="F249" s="16" t="n">
        <x:v>46100.76128357639</x:v>
      </x:c>
      <x:c r="G249" s="15" t="str">
        <x:v>case</x:v>
      </x:c>
      <x:c r="H249" s="15" t="str">
        <x:v>case:2002 1 wlr 1593</x:v>
      </x:c>
      <x:c r="I249" s="15" t="str">
        <x:v>R (Burkett) v Hammersmith LBC [2002] 1 WLR 1593</x:v>
      </x:c>
      <x:c r="J249" s="15" t="str">
        <x:v>R (Burkett) v Hammersmith LBC [2002] 1 WLR 1593</x:v>
      </x:c>
      <x:c r="K249" s="15" t="str"/>
      <x:c r="L249" s="15" t="str"/>
      <x:c r="M249" s="15" t="n">
        <x:v>1</x:v>
      </x:c>
      <x:c r="N249" s="15" t="str">
        <x:v>legalFramework.precedentCitations[0]</x:v>
      </x:c>
    </x:row>
    <x:row r="250">
      <x:c r="A250" s="1" t="str">
        <x:v>U0249</x:v>
      </x:c>
      <x:c r="B250" s="1" t="str">
        <x:v>cmmxsk5kn000h04ldd570wr09</x:v>
      </x:c>
      <x:c r="C250" s="1" t="str">
        <x:v>greenfields--iow--limited-v-isle-of-wight-council---westridge-village-limited</x:v>
      </x:c>
      <x:c r="D250" s="1" t="str">
        <x:v>real</x:v>
      </x:c>
      <x:c r="E250" s="15" t="str">
        <x:v>Greenfields (IOW) Limited v Isle of Wight Council &amp; Westridge Village Limited</x:v>
      </x:c>
      <x:c r="F250" s="16" t="n">
        <x:v>46100.76128357639</x:v>
      </x:c>
      <x:c r="G250" s="15" t="str">
        <x:v>case</x:v>
      </x:c>
      <x:c r="H250" s="15" t="str">
        <x:v>case:2004 ewhc 779 admin</x:v>
      </x:c>
      <x:c r="I250" s="15" t="str">
        <x:v>Georgiou v London Borough of Enfield &amp; Ors</x:v>
      </x:c>
      <x:c r="J250" s="15" t="str">
        <x:v>[2004] EWHC 779 (Admin)</x:v>
      </x:c>
      <x:c r="K250" s="15" t="str">
        <x:v>f36914c7-32ec-4f23-9909-c4ece2be9d33</x:v>
      </x:c>
      <x:c r="L250" s="15" t="str"/>
      <x:c r="M250" s="15" t="n">
        <x:v>2</x:v>
      </x:c>
      <x:c r="N250" s="15" t="str">
        <x:v>factualFindings.contestedFacts[1].sourceCases[0] | issuesForDetermination.issueMatrix[1].sourceCases[0]</x:v>
      </x:c>
    </x:row>
    <x:row r="251">
      <x:c r="A251" s="1" t="str">
        <x:v>U0250</x:v>
      </x:c>
      <x:c r="B251" s="1" t="str">
        <x:v>cmmxsk5kn000h04ldd570wr09</x:v>
      </x:c>
      <x:c r="C251" s="1" t="str">
        <x:v>greenfields--iow--limited-v-isle-of-wight-council---westridge-village-limited</x:v>
      </x:c>
      <x:c r="D251" s="1" t="str">
        <x:v>real</x:v>
      </x:c>
      <x:c r="E251" s="15" t="str">
        <x:v>Greenfields (IOW) Limited v Isle of Wight Council &amp; Westridge Village Limited</x:v>
      </x:c>
      <x:c r="F251" s="16" t="n">
        <x:v>46100.76128357639</x:v>
      </x:c>
      <x:c r="G251" s="15" t="str">
        <x:v>case</x:v>
      </x:c>
      <x:c r="H251" s="15" t="str">
        <x:v>case:2014 ewca civ 1555</x:v>
      </x:c>
      <x:c r="I251" s="15" t="str">
        <x:v>Vicente &amp; Anor v Secretary of State for Communities and Local Government &amp; Anor</x:v>
      </x:c>
      <x:c r="J251" s="15" t="str">
        <x:v>[2014] EWCA Civ 1555</x:v>
      </x:c>
      <x:c r="K251" s="15" t="str">
        <x:v>3ff34419-ffbc-40f9-a087-a1cb1371d0e1</x:v>
      </x:c>
      <x:c r="L251" s="15" t="str"/>
      <x:c r="M251" s="15" t="n">
        <x:v>2</x:v>
      </x:c>
      <x:c r="N251" s="15" t="str">
        <x:v>factualFindings.contestedFacts[0].sourceCases[0] | issuesForDetermination.issueMatrix[0].sourceCases[0]</x:v>
      </x:c>
    </x:row>
    <x:row r="252">
      <x:c r="A252" s="1" t="str">
        <x:v>U0251</x:v>
      </x:c>
      <x:c r="B252" s="1" t="str">
        <x:v>cmmxsk5kn000h04ldd570wr09</x:v>
      </x:c>
      <x:c r="C252" s="1" t="str">
        <x:v>greenfields--iow--limited-v-isle-of-wight-council---westridge-village-limited</x:v>
      </x:c>
      <x:c r="D252" s="1" t="str">
        <x:v>real</x:v>
      </x:c>
      <x:c r="E252" s="15" t="str">
        <x:v>Greenfields (IOW) Limited v Isle of Wight Council &amp; Westridge Village Limited</x:v>
      </x:c>
      <x:c r="F252" s="16" t="n">
        <x:v>46100.76128357639</x:v>
      </x:c>
      <x:c r="G252" s="15" t="str">
        <x:v>legislation</x:v>
      </x:c>
      <x:c r="H252" s="15" t="str">
        <x:v>legislation:senior courts act 1981</x:v>
      </x:c>
      <x:c r="I252" s="15" t="str">
        <x:v>Senior Courts Act 1981</x:v>
      </x:c>
      <x:c r="J252" s="15" t="str">
        <x:v>Senior Courts Act 1981</x:v>
      </x:c>
      <x:c r="K252" s="15" t="str"/>
      <x:c r="L252" s="15" t="str"/>
      <x:c r="M252" s="15" t="n">
        <x:v>1</x:v>
      </x:c>
      <x:c r="N252" s="15" t="str">
        <x:v>decisionAndDisposition.interest.statutoryBasis</x:v>
      </x:c>
    </x:row>
    <x:row r="253">
      <x:c r="A253" s="1" t="str">
        <x:v>U0252</x:v>
      </x:c>
      <x:c r="B253" s="1" t="str">
        <x:v>cmmxsk5kn000h04ldd570wr09</x:v>
      </x:c>
      <x:c r="C253" s="1" t="str">
        <x:v>greenfields--iow--limited-v-isle-of-wight-council---westridge-village-limited</x:v>
      </x:c>
      <x:c r="D253" s="1" t="str">
        <x:v>real</x:v>
      </x:c>
      <x:c r="E253" s="15" t="str">
        <x:v>Greenfields (IOW) Limited v Isle of Wight Council &amp; Westridge Village Limited</x:v>
      </x:c>
      <x:c r="F253" s="16" t="n">
        <x:v>46100.76128357639</x:v>
      </x:c>
      <x:c r="G253" s="15" t="str">
        <x:v>legislation</x:v>
      </x:c>
      <x:c r="H253" s="15" t="str">
        <x:v>legislation:town and country planning development management procedure order 2015 article 40 3 b</x:v>
      </x:c>
      <x:c r="I253" s="15" t="str">
        <x:v>Town and Country Planning (Development Management Procedure) Order 2015</x:v>
      </x:c>
      <x:c r="J253" s="15" t="str">
        <x:v>Town and Country Planning (Development Management Procedure) Order 2015 Article 40(3)(b)</x:v>
      </x:c>
      <x:c r="K253" s="15" t="str"/>
      <x:c r="L253" s="15" t="str">
        <x:v>Article 40(3)(b)</x:v>
      </x:c>
      <x:c r="M253" s="15" t="n">
        <x:v>1</x:v>
      </x:c>
      <x:c r="N253" s="15" t="str">
        <x:v>legalFramework.statutoryProvisions[0]</x:v>
      </x:c>
    </x:row>
    <x:row r="254">
      <x:c r="A254" s="1" t="str">
        <x:v>U0253</x:v>
      </x:c>
      <x:c r="B254" s="1" t="str">
        <x:v>cmmxtzd4o000904jrjc2hdwrx</x:v>
      </x:c>
      <x:c r="C254" s="1" t="str">
        <x:v>greenfields--iow--limited-v-isle-of-wight-council---westridge-village-limited</x:v>
      </x:c>
      <x:c r="D254" s="1" t="str">
        <x:v>real</x:v>
      </x:c>
      <x:c r="E254" s="15" t="str">
        <x:v>Greenfields (IOW) Limited v Isle of Wight Council &amp; Westridge Village Limited</x:v>
      </x:c>
      <x:c r="F254" s="16" t="n">
        <x:v>46100.78893692129</x:v>
      </x:c>
      <x:c r="G254" s="15" t="str">
        <x:v>case</x:v>
      </x:c>
      <x:c r="H254" s="15" t="str">
        <x:v>case:2002 ukhl 23</x:v>
      </x:c>
      <x:c r="I254" s="15" t="str">
        <x:v>Regina v. London Borough of Hammersmith and Fulham (Burkett) [2002] UKHL 23</x:v>
      </x:c>
      <x:c r="J254" s="15" t="str">
        <x:v>Regina v. London Borough of Hammersmith and Fulham (Burkett) [2002] UKHL 23</x:v>
      </x:c>
      <x:c r="K254" s="15" t="str">
        <x:v>379d4f20-62f5-403b-a082-fa36b82fe1c1</x:v>
      </x:c>
      <x:c r="L254" s="15" t="str"/>
      <x:c r="M254" s="15" t="n">
        <x:v>5</x:v>
      </x:c>
      <x:c r="N254" s="15" t="str">
        <x:v>factualFindings.contestedFacts[0].sourceCases[0] | issuesForDetermination.issueMatrix[0].sourceCases[0] | legalFramework.legalTestSummaries[0].sourceAuthority | legalFramework.precedentCitations[0] | reasoningStructure[0].sourceCases[0]</x:v>
      </x:c>
    </x:row>
    <x:row r="255">
      <x:c r="A255" s="1" t="str">
        <x:v>U0254</x:v>
      </x:c>
      <x:c r="B255" s="1" t="str">
        <x:v>cmmxtzd4o000904jrjc2hdwrx</x:v>
      </x:c>
      <x:c r="C255" s="1" t="str">
        <x:v>greenfields--iow--limited-v-isle-of-wight-council---westridge-village-limited</x:v>
      </x:c>
      <x:c r="D255" s="1" t="str">
        <x:v>real</x:v>
      </x:c>
      <x:c r="E255" s="15" t="str">
        <x:v>Greenfields (IOW) Limited v Isle of Wight Council &amp; Westridge Village Limited</x:v>
      </x:c>
      <x:c r="F255" s="16" t="n">
        <x:v>46100.78893692129</x:v>
      </x:c>
      <x:c r="G255" s="15" t="str">
        <x:v>case</x:v>
      </x:c>
      <x:c r="H255" s="15" t="str">
        <x:v>case:2023 ewhc 1995 admin</x:v>
      </x:c>
      <x:c r="I255" s="15" t="str">
        <x:v>R (Worcestershire Acute Hospitals NHS Trust) v Malvern Hills District Council [2023] EWHC 1995 (Admin)</x:v>
      </x:c>
      <x:c r="J255" s="15" t="str">
        <x:v>R (Worcestershire Acute Hospitals NHS Trust) v Malvern Hills District Council [2023] EWHC 1995 (Admin)</x:v>
      </x:c>
      <x:c r="K255" s="15" t="str"/>
      <x:c r="L255" s="15" t="str"/>
      <x:c r="M255" s="15" t="n">
        <x:v>2</x:v>
      </x:c>
      <x:c r="N255" s="15" t="str">
        <x:v>legalFramework.legalTestSummaries[1].sourceAuthority | legalFramework.precedentCitations[1]</x:v>
      </x:c>
    </x:row>
    <x:row r="256">
      <x:c r="A256" s="1" t="str">
        <x:v>U0255</x:v>
      </x:c>
      <x:c r="B256" s="1" t="str">
        <x:v>cmmxtzd4o000904jrjc2hdwrx</x:v>
      </x:c>
      <x:c r="C256" s="1" t="str">
        <x:v>greenfields--iow--limited-v-isle-of-wight-council---westridge-village-limited</x:v>
      </x:c>
      <x:c r="D256" s="1" t="str">
        <x:v>real</x:v>
      </x:c>
      <x:c r="E256" s="15" t="str">
        <x:v>Greenfields (IOW) Limited v Isle of Wight Council &amp; Westridge Village Limited</x:v>
      </x:c>
      <x:c r="F256" s="16" t="n">
        <x:v>46100.78893692129</x:v>
      </x:c>
      <x:c r="G256" s="15" t="str">
        <x:v>case</x:v>
      </x:c>
      <x:c r="H256" s="15" t="str">
        <x:v>case:cherkley campaign ltd r on the application of v mole valley district council &amp; anor</x:v>
      </x:c>
      <x:c r="I256" s="15" t="str">
        <x:v>Cherkley Campaign Ltd, R (on the application of) v Mole Valley District Council &amp; Anor</x:v>
      </x:c>
      <x:c r="J256" s="15" t="str">
        <x:v>N/A</x:v>
      </x:c>
      <x:c r="K256" s="15" t="str">
        <x:v>f42492fd-8832-4f70-b315-d7597c15a5ef</x:v>
      </x:c>
      <x:c r="L256" s="15" t="str"/>
      <x:c r="M256" s="15" t="n">
        <x:v>4</x:v>
      </x:c>
      <x:c r="N256" s="15" t="str">
        <x:v>factualFindings.contestedFacts[1].sourceCases[0] | issuesForDetermination.issueMatrix[1].sourceCases[0] | legalFramework.statutoryProvisions[0].sourceCases[0] | reasoningStructure[1].sourceCases[0]</x:v>
      </x:c>
    </x:row>
    <x:row r="257">
      <x:c r="A257" s="1" t="str">
        <x:v>U0256</x:v>
      </x:c>
      <x:c r="B257" s="1" t="str">
        <x:v>cmmxtzd4o000904jrjc2hdwrx</x:v>
      </x:c>
      <x:c r="C257" s="1" t="str">
        <x:v>greenfields--iow--limited-v-isle-of-wight-council---westridge-village-limited</x:v>
      </x:c>
      <x:c r="D257" s="1" t="str">
        <x:v>real</x:v>
      </x:c>
      <x:c r="E257" s="15" t="str">
        <x:v>Greenfields (IOW) Limited v Isle of Wight Council &amp; Westridge Village Limited</x:v>
      </x:c>
      <x:c r="F257" s="16" t="n">
        <x:v>46100.78893692129</x:v>
      </x:c>
      <x:c r="G257" s="15" t="str">
        <x:v>legislation</x:v>
      </x:c>
      <x:c r="H257" s="15" t="str">
        <x:v>legislation:senior courts act 1981 s 35a</x:v>
      </x:c>
      <x:c r="I257" s="15" t="str">
        <x:v>Senior Courts Act 1981, s.35A</x:v>
      </x:c>
      <x:c r="J257" s="15" t="str">
        <x:v>Senior Courts Act 1981, s.35A</x:v>
      </x:c>
      <x:c r="K257" s="15" t="str"/>
      <x:c r="L257" s="15" t="str"/>
      <x:c r="M257" s="15" t="n">
        <x:v>1</x:v>
      </x:c>
      <x:c r="N257" s="15" t="str">
        <x:v>decisionAndDisposition.interest.statutoryBasis</x:v>
      </x:c>
    </x:row>
    <x:row r="258">
      <x:c r="A258" s="1" t="str">
        <x:v>U0257</x:v>
      </x:c>
      <x:c r="B258" s="1" t="str">
        <x:v>cmmxtzd4o000904jrjc2hdwrx</x:v>
      </x:c>
      <x:c r="C258" s="1" t="str">
        <x:v>greenfields--iow--limited-v-isle-of-wight-council---westridge-village-limited</x:v>
      </x:c>
      <x:c r="D258" s="1" t="str">
        <x:v>real</x:v>
      </x:c>
      <x:c r="E258" s="15" t="str">
        <x:v>Greenfields (IOW) Limited v Isle of Wight Council &amp; Westridge Village Limited</x:v>
      </x:c>
      <x:c r="F258" s="16" t="n">
        <x:v>46100.78893692129</x:v>
      </x:c>
      <x:c r="G258" s="15" t="str">
        <x:v>legislation</x:v>
      </x:c>
      <x:c r="H258" s="15" t="str">
        <x:v>legislation:town and country planning development management procedure order 2015 article 40 3 b</x:v>
      </x:c>
      <x:c r="I258" s="15" t="str">
        <x:v>Town and Country Planning (Development Management Procedure) Order 2015</x:v>
      </x:c>
      <x:c r="J258" s="15" t="str">
        <x:v>Town and Country Planning (Development Management Procedure) Order 2015 Article 40(3)(b)</x:v>
      </x:c>
      <x:c r="K258" s="15" t="str"/>
      <x:c r="L258" s="15" t="str">
        <x:v>Article 40(3)(b)</x:v>
      </x:c>
      <x:c r="M258" s="15" t="n">
        <x:v>1</x:v>
      </x:c>
      <x:c r="N258" s="15" t="str">
        <x:v>legalFramework.statutoryProvisions[0]</x:v>
      </x:c>
    </x:row>
    <x:row r="259">
      <x:c r="A259" s="1" t="str">
        <x:v>U0258</x:v>
      </x:c>
      <x:c r="B259" s="1" t="str">
        <x:v>cmomnx9nj000304jkyxxg2b0k</x:v>
      </x:c>
      <x:c r="C259" s="1" t="str">
        <x:v>greenfields--iow--limited-v-isle-of-wight-council---westridge-village-limited</x:v>
      </x:c>
      <x:c r="D259" s="1" t="str">
        <x:v>real</x:v>
      </x:c>
      <x:c r="E259" s="15" t="str">
        <x:v>Greenfields (IOW) Limited v Isle of Wight Council &amp; Westridge Village Limited</x:v>
      </x:c>
      <x:c r="F259" s="16" t="n">
        <x:v>46143.36140475694</x:v>
      </x:c>
      <x:c r="G259" s="15" t="str">
        <x:v>case</x:v>
      </x:c>
      <x:c r="H259" s="15" t="str">
        <x:v>case:2000 1 wlr 377</x:v>
      </x:c>
      <x:c r="I259" s="15" t="str">
        <x:v>Flannery v Halifax Estate Agencies Ltd [2000] 1 WLR 377</x:v>
      </x:c>
      <x:c r="J259" s="15" t="str">
        <x:v>Flannery v Halifax Estate Agencies Ltd [2000] 1 WLR 377</x:v>
      </x:c>
      <x:c r="K259" s="15" t="str"/>
      <x:c r="L259" s="15" t="str"/>
      <x:c r="M259" s="15" t="n">
        <x:v>1</x:v>
      </x:c>
      <x:c r="N259" s="15" t="str">
        <x:v>legalFramework.precedentCitations[1]</x:v>
      </x:c>
    </x:row>
    <x:row r="260">
      <x:c r="A260" s="1" t="str">
        <x:v>U0259</x:v>
      </x:c>
      <x:c r="B260" s="1" t="str">
        <x:v>cmomnx9nj000304jkyxxg2b0k</x:v>
      </x:c>
      <x:c r="C260" s="1" t="str">
        <x:v>greenfields--iow--limited-v-isle-of-wight-council---westridge-village-limited</x:v>
      </x:c>
      <x:c r="D260" s="1" t="str">
        <x:v>real</x:v>
      </x:c>
      <x:c r="E260" s="15" t="str">
        <x:v>Greenfields (IOW) Limited v Isle of Wight Council &amp; Westridge Village Limited</x:v>
      </x:c>
      <x:c r="F260" s="16" t="n">
        <x:v>46143.36140475694</x:v>
      </x:c>
      <x:c r="G260" s="15" t="str">
        <x:v>case</x:v>
      </x:c>
      <x:c r="H260" s="15" t="str">
        <x:v>case:2002 1 wlr 1593</x:v>
      </x:c>
      <x:c r="I260" s="15" t="str">
        <x:v>R (Burkett) v Hammersmith LBC [2002] 1 WLR 1593</x:v>
      </x:c>
      <x:c r="J260" s="15" t="str">
        <x:v>R (Burkett) v Hammersmith LBC [2002] 1 WLR 1593</x:v>
      </x:c>
      <x:c r="K260" s="15" t="str"/>
      <x:c r="L260" s="15" t="str"/>
      <x:c r="M260" s="15" t="n">
        <x:v>1</x:v>
      </x:c>
      <x:c r="N260" s="15" t="str">
        <x:v>legalFramework.precedentCitations[0]</x:v>
      </x:c>
    </x:row>
    <x:row r="261">
      <x:c r="A261" s="1" t="str">
        <x:v>U0260</x:v>
      </x:c>
      <x:c r="B261" s="1" t="str">
        <x:v>cmomnx9nj000304jkyxxg2b0k</x:v>
      </x:c>
      <x:c r="C261" s="1" t="str">
        <x:v>greenfields--iow--limited-v-isle-of-wight-council---westridge-village-limited</x:v>
      </x:c>
      <x:c r="D261" s="1" t="str">
        <x:v>real</x:v>
      </x:c>
      <x:c r="E261" s="15" t="str">
        <x:v>Greenfields (IOW) Limited v Isle of Wight Council &amp; Westridge Village Limited</x:v>
      </x:c>
      <x:c r="F261" s="16" t="n">
        <x:v>46143.36140475694</x:v>
      </x:c>
      <x:c r="G261" s="15" t="str">
        <x:v>case</x:v>
      </x:c>
      <x:c r="H261" s="15" t="str">
        <x:v>case:2004 ewhc 779 admin</x:v>
      </x:c>
      <x:c r="I261" s="15" t="str">
        <x:v>Georgiou v London Borough of Enfield &amp; Ors</x:v>
      </x:c>
      <x:c r="J261" s="15" t="str">
        <x:v>[2004] EWHC 779 (Admin)</x:v>
      </x:c>
      <x:c r="K261" s="15" t="str">
        <x:v>f36914c7-32ec-4f23-9909-c4ece2be9d33</x:v>
      </x:c>
      <x:c r="L261" s="15" t="str"/>
      <x:c r="M261" s="15" t="n">
        <x:v>3</x:v>
      </x:c>
      <x:c r="N261" s="15" t="str">
        <x:v>factualFindings.contestedFacts[1].sourceCases[0] | issuesForDetermination.issueMatrix[1].sourceCases[0] | reasoningStructure[1].sourceCases[0]</x:v>
      </x:c>
    </x:row>
    <x:row r="262">
      <x:c r="A262" s="1" t="str">
        <x:v>U0261</x:v>
      </x:c>
      <x:c r="B262" s="1" t="str">
        <x:v>cmomnx9nj000304jkyxxg2b0k</x:v>
      </x:c>
      <x:c r="C262" s="1" t="str">
        <x:v>greenfields--iow--limited-v-isle-of-wight-council---westridge-village-limited</x:v>
      </x:c>
      <x:c r="D262" s="1" t="str">
        <x:v>real</x:v>
      </x:c>
      <x:c r="E262" s="15" t="str">
        <x:v>Greenfields (IOW) Limited v Isle of Wight Council &amp; Westridge Village Limited</x:v>
      </x:c>
      <x:c r="F262" s="16" t="n">
        <x:v>46143.36140475694</x:v>
      </x:c>
      <x:c r="G262" s="15" t="str">
        <x:v>case</x:v>
      </x:c>
      <x:c r="H262" s="15" t="str">
        <x:v>case:2014 ewca civ 1555</x:v>
      </x:c>
      <x:c r="I262" s="15" t="str">
        <x:v>Vicente &amp; Anor v Secretary of State for Communities and Local Government &amp; Anor</x:v>
      </x:c>
      <x:c r="J262" s="15" t="str">
        <x:v>[2014] EWCA Civ 1555</x:v>
      </x:c>
      <x:c r="K262" s="15" t="str">
        <x:v>3ff34419-ffbc-40f9-a087-a1cb1371d0e1</x:v>
      </x:c>
      <x:c r="L262" s="15" t="str"/>
      <x:c r="M262" s="15" t="n">
        <x:v>3</x:v>
      </x:c>
      <x:c r="N262" s="15" t="str">
        <x:v>factualFindings.contestedFacts[0].sourceCases[0] | issuesForDetermination.issueMatrix[0].sourceCases[0] | reasoningStructure[0].sourceCases[0]</x:v>
      </x:c>
    </x:row>
    <x:row r="263">
      <x:c r="A263" s="1" t="str">
        <x:v>U0262</x:v>
      </x:c>
      <x:c r="B263" s="1" t="str">
        <x:v>cmomnx9nj000304jkyxxg2b0k</x:v>
      </x:c>
      <x:c r="C263" s="1" t="str">
        <x:v>greenfields--iow--limited-v-isle-of-wight-council---westridge-village-limited</x:v>
      </x:c>
      <x:c r="D263" s="1" t="str">
        <x:v>real</x:v>
      </x:c>
      <x:c r="E263" s="15" t="str">
        <x:v>Greenfields (IOW) Limited v Isle of Wight Council &amp; Westridge Village Limited</x:v>
      </x:c>
      <x:c r="F263" s="16" t="n">
        <x:v>46143.36140475694</x:v>
      </x:c>
      <x:c r="G263" s="15" t="str">
        <x:v>legislation</x:v>
      </x:c>
      <x:c r="H263" s="15" t="str">
        <x:v>legislation:senior courts act 1981 s 35a</x:v>
      </x:c>
      <x:c r="I263" s="15" t="str">
        <x:v>Senior Courts Act 1981, s.35A</x:v>
      </x:c>
      <x:c r="J263" s="15" t="str">
        <x:v>Senior Courts Act 1981, s.35A</x:v>
      </x:c>
      <x:c r="K263" s="15" t="str"/>
      <x:c r="L263" s="15" t="str"/>
      <x:c r="M263" s="15" t="n">
        <x:v>1</x:v>
      </x:c>
      <x:c r="N263" s="15" t="str">
        <x:v>decisionAndDisposition.interest.statutoryBasis</x:v>
      </x:c>
    </x:row>
    <x:row r="264">
      <x:c r="A264" s="1" t="str">
        <x:v>U0263</x:v>
      </x:c>
      <x:c r="B264" s="1" t="str">
        <x:v>cmomnx9nj000304jkyxxg2b0k</x:v>
      </x:c>
      <x:c r="C264" s="1" t="str">
        <x:v>greenfields--iow--limited-v-isle-of-wight-council---westridge-village-limited</x:v>
      </x:c>
      <x:c r="D264" s="1" t="str">
        <x:v>real</x:v>
      </x:c>
      <x:c r="E264" s="15" t="str">
        <x:v>Greenfields (IOW) Limited v Isle of Wight Council &amp; Westridge Village Limited</x:v>
      </x:c>
      <x:c r="F264" s="16" t="n">
        <x:v>46143.36140475694</x:v>
      </x:c>
      <x:c r="G264" s="15" t="str">
        <x:v>legislation</x:v>
      </x:c>
      <x:c r="H264" s="15" t="str">
        <x:v>legislation:town and country planning development management procedure order 2015 article 40 3 b</x:v>
      </x:c>
      <x:c r="I264" s="15" t="str">
        <x:v>Town and Country Planning (Development Management Procedure) Order 2015</x:v>
      </x:c>
      <x:c r="J264" s="15" t="str">
        <x:v>Town and Country Planning (Development Management Procedure) Order 2015 Article 40(3)(b)</x:v>
      </x:c>
      <x:c r="K264" s="15" t="str"/>
      <x:c r="L264" s="15" t="str">
        <x:v>Article 40(3)(b)</x:v>
      </x:c>
      <x:c r="M264" s="15" t="n">
        <x:v>1</x:v>
      </x:c>
      <x:c r="N264" s="15" t="str">
        <x:v>legalFramework.statutoryProvisions[0]</x:v>
      </x:c>
    </x:row>
    <x:row r="265">
      <x:c r="A265" s="1" t="str">
        <x:v>U0264</x:v>
      </x:c>
      <x:c r="B265" s="1" t="str">
        <x:v>cms1ps00j000j04jsbxrn9wrj</x:v>
      </x:c>
      <x:c r="C265" s="1" t="str">
        <x:v>ca-2024-001541-the-king-on-the-application-of-respondent-skeleton</x:v>
      </x:c>
      <x:c r="D265" s="1" t="str">
        <x:v>real</x:v>
      </x:c>
      <x:c r="E265" s="15" t="str">
        <x:v>The King (on the application of Transport Action Network Limited) v Secretary of State for Transport</x:v>
      </x:c>
      <x:c r="F265" s="16" t="n">
        <x:v>46229.47776018518</x:v>
      </x:c>
      <x:c r="G265" s="15" t="str">
        <x:v>case</x:v>
      </x:c>
      <x:c r="H265" s="15" t="str">
        <x:v>case:2000 1 wlr 377</x:v>
      </x:c>
      <x:c r="I265" s="15" t="str">
        <x:v>Flannery v Halifax Estate Agencies Ltd [2000] 1 WLR 377</x:v>
      </x:c>
      <x:c r="J265" s="15" t="str">
        <x:v>Flannery v Halifax Estate Agencies Ltd [2000] 1 WLR 377</x:v>
      </x:c>
      <x:c r="K265" s="15" t="str"/>
      <x:c r="L265" s="15" t="str"/>
      <x:c r="M265" s="15" t="n">
        <x:v>1</x:v>
      </x:c>
      <x:c r="N265" s="15" t="str">
        <x:v>legalFramework.precedentCitations[1]</x:v>
      </x:c>
    </x:row>
    <x:row r="266">
      <x:c r="A266" s="1" t="str">
        <x:v>U0265</x:v>
      </x:c>
      <x:c r="B266" s="1" t="str">
        <x:v>cms1ps00j000j04jsbxrn9wrj</x:v>
      </x:c>
      <x:c r="C266" s="1" t="str">
        <x:v>ca-2024-001541-the-king-on-the-application-of-respondent-skeleton</x:v>
      </x:c>
      <x:c r="D266" s="1" t="str">
        <x:v>real</x:v>
      </x:c>
      <x:c r="E266" s="15" t="str">
        <x:v>The King (on the application of Transport Action Network Limited) v Secretary of State for Transport</x:v>
      </x:c>
      <x:c r="F266" s="16" t="n">
        <x:v>46229.47776018518</x:v>
      </x:c>
      <x:c r="G266" s="15" t="str">
        <x:v>case</x:v>
      </x:c>
      <x:c r="H266" s="15" t="str">
        <x:v>case:2002 ewca civ 605</x:v>
      </x:c>
      <x:c r="I266" s="15" t="str">
        <x:v>English v Emery Reimbold &amp; Strick Ltd [2002] EWCA Civ 605</x:v>
      </x:c>
      <x:c r="J266" s="15" t="str">
        <x:v>English v Emery Reimbold &amp; Strick Ltd [2002] EWCA Civ 605</x:v>
      </x:c>
      <x:c r="K266" s="15" t="str"/>
      <x:c r="L266" s="15" t="str"/>
      <x:c r="M266" s="15" t="n">
        <x:v>2</x:v>
      </x:c>
      <x:c r="N266" s="15" t="str">
        <x:v>legalFramework.legalTestSummaries[1].sourceAuthority | legalFramework.precedentCitations[0]</x:v>
      </x:c>
    </x:row>
    <x:row r="267">
      <x:c r="A267" s="1" t="str">
        <x:v>U0266</x:v>
      </x:c>
      <x:c r="B267" s="1" t="str">
        <x:v>cms1ps00j000j04jsbxrn9wrj</x:v>
      </x:c>
      <x:c r="C267" s="1" t="str">
        <x:v>ca-2024-001541-the-king-on-the-application-of-respondent-skeleton</x:v>
      </x:c>
      <x:c r="D267" s="1" t="str">
        <x:v>real</x:v>
      </x:c>
      <x:c r="E267" s="15" t="str">
        <x:v>The King (on the application of Transport Action Network Limited) v Secretary of State for Transport</x:v>
      </x:c>
      <x:c r="F267" s="16" t="n">
        <x:v>46229.47776018518</x:v>
      </x:c>
      <x:c r="G267" s="15" t="str">
        <x:v>case</x:v>
      </x:c>
      <x:c r="H267" s="15" t="str">
        <x:v>case:2016 ewca civ 441</x:v>
      </x:c>
      <x:c r="I267" s="15" t="str">
        <x:v>Secretary of State for Communities and Local Government v West Berkshire District Council &amp; Anor</x:v>
      </x:c>
      <x:c r="J267" s="15" t="str">
        <x:v>[2016] EWCA Civ 441</x:v>
      </x:c>
      <x:c r="K267" s="15" t="str">
        <x:v>beff2d5f-922f-42e5-9aaa-8b70d7179f71</x:v>
      </x:c>
      <x:c r="L267" s="15" t="str"/>
      <x:c r="M267" s="15" t="n">
        <x:v>1</x:v>
      </x:c>
      <x:c r="N267" s="15" t="str">
        <x:v>factualFindings.chronology[1].sourceCases[0]</x:v>
      </x:c>
    </x:row>
    <x:row r="268">
      <x:c r="A268" s="1" t="str">
        <x:v>U0267</x:v>
      </x:c>
      <x:c r="B268" s="1" t="str">
        <x:v>cms1ps00j000j04jsbxrn9wrj</x:v>
      </x:c>
      <x:c r="C268" s="1" t="str">
        <x:v>ca-2024-001541-the-king-on-the-application-of-respondent-skeleton</x:v>
      </x:c>
      <x:c r="D268" s="1" t="str">
        <x:v>real</x:v>
      </x:c>
      <x:c r="E268" s="15" t="str">
        <x:v>The King (on the application of Transport Action Network Limited) v Secretary of State for Transport</x:v>
      </x:c>
      <x:c r="F268" s="16" t="n">
        <x:v>46229.47776018518</x:v>
      </x:c>
      <x:c r="G268" s="15" t="str">
        <x:v>case</x:v>
      </x:c>
      <x:c r="H268" s="15" t="str">
        <x:v>case:2022 ewca civ 21</x:v>
      </x:c>
      <x:c r="I268" s="15" t="str">
        <x:v>The Good Law Project, R (On the Application Of) v Minister for the Cabinet Office</x:v>
      </x:c>
      <x:c r="J268" s="15" t="str">
        <x:v>[2022] EWCA Civ 21</x:v>
      </x:c>
      <x:c r="K268" s="15" t="str">
        <x:v>f157dc58-8d24-4561-9b20-3df67da80a73</x:v>
      </x:c>
      <x:c r="L268" s="15" t="str"/>
      <x:c r="M268" s="15" t="n">
        <x:v>1</x:v>
      </x:c>
      <x:c r="N268" s="15" t="str">
        <x:v>factualFindings.contestedFacts[1].sourceCases[0]</x:v>
      </x:c>
    </x:row>
    <x:row r="269">
      <x:c r="A269" s="1" t="str">
        <x:v>U0268</x:v>
      </x:c>
      <x:c r="B269" s="1" t="str">
        <x:v>cms1ps00j000j04jsbxrn9wrj</x:v>
      </x:c>
      <x:c r="C269" s="1" t="str">
        <x:v>ca-2024-001541-the-king-on-the-application-of-respondent-skeleton</x:v>
      </x:c>
      <x:c r="D269" s="1" t="str">
        <x:v>real</x:v>
      </x:c>
      <x:c r="E269" s="15" t="str">
        <x:v>The King (on the application of Transport Action Network Limited) v Secretary of State for Transport</x:v>
      </x:c>
      <x:c r="F269" s="16" t="n">
        <x:v>46229.47776018518</x:v>
      </x:c>
      <x:c r="G269" s="15" t="str">
        <x:v>case</x:v>
      </x:c>
      <x:c r="H269" s="15" t="str">
        <x:v>case:london borough of enfield r on the application of v secretary of state for transport &amp; ors</x:v>
      </x:c>
      <x:c r="I269" s="15" t="str">
        <x:v>London Borough of Enfield, R (on the application of) v Secretary of State for Transport &amp; Ors</x:v>
      </x:c>
      <x:c r="J269" s="15" t="str">
        <x:v>N/A</x:v>
      </x:c>
      <x:c r="K269" s="15" t="str">
        <x:v>f5a5b44e-fcf0-40c0-9bf9-69f026b1b438</x:v>
      </x:c>
      <x:c r="L269" s="15" t="str"/>
      <x:c r="M269" s="15" t="n">
        <x:v>4</x:v>
      </x:c>
      <x:c r="N269" s="15" t="str">
        <x:v>factualFindings.contestedFacts[0].sourceCases[0] | issuesForDetermination.issueMatrix[1].sourceCases[0] | legalFramework.precedentCitations[1].sourceCases[0] | reasoningStructure[1].sourceCases[0]</x:v>
      </x:c>
    </x:row>
    <x:row r="270">
      <x:c r="A270" s="1" t="str">
        <x:v>U0269</x:v>
      </x:c>
      <x:c r="B270" s="1" t="str">
        <x:v>cms1ps00j000j04jsbxrn9wrj</x:v>
      </x:c>
      <x:c r="C270" s="1" t="str">
        <x:v>ca-2024-001541-the-king-on-the-application-of-respondent-skeleton</x:v>
      </x:c>
      <x:c r="D270" s="1" t="str">
        <x:v>real</x:v>
      </x:c>
      <x:c r="E270" s="15" t="str">
        <x:v>The King (on the application of Transport Action Network Limited) v Secretary of State for Transport</x:v>
      </x:c>
      <x:c r="F270" s="16" t="n">
        <x:v>46229.47776018518</x:v>
      </x:c>
      <x:c r="G270" s="15" t="str">
        <x:v>case</x:v>
      </x:c>
      <x:c r="H270" s="15" t="str">
        <x:v>case:national aids trust v national health service commissioning board nhs england &amp; ors</x:v>
      </x:c>
      <x:c r="I270" s="15" t="str">
        <x:v>National AIDS Trust v National Health Service Commissioning Board (NHS England) &amp; Ors</x:v>
      </x:c>
      <x:c r="J270" s="15" t="str">
        <x:v>N/A</x:v>
      </x:c>
      <x:c r="K270" s="15" t="str">
        <x:v>ed07cee8-284a-4c88-9681-37d30f80d1a1</x:v>
      </x:c>
      <x:c r="L270" s="15" t="str"/>
      <x:c r="M270" s="15" t="n">
        <x:v>1</x:v>
      </x:c>
      <x:c r="N270" s="15" t="str">
        <x:v>factualFindings.chronology[0].sourceCases[0]</x:v>
      </x:c>
    </x:row>
    <x:row r="271">
      <x:c r="A271" s="1" t="str">
        <x:v>U0270</x:v>
      </x:c>
      <x:c r="B271" s="1" t="str">
        <x:v>cms1ps00j000j04jsbxrn9wrj</x:v>
      </x:c>
      <x:c r="C271" s="1" t="str">
        <x:v>ca-2024-001541-the-king-on-the-application-of-respondent-skeleton</x:v>
      </x:c>
      <x:c r="D271" s="1" t="str">
        <x:v>real</x:v>
      </x:c>
      <x:c r="E271" s="15" t="str">
        <x:v>The King (on the application of Transport Action Network Limited) v Secretary of State for Transport</x:v>
      </x:c>
      <x:c r="F271" s="16" t="n">
        <x:v>46229.47776018518</x:v>
      </x:c>
      <x:c r="G271" s="15" t="str">
        <x:v>case</x:v>
      </x:c>
      <x:c r="H271" s="15" t="str">
        <x:v>case:the howard league for penal reform and prisoners advice service v the lord chancellor</x:v>
      </x:c>
      <x:c r="I271" s="15" t="str">
        <x:v>The Howard League for Penal Reform and Prisoners' Advice Service v The Lord Chancellor</x:v>
      </x:c>
      <x:c r="J271" s="15" t="str">
        <x:v>N/A</x:v>
      </x:c>
      <x:c r="K271" s="15" t="str">
        <x:v>d60a5323-796e-4110-a6de-012ec16860c1</x:v>
      </x:c>
      <x:c r="L271" s="15" t="str"/>
      <x:c r="M271" s="15" t="n">
        <x:v>3</x:v>
      </x:c>
      <x:c r="N271" s="15" t="str">
        <x:v>issuesForDetermination.issueMatrix[0].sourceCases[0] | legalFramework.statutoryProvisions[0].sourceCases[0] | reasoningStructure[0].sourceCases[0]</x:v>
      </x:c>
    </x:row>
    <x:row r="272">
      <x:c r="A272" s="1" t="str">
        <x:v>U0271</x:v>
      </x:c>
      <x:c r="B272" s="1" t="str">
        <x:v>cms1ps00j000j04jsbxrn9wrj</x:v>
      </x:c>
      <x:c r="C272" s="1" t="str">
        <x:v>ca-2024-001541-the-king-on-the-application-of-respondent-skeleton</x:v>
      </x:c>
      <x:c r="D272" s="1" t="str">
        <x:v>real</x:v>
      </x:c>
      <x:c r="E272" s="15" t="str">
        <x:v>The King (on the application of Transport Action Network Limited) v Secretary of State for Transport</x:v>
      </x:c>
      <x:c r="F272" s="16" t="n">
        <x:v>46229.47776018518</x:v>
      </x:c>
      <x:c r="G272" s="15" t="str">
        <x:v>legislation</x:v>
      </x:c>
      <x:c r="H272" s="15" t="str">
        <x:v>legislation:infrastructure act 2015</x:v>
      </x:c>
      <x:c r="I272" s="15" t="str">
        <x:v>Infrastructure Act 2015</x:v>
      </x:c>
      <x:c r="J272" s="15" t="str">
        <x:v>Infrastructure Act 2015</x:v>
      </x:c>
      <x:c r="K272" s="15" t="str"/>
      <x:c r="L272" s="15" t="str"/>
      <x:c r="M272" s="15" t="n">
        <x:v>1</x:v>
      </x:c>
      <x:c r="N272" s="15" t="str">
        <x:v>legalFramework.legalTestSummaries[0].sourceAuthority</x:v>
      </x:c>
    </x:row>
    <x:row r="273">
      <x:c r="A273" s="1" t="str">
        <x:v>U0272</x:v>
      </x:c>
      <x:c r="B273" s="1" t="str">
        <x:v>cms1ps00j000j04jsbxrn9wrj</x:v>
      </x:c>
      <x:c r="C273" s="1" t="str">
        <x:v>ca-2024-001541-the-king-on-the-application-of-respondent-skeleton</x:v>
      </x:c>
      <x:c r="D273" s="1" t="str">
        <x:v>real</x:v>
      </x:c>
      <x:c r="E273" s="15" t="str">
        <x:v>The King (on the application of Transport Action Network Limited) v Secretary of State for Transport</x:v>
      </x:c>
      <x:c r="F273" s="16" t="n">
        <x:v>46229.47776018518</x:v>
      </x:c>
      <x:c r="G273" s="15" t="str">
        <x:v>legislation</x:v>
      </x:c>
      <x:c r="H273" s="15" t="str">
        <x:v>legislation:infrastructure act 2015 21</x:v>
      </x:c>
      <x:c r="I273" s="15" t="str">
        <x:v>Infrastructure Act 2015</x:v>
      </x:c>
      <x:c r="J273" s="15" t="str">
        <x:v>Infrastructure Act 2015 21</x:v>
      </x:c>
      <x:c r="K273" s="15" t="str"/>
      <x:c r="L273" s="15" t="str">
        <x:v>21</x:v>
      </x:c>
      <x:c r="M273" s="15" t="n">
        <x:v>1</x:v>
      </x:c>
      <x:c r="N273" s="15" t="str">
        <x:v>legalFramework.statutoryProvisions[0]</x:v>
      </x:c>
    </x:row>
    <x:row r="274">
      <x:c r="A274" s="1" t="str">
        <x:v>U0273</x:v>
      </x:c>
      <x:c r="B274" s="1" t="str">
        <x:v>cms1ps00j000j04jsbxrn9wrj</x:v>
      </x:c>
      <x:c r="C274" s="1" t="str">
        <x:v>ca-2024-001541-the-king-on-the-application-of-respondent-skeleton</x:v>
      </x:c>
      <x:c r="D274" s="1" t="str">
        <x:v>real</x:v>
      </x:c>
      <x:c r="E274" s="15" t="str">
        <x:v>The King (on the application of Transport Action Network Limited) v Secretary of State for Transport</x:v>
      </x:c>
      <x:c r="F274" s="16" t="n">
        <x:v>46229.47776018518</x:v>
      </x:c>
      <x:c r="G274" s="15" t="str">
        <x:v>legislation</x:v>
      </x:c>
      <x:c r="H274" s="15" t="str">
        <x:v>legislation:senior courts act 1981 s 35a</x:v>
      </x:c>
      <x:c r="I274" s="15" t="str">
        <x:v>Senior Courts Act 1981, s.35A</x:v>
      </x:c>
      <x:c r="J274" s="15" t="str">
        <x:v>Senior Courts Act 1981, s.35A</x:v>
      </x:c>
      <x:c r="K274" s="15" t="str"/>
      <x:c r="L274" s="15" t="str"/>
      <x:c r="M274" s="15" t="n">
        <x:v>1</x:v>
      </x:c>
      <x:c r="N274" s="15" t="str">
        <x:v>decisionAndDisposition.interest.statutoryBasis</x:v>
      </x:c>
    </x:row>
    <x:row r="275">
      <x:c r="A275" s="1" t="str">
        <x:v>U0274</x:v>
      </x:c>
      <x:c r="B275" s="1" t="str">
        <x:v>cms1u865i000904jxu5huyjg5</x:v>
      </x:c>
      <x:c r="C275" s="1" t="str">
        <x:v>ca-2024-001541-the-king-on-the-application-of-respondent-skeleton</x:v>
      </x:c>
      <x:c r="D275" s="1" t="str">
        <x:v>real</x:v>
      </x:c>
      <x:c r="E275" s="15" t="str">
        <x:v>The King (on the application of Transport Action Network Limited) v Secretary of State for Transport</x:v>
      </x:c>
      <x:c r="F275" s="16" t="n">
        <x:v>46229.564252268516</x:v>
      </x:c>
      <x:c r="G275" s="15" t="str">
        <x:v>case</x:v>
      </x:c>
      <x:c r="H275" s="15" t="str">
        <x:v>case:2002 ewca civ 605</x:v>
      </x:c>
      <x:c r="I275" s="15" t="str">
        <x:v>[2002] EWCA Civ 605</x:v>
      </x:c>
      <x:c r="J275" s="15" t="str">
        <x:v>[2002] EWCA Civ 605</x:v>
      </x:c>
      <x:c r="K275" s="15" t="str"/>
      <x:c r="L275" s="15" t="str"/>
      <x:c r="M275" s="15" t="n">
        <x:v>1</x:v>
      </x:c>
      <x:c r="N275" s="15" t="str">
        <x:v>legalFramework.precedentCitations[0]</x:v>
      </x:c>
    </x:row>
    <x:row r="276">
      <x:c r="A276" s="1" t="str">
        <x:v>U0275</x:v>
      </x:c>
      <x:c r="B276" s="1" t="str">
        <x:v>cms1u865i000904jxu5huyjg5</x:v>
      </x:c>
      <x:c r="C276" s="1" t="str">
        <x:v>ca-2024-001541-the-king-on-the-application-of-respondent-skeleton</x:v>
      </x:c>
      <x:c r="D276" s="1" t="str">
        <x:v>real</x:v>
      </x:c>
      <x:c r="E276" s="15" t="str">
        <x:v>The King (on the application of Transport Action Network Limited) v Secretary of State for Transport</x:v>
      </x:c>
      <x:c r="F276" s="16" t="n">
        <x:v>46229.564252268516</x:v>
      </x:c>
      <x:c r="G276" s="15" t="str">
        <x:v>case</x:v>
      </x:c>
      <x:c r="H276" s="15" t="str">
        <x:v>case:2016 ewca civ 480</x:v>
      </x:c>
      <x:c r="I276" s="15" t="str">
        <x:v>London Borough of Enfield, R (on the application of) v Secretary of State for Transport &amp; Ors</x:v>
      </x:c>
      <x:c r="J276" s="15" t="str">
        <x:v>[2016] EWCA Civ 480</x:v>
      </x:c>
      <x:c r="K276" s="15" t="str">
        <x:v>f5a5b44e-fcf0-40c0-9bf9-69f026b1b438</x:v>
      </x:c>
      <x:c r="L276" s="15" t="str"/>
      <x:c r="M276" s="15" t="n">
        <x:v>1</x:v>
      </x:c>
      <x:c r="N276" s="15" t="str">
        <x:v>issuesForDetermination.issueMatrix[0].sourceCases[0]</x:v>
      </x:c>
    </x:row>
    <x:row r="277">
      <x:c r="A277" s="1" t="str">
        <x:v>U0276</x:v>
      </x:c>
      <x:c r="B277" s="1" t="str">
        <x:v>cms1u865i000904jxu5huyjg5</x:v>
      </x:c>
      <x:c r="C277" s="1" t="str">
        <x:v>ca-2024-001541-the-king-on-the-application-of-respondent-skeleton</x:v>
      </x:c>
      <x:c r="D277" s="1" t="str">
        <x:v>real</x:v>
      </x:c>
      <x:c r="E277" s="15" t="str">
        <x:v>The King (on the application of Transport Action Network Limited) v Secretary of State for Transport</x:v>
      </x:c>
      <x:c r="F277" s="16" t="n">
        <x:v>46229.564252268516</x:v>
      </x:c>
      <x:c r="G277" s="15" t="str">
        <x:v>case</x:v>
      </x:c>
      <x:c r="H277" s="15" t="str">
        <x:v>case:2022 ewca civ 21</x:v>
      </x:c>
      <x:c r="I277" s="15" t="str">
        <x:v>The Good Law Project, R (On the Application Of) v Minister for the Cabinet Office</x:v>
      </x:c>
      <x:c r="J277" s="15" t="str">
        <x:v>[2022] EWCA Civ 21</x:v>
      </x:c>
      <x:c r="K277" s="15" t="str">
        <x:v>f157dc58-8d24-4561-9b20-3df67da80a73</x:v>
      </x:c>
      <x:c r="L277" s="15" t="str"/>
      <x:c r="M277" s="15" t="n">
        <x:v>1</x:v>
      </x:c>
      <x:c r="N277" s="15" t="str">
        <x:v>factualFindings.contestedFacts[1].sourceCases[0]</x:v>
      </x:c>
    </x:row>
    <x:row r="278">
      <x:c r="A278" s="1" t="str">
        <x:v>U0277</x:v>
      </x:c>
      <x:c r="B278" s="1" t="str">
        <x:v>cms1u865i000904jxu5huyjg5</x:v>
      </x:c>
      <x:c r="C278" s="1" t="str">
        <x:v>ca-2024-001541-the-king-on-the-application-of-respondent-skeleton</x:v>
      </x:c>
      <x:c r="D278" s="1" t="str">
        <x:v>real</x:v>
      </x:c>
      <x:c r="E278" s="15" t="str">
        <x:v>The King (on the application of Transport Action Network Limited) v Secretary of State for Transport</x:v>
      </x:c>
      <x:c r="F278" s="16" t="n">
        <x:v>46229.564252268516</x:v>
      </x:c>
      <x:c r="G278" s="15" t="str">
        <x:v>case</x:v>
      </x:c>
      <x:c r="H278" s="15" t="str">
        <x:v>case:2023 ewca civ 265</x:v>
      </x:c>
      <x:c r="I278" s="15" t="str">
        <x:v>C7 v Secretary of State for the Home Department</x:v>
      </x:c>
      <x:c r="J278" s="15" t="str">
        <x:v>[2023] EWCA Civ 265</x:v>
      </x:c>
      <x:c r="K278" s="15" t="str">
        <x:v>7cce4927-35a4-4b74-90f4-ac2262bb34d7</x:v>
      </x:c>
      <x:c r="L278" s="15" t="str"/>
      <x:c r="M278" s="15" t="n">
        <x:v>1</x:v>
      </x:c>
      <x:c r="N278" s="15" t="str">
        <x:v>reasoningStructure[0].sourceCases[0]</x:v>
      </x:c>
    </x:row>
    <x:row r="279">
      <x:c r="A279" s="1" t="str">
        <x:v>U0278</x:v>
      </x:c>
      <x:c r="B279" s="1" t="str">
        <x:v>cms1u865i000904jxu5huyjg5</x:v>
      </x:c>
      <x:c r="C279" s="1" t="str">
        <x:v>ca-2024-001541-the-king-on-the-application-of-respondent-skeleton</x:v>
      </x:c>
      <x:c r="D279" s="1" t="str">
        <x:v>real</x:v>
      </x:c>
      <x:c r="E279" s="15" t="str">
        <x:v>The King (on the application of Transport Action Network Limited) v Secretary of State for Transport</x:v>
      </x:c>
      <x:c r="F279" s="16" t="n">
        <x:v>46229.564252268516</x:v>
      </x:c>
      <x:c r="G279" s="15" t="str">
        <x:v>case</x:v>
      </x:c>
      <x:c r="H279" s="15" t="str">
        <x:v>case:the howard league for penal reform and prisoners advice service v the lord chancellor</x:v>
      </x:c>
      <x:c r="I279" s="15" t="str">
        <x:v>The Howard League for Penal Reform and Prisoners' Advice Service v The Lord Chancellor</x:v>
      </x:c>
      <x:c r="J279" s="15" t="str">
        <x:v>N/A</x:v>
      </x:c>
      <x:c r="K279" s="15" t="str">
        <x:v>d60a5323-796e-4110-a6de-012ec16860c1</x:v>
      </x:c>
      <x:c r="L279" s="15" t="str"/>
      <x:c r="M279" s="15" t="n">
        <x:v>1</x:v>
      </x:c>
      <x:c r="N279" s="15" t="str">
        <x:v>factualFindings.contestedFacts[0].sourceCases[0]</x:v>
      </x:c>
    </x:row>
    <x:row r="280">
      <x:c r="A280" s="1" t="str">
        <x:v>U0279</x:v>
      </x:c>
      <x:c r="B280" s="1" t="str">
        <x:v>cms1u865i000904jxu5huyjg5</x:v>
      </x:c>
      <x:c r="C280" s="1" t="str">
        <x:v>ca-2024-001541-the-king-on-the-application-of-respondent-skeleton</x:v>
      </x:c>
      <x:c r="D280" s="1" t="str">
        <x:v>real</x:v>
      </x:c>
      <x:c r="E280" s="15" t="str">
        <x:v>The King (on the application of Transport Action Network Limited) v Secretary of State for Transport</x:v>
      </x:c>
      <x:c r="F280" s="16" t="n">
        <x:v>46229.564252268516</x:v>
      </x:c>
      <x:c r="G280" s="15" t="str">
        <x:v>legislation</x:v>
      </x:c>
      <x:c r="H280" s="15" t="str">
        <x:v>legislation:infrastructure act 2015 21</x:v>
      </x:c>
      <x:c r="I280" s="15" t="str">
        <x:v>Infrastructure Act 2015</x:v>
      </x:c>
      <x:c r="J280" s="15" t="str">
        <x:v>Infrastructure Act 2015 21</x:v>
      </x:c>
      <x:c r="K280" s="15" t="str"/>
      <x:c r="L280" s="15" t="str">
        <x:v>21</x:v>
      </x:c>
      <x:c r="M280" s="15" t="n">
        <x:v>1</x:v>
      </x:c>
      <x:c r="N280" s="15" t="str">
        <x:v>legalFramework.statutoryProvisions[0]</x:v>
      </x:c>
    </x:row>
    <x:row r="281">
      <x:c r="A281" s="1" t="str">
        <x:v>U0280</x:v>
      </x:c>
      <x:c r="B281" s="1" t="str">
        <x:v>cms1u865i000904jxu5huyjg5</x:v>
      </x:c>
      <x:c r="C281" s="1" t="str">
        <x:v>ca-2024-001541-the-king-on-the-application-of-respondent-skeleton</x:v>
      </x:c>
      <x:c r="D281" s="1" t="str">
        <x:v>real</x:v>
      </x:c>
      <x:c r="E281" s="15" t="str">
        <x:v>The King (on the application of Transport Action Network Limited) v Secretary of State for Transport</x:v>
      </x:c>
      <x:c r="F281" s="16" t="n">
        <x:v>46229.564252268516</x:v>
      </x:c>
      <x:c r="G281" s="15" t="str">
        <x:v>legislation</x:v>
      </x:c>
      <x:c r="H281" s="15" t="str">
        <x:v>legislation:senior courts act 1981 35a</x:v>
      </x:c>
      <x:c r="I281" s="15" t="str">
        <x:v>Senior Courts Act 1981</x:v>
      </x:c>
      <x:c r="J281" s="15" t="str">
        <x:v>Senior Courts Act 1981 35A</x:v>
      </x:c>
      <x:c r="K281" s="15" t="str"/>
      <x:c r="L281" s="15" t="str">
        <x:v>35A</x:v>
      </x:c>
      <x:c r="M281" s="15" t="n">
        <x:v>1</x:v>
      </x:c>
      <x:c r="N281" s="15" t="str">
        <x:v>legalFramework.statutoryProvisions[1]</x:v>
      </x:c>
    </x:row>
    <x:row r="282">
      <x:c r="A282" s="1" t="str">
        <x:v>U0281</x:v>
      </x:c>
      <x:c r="B282" s="1" t="str">
        <x:v>cms1u865i000904jxu5huyjg5</x:v>
      </x:c>
      <x:c r="C282" s="1" t="str">
        <x:v>ca-2024-001541-the-king-on-the-application-of-respondent-skeleton</x:v>
      </x:c>
      <x:c r="D282" s="1" t="str">
        <x:v>real</x:v>
      </x:c>
      <x:c r="E282" s="15" t="str">
        <x:v>The King (on the application of Transport Action Network Limited) v Secretary of State for Transport</x:v>
      </x:c>
      <x:c r="F282" s="16" t="n">
        <x:v>46229.564252268516</x:v>
      </x:c>
      <x:c r="G282" s="15" t="str">
        <x:v>legislation</x:v>
      </x:c>
      <x:c r="H282" s="15" t="str">
        <x:v>legislation:senior courts act 1981 s 35a</x:v>
      </x:c>
      <x:c r="I282" s="15" t="str">
        <x:v>Senior Courts Act 1981, s. 35A</x:v>
      </x:c>
      <x:c r="J282" s="15" t="str">
        <x:v>Senior Courts Act 1981, s. 35A</x:v>
      </x:c>
      <x:c r="K282" s="15" t="str"/>
      <x:c r="L282" s="15" t="str"/>
      <x:c r="M282" s="15" t="n">
        <x:v>1</x:v>
      </x:c>
      <x:c r="N282" s="15" t="str">
        <x:v>decisionAndDisposition.interest.statutoryBasis</x:v>
      </x:c>
    </x:row>
    <x:row r="283">
      <x:c r="A283" s="1" t="str">
        <x:v>U0282</x:v>
      </x:c>
      <x:c r="B283" s="1" t="str">
        <x:v>cms1u865i000904jxu5huyjg5</x:v>
      </x:c>
      <x:c r="C283" s="1" t="str">
        <x:v>ca-2024-001541-the-king-on-the-application-of-respondent-skeleton</x:v>
      </x:c>
      <x:c r="D283" s="1" t="str">
        <x:v>real</x:v>
      </x:c>
      <x:c r="E283" s="15" t="str">
        <x:v>The King (on the application of Transport Action Network Limited) v Secretary of State for Transport</x:v>
      </x:c>
      <x:c r="F283" s="16" t="n">
        <x:v>46229.564252268516</x:v>
      </x:c>
      <x:c r="G283" s="15" t="str">
        <x:v>other</x:v>
      </x:c>
      <x:c r="H283" s="15" t="str">
        <x:v>other:2000 1 wlr 377</x:v>
      </x:c>
      <x:c r="I283" s="15" t="str">
        <x:v>[2000] 1 WLR 377</x:v>
      </x:c>
      <x:c r="J283" s="15" t="str">
        <x:v>[2000] 1 WLR 377</x:v>
      </x:c>
      <x:c r="K283" s="15" t="str"/>
      <x:c r="L283" s="15" t="str"/>
      <x:c r="M283" s="15" t="n">
        <x:v>1</x:v>
      </x:c>
      <x:c r="N283" s="15" t="str">
        <x:v>legalFramework.precedentCitations[1]</x:v>
      </x:c>
    </x:row>
    <x:row r="284">
      <x:c r="A284" s="1" t="str">
        <x:v>U0283</x:v>
      </x:c>
      <x:c r="B284" s="1" t="str">
        <x:v>cmsbj40n7000h04jwpx41ia5n</x:v>
      </x:c>
      <x:c r="C284" s="1" t="str">
        <x:v>ca-2024-001541-the-king-on-the-application-of-respondent-skeleton</x:v>
      </x:c>
      <x:c r="D284" s="1" t="str">
        <x:v>real</x:v>
      </x:c>
      <x:c r="E284" s="15" t="str">
        <x:v>The King (on the application of Transport Action Network Limited) v Secretary of State for Transport</x:v>
      </x:c>
      <x:c r="F284" s="16" t="n">
        <x:v>46236.3465696412</x:v>
      </x:c>
      <x:c r="G284" s="15" t="str">
        <x:v>case</x:v>
      </x:c>
      <x:c r="H284" s="15" t="str">
        <x:v>case:2000 1 wlr 377</x:v>
      </x:c>
      <x:c r="I284" s="15" t="str">
        <x:v>Flannery v Halifax Estate Agencies Ltd [2000] 1 WLR 377</x:v>
      </x:c>
      <x:c r="J284" s="15" t="str">
        <x:v>Flannery v Halifax Estate Agencies Ltd [2000] 1 WLR 377</x:v>
      </x:c>
      <x:c r="K284" s="15" t="str"/>
      <x:c r="L284" s="15" t="str"/>
      <x:c r="M284" s="15" t="n">
        <x:v>1</x:v>
      </x:c>
      <x:c r="N284" s="15" t="str">
        <x:v>legalFramework.precedentCitations[1]</x:v>
      </x:c>
    </x:row>
    <x:row r="285">
      <x:c r="A285" s="1" t="str">
        <x:v>U0284</x:v>
      </x:c>
      <x:c r="B285" s="1" t="str">
        <x:v>cmsbj40n7000h04jwpx41ia5n</x:v>
      </x:c>
      <x:c r="C285" s="1" t="str">
        <x:v>ca-2024-001541-the-king-on-the-application-of-respondent-skeleton</x:v>
      </x:c>
      <x:c r="D285" s="1" t="str">
        <x:v>real</x:v>
      </x:c>
      <x:c r="E285" s="15" t="str">
        <x:v>The King (on the application of Transport Action Network Limited) v Secretary of State for Transport</x:v>
      </x:c>
      <x:c r="F285" s="16" t="n">
        <x:v>46236.3465696412</x:v>
      </x:c>
      <x:c r="G285" s="15" t="str">
        <x:v>case</x:v>
      </x:c>
      <x:c r="H285" s="15" t="str">
        <x:v>case:2002 ewca civ 605</x:v>
      </x:c>
      <x:c r="I285" s="15" t="str">
        <x:v>English v Emery Reimbold &amp; Strick Ltd [2002] EWCA Civ 605</x:v>
      </x:c>
      <x:c r="J285" s="15" t="str">
        <x:v>English v Emery Reimbold &amp; Strick Ltd [2002] EWCA Civ 605</x:v>
      </x:c>
      <x:c r="K285" s="15" t="str"/>
      <x:c r="L285" s="15" t="str"/>
      <x:c r="M285" s="15" t="n">
        <x:v>1</x:v>
      </x:c>
      <x:c r="N285" s="15" t="str">
        <x:v>legalFramework.precedentCitations[0]</x:v>
      </x:c>
    </x:row>
    <x:row r="286">
      <x:c r="A286" s="1" t="str">
        <x:v>U0285</x:v>
      </x:c>
      <x:c r="B286" s="1" t="str">
        <x:v>cmsbj40n7000h04jwpx41ia5n</x:v>
      </x:c>
      <x:c r="C286" s="1" t="str">
        <x:v>ca-2024-001541-the-king-on-the-application-of-respondent-skeleton</x:v>
      </x:c>
      <x:c r="D286" s="1" t="str">
        <x:v>real</x:v>
      </x:c>
      <x:c r="E286" s="15" t="str">
        <x:v>The King (on the application of Transport Action Network Limited) v Secretary of State for Transport</x:v>
      </x:c>
      <x:c r="F286" s="16" t="n">
        <x:v>46236.3465696412</x:v>
      </x:c>
      <x:c r="G286" s="15" t="str">
        <x:v>case</x:v>
      </x:c>
      <x:c r="H286" s="15" t="str">
        <x:v>case:rotala plc r on the application of v greater manchester combined authority &amp; anor</x:v>
      </x:c>
      <x:c r="I286" s="15" t="str">
        <x:v>Rotala Plc, R (On the Application Of) v Greater Manchester Combined Authority &amp; Anor</x:v>
      </x:c>
      <x:c r="J286" s="15" t="str">
        <x:v>N/A</x:v>
      </x:c>
      <x:c r="K286" s="15" t="str">
        <x:v>bab866ef-ca70-446c-a76d-a69bb3f7f15d</x:v>
      </x:c>
      <x:c r="L286" s="15" t="str"/>
      <x:c r="M286" s="15" t="n">
        <x:v>6</x:v>
      </x:c>
      <x:c r="N286" s="15" t="str">
        <x:v>factualFindings.chronology[0].sourceCases[0] | factualFindings.contestedFacts[0].sourceCases[0] | issuesForDetermination.issueMatrix[0].sourceCases[0] | legalFramework.precedentCitations[0].sourceCases[0] | legalFramework.statutoryProvisions[0].sourceCases[0] | reasoningStructure[0].sourceCases[0]</x:v>
      </x:c>
    </x:row>
    <x:row r="287">
      <x:c r="A287" s="1" t="str">
        <x:v>U0286</x:v>
      </x:c>
      <x:c r="B287" s="1" t="str">
        <x:v>cmsbj40n7000h04jwpx41ia5n</x:v>
      </x:c>
      <x:c r="C287" s="1" t="str">
        <x:v>ca-2024-001541-the-king-on-the-application-of-respondent-skeleton</x:v>
      </x:c>
      <x:c r="D287" s="1" t="str">
        <x:v>real</x:v>
      </x:c>
      <x:c r="E287" s="15" t="str">
        <x:v>The King (on the application of Transport Action Network Limited) v Secretary of State for Transport</x:v>
      </x:c>
      <x:c r="F287" s="16" t="n">
        <x:v>46236.3465696412</x:v>
      </x:c>
      <x:c r="G287" s="15" t="str">
        <x:v>case</x:v>
      </x:c>
      <x:c r="H287" s="15" t="str">
        <x:v>case:the law society &amp; ors v the lord chancellor judicial review of legal aid reforms</x:v>
      </x:c>
      <x:c r="I287" s="15" t="str">
        <x:v>The Law Society &amp; Ors v The Lord Chancellor: Judicial Review of Legal Aid Reforms</x:v>
      </x:c>
      <x:c r="J287" s="15" t="str">
        <x:v>N/A</x:v>
      </x:c>
      <x:c r="K287" s="15" t="str">
        <x:v>bfdd234f-62f5-43ff-afee-559e34362309</x:v>
      </x:c>
      <x:c r="L287" s="15" t="str"/>
      <x:c r="M287" s="15" t="n">
        <x:v>2</x:v>
      </x:c>
      <x:c r="N287" s="15" t="str">
        <x:v>factualFindings.contestedFacts[1].sourceCases[0] | legalFramework.precedentCitations[1].sourceCases[0]</x:v>
      </x:c>
    </x:row>
    <x:row r="288">
      <x:c r="A288" s="1" t="str">
        <x:v>U0287</x:v>
      </x:c>
      <x:c r="B288" s="1" t="str">
        <x:v>cmsbj40n7000h04jwpx41ia5n</x:v>
      </x:c>
      <x:c r="C288" s="1" t="str">
        <x:v>ca-2024-001541-the-king-on-the-application-of-respondent-skeleton</x:v>
      </x:c>
      <x:c r="D288" s="1" t="str">
        <x:v>real</x:v>
      </x:c>
      <x:c r="E288" s="15" t="str">
        <x:v>The King (on the application of Transport Action Network Limited) v Secretary of State for Transport</x:v>
      </x:c>
      <x:c r="F288" s="16" t="n">
        <x:v>46236.3465696412</x:v>
      </x:c>
      <x:c r="G288" s="15" t="str">
        <x:v>legislation</x:v>
      </x:c>
      <x:c r="H288" s="15" t="str">
        <x:v>legislation:infrastructure act 2015 21</x:v>
      </x:c>
      <x:c r="I288" s="15" t="str">
        <x:v>Infrastructure Act 2015</x:v>
      </x:c>
      <x:c r="J288" s="15" t="str">
        <x:v>Infrastructure Act 2015 21</x:v>
      </x:c>
      <x:c r="K288" s="15" t="str"/>
      <x:c r="L288" s="15" t="str">
        <x:v>21</x:v>
      </x:c>
      <x:c r="M288" s="15" t="n">
        <x:v>1</x:v>
      </x:c>
      <x:c r="N288" s="15" t="str">
        <x:v>legalFramework.statutoryProvisions[0]</x:v>
      </x:c>
    </x:row>
    <x:row r="289">
      <x:c r="A289" s="1" t="str">
        <x:v>U0288</x:v>
      </x:c>
      <x:c r="B289" s="1" t="str">
        <x:v>cmsbj40n7000h04jwpx41ia5n</x:v>
      </x:c>
      <x:c r="C289" s="1" t="str">
        <x:v>ca-2024-001541-the-king-on-the-application-of-respondent-skeleton</x:v>
      </x:c>
      <x:c r="D289" s="1" t="str">
        <x:v>real</x:v>
      </x:c>
      <x:c r="E289" s="15" t="str">
        <x:v>The King (on the application of Transport Action Network Limited) v Secretary of State for Transport</x:v>
      </x:c>
      <x:c r="F289" s="16" t="n">
        <x:v>46236.3465696412</x:v>
      </x:c>
      <x:c r="G289" s="15" t="str">
        <x:v>legislation</x:v>
      </x:c>
      <x:c r="H289" s="15" t="str">
        <x:v>legislation:senior courts act 1981 s 35a</x:v>
      </x:c>
      <x:c r="I289" s="15" t="str">
        <x:v>Senior Courts Act 1981, s.35A</x:v>
      </x:c>
      <x:c r="J289" s="15" t="str">
        <x:v>Senior Courts Act 1981, s.35A</x:v>
      </x:c>
      <x:c r="K289" s="15" t="str"/>
      <x:c r="L289" s="15" t="str"/>
      <x:c r="M289" s="15" t="n">
        <x:v>1</x:v>
      </x:c>
      <x:c r="N289" s="15" t="str">
        <x:v>decisionAndDisposition.interest.statutoryBasis</x:v>
      </x:c>
    </x:row>
    <x:row r="290">
      <x:c r="A290" s="1" t="str">
        <x:v>U0289</x:v>
      </x:c>
      <x:c r="B290" s="1" t="str">
        <x:v>cmsbqvqsj000h04jnb8tn656h</x:v>
      </x:c>
      <x:c r="C290" s="1" t="str">
        <x:v>ca-2024-000255-the-king-on-the-application-of-appellant-skeleton</x:v>
      </x:c>
      <x:c r="D290" s="1" t="str">
        <x:v>real</x:v>
      </x:c>
      <x:c r="E290" s="15" t="str">
        <x:v>The King, on the application of Fajr Ellis v (1) The Secretary of State for Education and (2) The Secretary of State for Justice</x:v>
      </x:c>
      <x:c r="F290" s="16" t="n">
        <x:v>46236.497621863426</x:v>
      </x:c>
      <x:c r="G290" s="15" t="str">
        <x:v>case</x:v>
      </x:c>
      <x:c r="H290" s="15" t="str">
        <x:v>case:2000 1 wlr 377</x:v>
      </x:c>
      <x:c r="I290" s="15" t="str">
        <x:v>Flannery v Halifax Estate Agencies Ltd [2000] 1 WLR 377</x:v>
      </x:c>
      <x:c r="J290" s="15" t="str">
        <x:v>Flannery v Halifax Estate Agencies Ltd [2000] 1 WLR 377</x:v>
      </x:c>
      <x:c r="K290" s="15" t="str"/>
      <x:c r="L290" s="15" t="str"/>
      <x:c r="M290" s="15" t="n">
        <x:v>1</x:v>
      </x:c>
      <x:c r="N290" s="15" t="str">
        <x:v>legalFramework.precedentCitations[1]</x:v>
      </x:c>
    </x:row>
    <x:row r="291">
      <x:c r="A291" s="1" t="str">
        <x:v>U0290</x:v>
      </x:c>
      <x:c r="B291" s="1" t="str">
        <x:v>cmsbqvqsj000h04jnb8tn656h</x:v>
      </x:c>
      <x:c r="C291" s="1" t="str">
        <x:v>ca-2024-000255-the-king-on-the-application-of-appellant-skeleton</x:v>
      </x:c>
      <x:c r="D291" s="1" t="str">
        <x:v>real</x:v>
      </x:c>
      <x:c r="E291" s="15" t="str">
        <x:v>The King, on the application of Fajr Ellis v (1) The Secretary of State for Education and (2) The Secretary of State for Justice</x:v>
      </x:c>
      <x:c r="F291" s="16" t="n">
        <x:v>46236.497621863426</x:v>
      </x:c>
      <x:c r="G291" s="15" t="str">
        <x:v>case</x:v>
      </x:c>
      <x:c r="H291" s="15" t="str">
        <x:v>case:2002 ewca civ 605</x:v>
      </x:c>
      <x:c r="I291" s="15" t="str">
        <x:v>English v Emery Reimbold &amp; Strick Ltd [2002] EWCA Civ 605</x:v>
      </x:c>
      <x:c r="J291" s="15" t="str">
        <x:v>English v Emery Reimbold &amp; Strick Ltd [2002] EWCA Civ 605</x:v>
      </x:c>
      <x:c r="K291" s="15" t="str"/>
      <x:c r="L291" s="15" t="str"/>
      <x:c r="M291" s="15" t="n">
        <x:v>1</x:v>
      </x:c>
      <x:c r="N291" s="15" t="str">
        <x:v>legalFramework.precedentCitations[0]</x:v>
      </x:c>
    </x:row>
    <x:row r="292">
      <x:c r="A292" s="1" t="str">
        <x:v>U0291</x:v>
      </x:c>
      <x:c r="B292" s="1" t="str">
        <x:v>cmsbqvqsj000h04jnb8tn656h</x:v>
      </x:c>
      <x:c r="C292" s="1" t="str">
        <x:v>ca-2024-000255-the-king-on-the-application-of-appellant-skeleton</x:v>
      </x:c>
      <x:c r="D292" s="1" t="str">
        <x:v>real</x:v>
      </x:c>
      <x:c r="E292" s="15" t="str">
        <x:v>The King, on the application of Fajr Ellis v (1) The Secretary of State for Education and (2) The Secretary of State for Justice</x:v>
      </x:c>
      <x:c r="F292" s="16" t="n">
        <x:v>46236.497621863426</x:v>
      </x:c>
      <x:c r="G292" s="15" t="str">
        <x:v>case</x:v>
      </x:c>
      <x:c r="H292" s="15" t="str">
        <x:v>case:2015 ewca civ 1259</x:v>
      </x:c>
      <x:c r="I292" s="15" t="str">
        <x:v>BK &amp; Anor v The Secretary of State for Justice</x:v>
      </x:c>
      <x:c r="J292" s="15" t="str">
        <x:v>[2015] EWCA Civ 1259</x:v>
      </x:c>
      <x:c r="K292" s="15" t="str">
        <x:v>c5a5edf0-4845-4195-a969-082c8b5afa2a</x:v>
      </x:c>
      <x:c r="L292" s="15" t="str"/>
      <x:c r="M292" s="15" t="n">
        <x:v>2</x:v>
      </x:c>
      <x:c r="N292" s="15" t="str">
        <x:v>issuesForDetermination.issueMatrix[0].sourceCases[0] | reasoningStructure[0].sourceCases[0]</x:v>
      </x:c>
    </x:row>
    <x:row r="293">
      <x:c r="A293" s="1" t="str">
        <x:v>U0292</x:v>
      </x:c>
      <x:c r="B293" s="1" t="str">
        <x:v>cmsbqvqsj000h04jnb8tn656h</x:v>
      </x:c>
      <x:c r="C293" s="1" t="str">
        <x:v>ca-2024-000255-the-king-on-the-application-of-appellant-skeleton</x:v>
      </x:c>
      <x:c r="D293" s="1" t="str">
        <x:v>real</x:v>
      </x:c>
      <x:c r="E293" s="15" t="str">
        <x:v>The King, on the application of Fajr Ellis v (1) The Secretary of State for Education and (2) The Secretary of State for Justice</x:v>
      </x:c>
      <x:c r="F293" s="16" t="n">
        <x:v>46236.497621863426</x:v>
      </x:c>
      <x:c r="G293" s="15" t="str">
        <x:v>case</x:v>
      </x:c>
      <x:c r="H293" s="15" t="str">
        <x:v>case:parratt r on the application of v parole board</x:v>
      </x:c>
      <x:c r="I293" s="15" t="str">
        <x:v>Parratt, R (on the application of) v Parole Board</x:v>
      </x:c>
      <x:c r="J293" s="15" t="str">
        <x:v>N/A</x:v>
      </x:c>
      <x:c r="K293" s="15" t="str">
        <x:v>464b6335-7623-49ec-8536-df2bb3ae5a4d</x:v>
      </x:c>
      <x:c r="L293" s="15" t="str"/>
      <x:c r="M293" s="15" t="n">
        <x:v>2</x:v>
      </x:c>
      <x:c r="N293" s="15" t="str">
        <x:v>issuesForDetermination.issueMatrix[1].sourceCases[0] | reasoningStructure[1].sourceCases[0]</x:v>
      </x:c>
    </x:row>
    <x:row r="294">
      <x:c r="A294" s="1" t="str">
        <x:v>U0293</x:v>
      </x:c>
      <x:c r="B294" s="1" t="str">
        <x:v>cmsbqvqsj000h04jnb8tn656h</x:v>
      </x:c>
      <x:c r="C294" s="1" t="str">
        <x:v>ca-2024-000255-the-king-on-the-application-of-appellant-skeleton</x:v>
      </x:c>
      <x:c r="D294" s="1" t="str">
        <x:v>real</x:v>
      </x:c>
      <x:c r="E294" s="15" t="str">
        <x:v>The King, on the application of Fajr Ellis v (1) The Secretary of State for Education and (2) The Secretary of State for Justice</x:v>
      </x:c>
      <x:c r="F294" s="16" t="n">
        <x:v>46236.497621863426</x:v>
      </x:c>
      <x:c r="G294" s="15" t="str">
        <x:v>case</x:v>
      </x:c>
      <x:c r="H294" s="15" t="str">
        <x:v>case:the howard league for penal reform and prisoners advice service v the lord chancellor</x:v>
      </x:c>
      <x:c r="I294" s="15" t="str">
        <x:v>The Howard League for Penal Reform and Prisoners' Advice Service v The Lord Chancellor</x:v>
      </x:c>
      <x:c r="J294" s="15" t="str">
        <x:v>N/A</x:v>
      </x:c>
      <x:c r="K294" s="15" t="str">
        <x:v>d60a5323-796e-4110-a6de-012ec16860c1</x:v>
      </x:c>
      <x:c r="L294" s="15" t="str"/>
      <x:c r="M294" s="15" t="n">
        <x:v>2</x:v>
      </x:c>
      <x:c r="N294" s="15" t="str">
        <x:v>factualFindings.contestedFacts[1].sourceCases[0] | legalFramework.statutoryProvisions[0].sourceCases[0]</x:v>
      </x:c>
    </x:row>
    <x:row r="295">
      <x:c r="A295" s="1" t="str">
        <x:v>U0294</x:v>
      </x:c>
      <x:c r="B295" s="1" t="str">
        <x:v>cmsbqvqsj000h04jnb8tn656h</x:v>
      </x:c>
      <x:c r="C295" s="1" t="str">
        <x:v>ca-2024-000255-the-king-on-the-application-of-appellant-skeleton</x:v>
      </x:c>
      <x:c r="D295" s="1" t="str">
        <x:v>real</x:v>
      </x:c>
      <x:c r="E295" s="15" t="str">
        <x:v>The King, on the application of Fajr Ellis v (1) The Secretary of State for Education and (2) The Secretary of State for Justice</x:v>
      </x:c>
      <x:c r="F295" s="16" t="n">
        <x:v>46236.497621863426</x:v>
      </x:c>
      <x:c r="G295" s="15" t="str">
        <x:v>case</x:v>
      </x:c>
      <x:c r="H295" s="15" t="str">
        <x:v>case:velyo velev v bulgaria</x:v>
      </x:c>
      <x:c r="I295" s="15" t="str">
        <x:v>Velyo Velev v. Bulgaria</x:v>
      </x:c>
      <x:c r="J295" s="15" t="str">
        <x:v>N/A</x:v>
      </x:c>
      <x:c r="K295" s="15" t="str">
        <x:v>dfa97e6e-7e32-4c80-9f6f-5e4f398f9d82</x:v>
      </x:c>
      <x:c r="L295" s="15" t="str"/>
      <x:c r="M295" s="15" t="n">
        <x:v>1</x:v>
      </x:c>
      <x:c r="N295" s="15" t="str">
        <x:v>factualFindings.contestedFacts[0].sourceCases[0]</x:v>
      </x:c>
    </x:row>
    <x:row r="296">
      <x:c r="A296" s="1" t="str">
        <x:v>U0295</x:v>
      </x:c>
      <x:c r="B296" s="1" t="str">
        <x:v>cmsbqvqsj000h04jnb8tn656h</x:v>
      </x:c>
      <x:c r="C296" s="1" t="str">
        <x:v>ca-2024-000255-the-king-on-the-application-of-appellant-skeleton</x:v>
      </x:c>
      <x:c r="D296" s="1" t="str">
        <x:v>real</x:v>
      </x:c>
      <x:c r="E296" s="15" t="str">
        <x:v>The King, on the application of Fajr Ellis v (1) The Secretary of State for Education and (2) The Secretary of State for Justice</x:v>
      </x:c>
      <x:c r="F296" s="16" t="n">
        <x:v>46236.497621863426</x:v>
      </x:c>
      <x:c r="G296" s="15" t="str">
        <x:v>legislation</x:v>
      </x:c>
      <x:c r="H296" s="15" t="str">
        <x:v>legislation:european convention on human rights echr article 2 of the first protocol a2p1</x:v>
      </x:c>
      <x:c r="I296" s="15" t="str">
        <x:v>European Convention on Human Rights (ECHR)</x:v>
      </x:c>
      <x:c r="J296" s="15" t="str">
        <x:v>European Convention on Human Rights (ECHR) Article 2 of the First Protocol (A2P1)</x:v>
      </x:c>
      <x:c r="K296" s="15" t="str"/>
      <x:c r="L296" s="15" t="str">
        <x:v>Article 2 of the First Protocol (A2P1)</x:v>
      </x:c>
      <x:c r="M296" s="15" t="n">
        <x:v>1</x:v>
      </x:c>
      <x:c r="N296" s="15" t="str">
        <x:v>legalFramework.statutoryProvisions[0]</x:v>
      </x:c>
    </x:row>
    <x:row r="297">
      <x:c r="A297" s="1" t="str">
        <x:v>U0296</x:v>
      </x:c>
      <x:c r="B297" s="1" t="str">
        <x:v>cmsbqvqsj000h04jnb8tn656h</x:v>
      </x:c>
      <x:c r="C297" s="1" t="str">
        <x:v>ca-2024-000255-the-king-on-the-application-of-appellant-skeleton</x:v>
      </x:c>
      <x:c r="D297" s="1" t="str">
        <x:v>real</x:v>
      </x:c>
      <x:c r="E297" s="15" t="str">
        <x:v>The King, on the application of Fajr Ellis v (1) The Secretary of State for Education and (2) The Secretary of State for Justice</x:v>
      </x:c>
      <x:c r="F297" s="16" t="n">
        <x:v>46236.497621863426</x:v>
      </x:c>
      <x:c r="G297" s="15" t="str">
        <x:v>legislation</x:v>
      </x:c>
      <x:c r="H297" s="15" t="str">
        <x:v>legislation:senior courts act 1981 s 35a</x:v>
      </x:c>
      <x:c r="I297" s="15" t="str">
        <x:v>Senior Courts Act 1981, s.35A</x:v>
      </x:c>
      <x:c r="J297" s="15" t="str">
        <x:v>Senior Courts Act 1981, s.35A</x:v>
      </x:c>
      <x:c r="K297" s="15" t="str"/>
      <x:c r="L297" s="15" t="str"/>
      <x:c r="M297" s="15" t="n">
        <x:v>1</x:v>
      </x:c>
      <x:c r="N297" s="15" t="str">
        <x:v>decisionAndDisposition.interest.statutoryBasis</x:v>
      </x:c>
    </x:row>
    <x:row r="298">
      <x:c r="A298" s="1" t="str">
        <x:v>U0297</x:v>
      </x:c>
      <x:c r="B298" s="1" t="str">
        <x:v>cmsbr021t001104jndbjo02xo</x:v>
      </x:c>
      <x:c r="C298" s="1" t="str">
        <x:v>ca-2024-002003-greenfields-iow-limited-v-isle-of-appellant-skeleton</x:v>
      </x:c>
      <x:c r="D298" s="1" t="str">
        <x:v>real</x:v>
      </x:c>
      <x:c r="E298" s="15" t="str">
        <x:v>Greenfields (IOW) Limited v Isle of Wight Council &amp; Westridge Village Limited</x:v>
      </x:c>
      <x:c r="F298" s="16" t="n">
        <x:v>46236.49995074074</x:v>
      </x:c>
      <x:c r="G298" s="15" t="str">
        <x:v>case</x:v>
      </x:c>
      <x:c r="H298" s="15" t="str">
        <x:v>case:2002 ewca civ 605</x:v>
      </x:c>
      <x:c r="I298" s="15" t="str">
        <x:v>English v Emery Reimbold &amp; Strick Ltd [2002] EWCA Civ 605</x:v>
      </x:c>
      <x:c r="J298" s="15" t="str">
        <x:v>English v Emery Reimbold &amp; Strick Ltd [2002] EWCA Civ 605</x:v>
      </x:c>
      <x:c r="K298" s="15" t="str"/>
      <x:c r="L298" s="15" t="str"/>
      <x:c r="M298" s="15" t="n">
        <x:v>1</x:v>
      </x:c>
      <x:c r="N298" s="15" t="str">
        <x:v>legalFramework.precedentCitations[1]</x:v>
      </x:c>
    </x:row>
    <x:row r="299">
      <x:c r="A299" s="1" t="str">
        <x:v>U0298</x:v>
      </x:c>
      <x:c r="B299" s="1" t="str">
        <x:v>cmsbr021t001104jndbjo02xo</x:v>
      </x:c>
      <x:c r="C299" s="1" t="str">
        <x:v>ca-2024-002003-greenfields-iow-limited-v-isle-of-appellant-skeleton</x:v>
      </x:c>
      <x:c r="D299" s="1" t="str">
        <x:v>real</x:v>
      </x:c>
      <x:c r="E299" s="15" t="str">
        <x:v>Greenfields (IOW) Limited v Isle of Wight Council &amp; Westridge Village Limited</x:v>
      </x:c>
      <x:c r="F299" s="16" t="n">
        <x:v>46236.49995074074</x:v>
      </x:c>
      <x:c r="G299" s="15" t="str">
        <x:v>case</x:v>
      </x:c>
      <x:c r="H299" s="15" t="str">
        <x:v>case:2022 ewca civ 1304</x:v>
      </x:c>
      <x:c r="I299" s="15" t="str">
        <x:v>Arnold White Estates Ltd v The Forestry Commission</x:v>
      </x:c>
      <x:c r="J299" s="15" t="str">
        <x:v>[2022] EWCA Civ 1304</x:v>
      </x:c>
      <x:c r="K299" s="15" t="str">
        <x:v>76e6ffcd-af03-4155-a667-51d98a79d1d7</x:v>
      </x:c>
      <x:c r="L299" s="15" t="str"/>
      <x:c r="M299" s="15" t="n">
        <x:v>2</x:v>
      </x:c>
      <x:c r="N299" s="15" t="str">
        <x:v>issuesForDetermination.issueMatrix[0].sourceCases[0] | reasoningStructure[0].sourceCases[0]</x:v>
      </x:c>
    </x:row>
    <x:row r="300">
      <x:c r="A300" s="1" t="str">
        <x:v>U0299</x:v>
      </x:c>
      <x:c r="B300" s="1" t="str">
        <x:v>cmsbr021t001104jndbjo02xo</x:v>
      </x:c>
      <x:c r="C300" s="1" t="str">
        <x:v>ca-2024-002003-greenfields-iow-limited-v-isle-of-appellant-skeleton</x:v>
      </x:c>
      <x:c r="D300" s="1" t="str">
        <x:v>real</x:v>
      </x:c>
      <x:c r="E300" s="15" t="str">
        <x:v>Greenfields (IOW) Limited v Isle of Wight Council &amp; Westridge Village Limited</x:v>
      </x:c>
      <x:c r="F300" s="16" t="n">
        <x:v>46236.49995074074</x:v>
      </x:c>
      <x:c r="G300" s="15" t="str">
        <x:v>case</x:v>
      </x:c>
      <x:c r="H300" s="15" t="str">
        <x:v>case:2022 ewca civ 1391</x:v>
      </x:c>
      <x:c r="I300" s="15" t="str">
        <x:v>Smith v Secretary of State for Levelling Up, Housing &amp; Communities &amp; Anor</x:v>
      </x:c>
      <x:c r="J300" s="15" t="str">
        <x:v>[2022] EWCA Civ 1391</x:v>
      </x:c>
      <x:c r="K300" s="15" t="str">
        <x:v>6cd7db33-7ee1-44c0-9219-b2cc7d57d88b</x:v>
      </x:c>
      <x:c r="L300" s="15" t="str"/>
      <x:c r="M300" s="15" t="n">
        <x:v>1</x:v>
      </x:c>
      <x:c r="N300" s="15" t="str">
        <x:v>factualFindings.contestedFacts[0].sourceCases[0]</x:v>
      </x:c>
    </x:row>
    <x:row r="301">
      <x:c r="A301" s="1" t="str">
        <x:v>U0300</x:v>
      </x:c>
      <x:c r="B301" s="1" t="str">
        <x:v>cmsbr021t001104jndbjo02xo</x:v>
      </x:c>
      <x:c r="C301" s="1" t="str">
        <x:v>ca-2024-002003-greenfields-iow-limited-v-isle-of-appellant-skeleton</x:v>
      </x:c>
      <x:c r="D301" s="1" t="str">
        <x:v>real</x:v>
      </x:c>
      <x:c r="E301" s="15" t="str">
        <x:v>Greenfields (IOW) Limited v Isle of Wight Council &amp; Westridge Village Limited</x:v>
      </x:c>
      <x:c r="F301" s="16" t="n">
        <x:v>46236.49995074074</x:v>
      </x:c>
      <x:c r="G301" s="15" t="str">
        <x:v>case</x:v>
      </x:c>
      <x:c r="H301" s="15" t="str">
        <x:v>case:2023 ewca civ 359</x:v>
      </x:c>
      <x:c r="I301" s="15" t="str">
        <x:v>East Quayside 12 LLP v The Council of the City of Newcastle upon Tyne</x:v>
      </x:c>
      <x:c r="J301" s="15" t="str">
        <x:v>[2023] EWCA Civ 359</x:v>
      </x:c>
      <x:c r="K301" s="15" t="str">
        <x:v>3fae9752-b3e5-4a98-a0e5-5ade79ee3e8d</x:v>
      </x:c>
      <x:c r="L301" s="15" t="str"/>
      <x:c r="M301" s="15" t="n">
        <x:v>1</x:v>
      </x:c>
      <x:c r="N301" s="15" t="str">
        <x:v>factualFindings.contestedFacts[0].sourceCases[1]</x:v>
      </x:c>
    </x:row>
    <x:row r="302">
      <x:c r="A302" s="1" t="str">
        <x:v>U0301</x:v>
      </x:c>
      <x:c r="B302" s="1" t="str">
        <x:v>cmsbr021t001104jndbjo02xo</x:v>
      </x:c>
      <x:c r="C302" s="1" t="str">
        <x:v>ca-2024-002003-greenfields-iow-limited-v-isle-of-appellant-skeleton</x:v>
      </x:c>
      <x:c r="D302" s="1" t="str">
        <x:v>real</x:v>
      </x:c>
      <x:c r="E302" s="15" t="str">
        <x:v>Greenfields (IOW) Limited v Isle of Wight Council &amp; Westridge Village Limited</x:v>
      </x:c>
      <x:c r="F302" s="16" t="n">
        <x:v>46236.49995074074</x:v>
      </x:c>
      <x:c r="G302" s="15" t="str">
        <x:v>case</x:v>
      </x:c>
      <x:c r="H302" s="15" t="str">
        <x:v>case:2023 ewca civ 514</x:v>
      </x:c>
      <x:c r="I302" s="15" t="str">
        <x:v>Secretary of State for Levelling Up, Housing and Communities v Smith &amp; Anor</x:v>
      </x:c>
      <x:c r="J302" s="15" t="str">
        <x:v>[2023] EWCA Civ 514</x:v>
      </x:c>
      <x:c r="K302" s="15" t="str">
        <x:v>7f44d9a8-2459-4f6a-84fc-e475bb8f169a</x:v>
      </x:c>
      <x:c r="L302" s="15" t="str"/>
      <x:c r="M302" s="15" t="n">
        <x:v>1</x:v>
      </x:c>
      <x:c r="N302" s="15" t="str">
        <x:v>legalFramework.statutoryProvisions[1].sourceCases[0]</x:v>
      </x:c>
    </x:row>
    <x:row r="303">
      <x:c r="A303" s="1" t="str">
        <x:v>U0302</x:v>
      </x:c>
      <x:c r="B303" s="1" t="str">
        <x:v>cmsbr021t001104jndbjo02xo</x:v>
      </x:c>
      <x:c r="C303" s="1" t="str">
        <x:v>ca-2024-002003-greenfields-iow-limited-v-isle-of-appellant-skeleton</x:v>
      </x:c>
      <x:c r="D303" s="1" t="str">
        <x:v>real</x:v>
      </x:c>
      <x:c r="E303" s="15" t="str">
        <x:v>Greenfields (IOW) Limited v Isle of Wight Council &amp; Westridge Village Limited</x:v>
      </x:c>
      <x:c r="F303" s="16" t="n">
        <x:v>46236.49995074074</x:v>
      </x:c>
      <x:c r="G303" s="15" t="str">
        <x:v>case</x:v>
      </x:c>
      <x:c r="H303" s="15" t="str">
        <x:v>case:flannery v halifax estate agencies ltd</x:v>
      </x:c>
      <x:c r="I303" s="15" t="str">
        <x:v>Flannery v Halifax Estate Agencies Ltd</x:v>
      </x:c>
      <x:c r="J303" s="15" t="str">
        <x:v>Flannery v Halifax Estate Agencies Ltd</x:v>
      </x:c>
      <x:c r="K303" s="15" t="str"/>
      <x:c r="L303" s="15" t="str"/>
      <x:c r="M303" s="15" t="n">
        <x:v>1</x:v>
      </x:c>
      <x:c r="N303" s="15" t="str">
        <x:v>legalFramework.precedentCitations[0]</x:v>
      </x:c>
    </x:row>
    <x:row r="304">
      <x:c r="A304" s="1" t="str">
        <x:v>U0303</x:v>
      </x:c>
      <x:c r="B304" s="1" t="str">
        <x:v>cmsbr021t001104jndbjo02xo</x:v>
      </x:c>
      <x:c r="C304" s="1" t="str">
        <x:v>ca-2024-002003-greenfields-iow-limited-v-isle-of-appellant-skeleton</x:v>
      </x:c>
      <x:c r="D304" s="1" t="str">
        <x:v>real</x:v>
      </x:c>
      <x:c r="E304" s="15" t="str">
        <x:v>Greenfields (IOW) Limited v Isle of Wight Council &amp; Westridge Village Limited</x:v>
      </x:c>
      <x:c r="F304" s="16" t="n">
        <x:v>46236.49995074074</x:v>
      </x:c>
      <x:c r="G304" s="15" t="str">
        <x:v>legislation</x:v>
      </x:c>
      <x:c r="H304" s="15" t="str">
        <x:v>legislation:development management procedure order 2015 article 40 3 b</x:v>
      </x:c>
      <x:c r="I304" s="15" t="str">
        <x:v>Development Management Procedure Order 2015</x:v>
      </x:c>
      <x:c r="J304" s="15" t="str">
        <x:v>Development Management Procedure Order 2015 Article 40(3)(b)</x:v>
      </x:c>
      <x:c r="K304" s="15" t="str"/>
      <x:c r="L304" s="15" t="str">
        <x:v>Article 40(3)(b)</x:v>
      </x:c>
      <x:c r="M304" s="15" t="n">
        <x:v>1</x:v>
      </x:c>
      <x:c r="N304" s="15" t="str">
        <x:v>legalFramework.statutoryProvisions[1]</x:v>
      </x:c>
    </x:row>
    <x:row r="305">
      <x:c r="A305" s="1" t="str">
        <x:v>U0304</x:v>
      </x:c>
      <x:c r="B305" s="1" t="str">
        <x:v>cmsbr021t001104jndbjo02xo</x:v>
      </x:c>
      <x:c r="C305" s="1" t="str">
        <x:v>ca-2024-002003-greenfields-iow-limited-v-isle-of-appellant-skeleton</x:v>
      </x:c>
      <x:c r="D305" s="1" t="str">
        <x:v>real</x:v>
      </x:c>
      <x:c r="E305" s="15" t="str">
        <x:v>Greenfields (IOW) Limited v Isle of Wight Council &amp; Westridge Village Limited</x:v>
      </x:c>
      <x:c r="F305" s="16" t="n">
        <x:v>46236.49995074074</x:v>
      </x:c>
      <x:c r="G305" s="15" t="str">
        <x:v>legislation</x:v>
      </x:c>
      <x:c r="H305" s="15" t="str">
        <x:v>legislation:town and country planning act 1990 s 70</x:v>
      </x:c>
      <x:c r="I305" s="15" t="str">
        <x:v>Town and Country Planning Act 1990</x:v>
      </x:c>
      <x:c r="J305" s="15" t="str">
        <x:v>Town and Country Planning Act 1990 s.70</x:v>
      </x:c>
      <x:c r="K305" s="15" t="str"/>
      <x:c r="L305" s="15" t="str">
        <x:v>s.70</x:v>
      </x:c>
      <x:c r="M305" s="15" t="n">
        <x:v>1</x:v>
      </x:c>
      <x:c r="N305" s="15" t="str">
        <x:v>legalFramework.statutoryProvisions[0]</x:v>
      </x:c>
    </x:row>
    <x:row r="306">
      <x:c r="A306" s="1" t="str">
        <x:v>U0305</x:v>
      </x:c>
      <x:c r="B306" s="1" t="str">
        <x:v>cmsbr3045000j04l4tkps7ymp</x:v>
      </x:c>
      <x:c r="C306" s="1" t="str">
        <x:v>ca-2024-000806-hippodrome-casino-ltd-v-hmrc-appellant-skeleton</x:v>
      </x:c>
      <x:c r="D306" s="1" t="str">
        <x:v>real</x:v>
      </x:c>
      <x:c r="E306" s="15" t="str">
        <x:v>Hippodrome Casino Ltd v HMRC</x:v>
      </x:c>
      <x:c r="F306" s="16" t="n">
        <x:v>46236.501541701386</x:v>
      </x:c>
      <x:c r="G306" s="15" t="str">
        <x:v>case</x:v>
      </x:c>
      <x:c r="H306" s="15" t="str">
        <x:v>case:2000 1 wlr 377</x:v>
      </x:c>
      <x:c r="I306" s="15" t="str">
        <x:v>Flannery v Halifax Estate Agencies Ltd [2000] 1 WLR 377</x:v>
      </x:c>
      <x:c r="J306" s="15" t="str">
        <x:v>Flannery v Halifax Estate Agencies Ltd [2000] 1 WLR 377</x:v>
      </x:c>
      <x:c r="K306" s="15" t="str"/>
      <x:c r="L306" s="15" t="str"/>
      <x:c r="M306" s="15" t="n">
        <x:v>1</x:v>
      </x:c>
      <x:c r="N306" s="15" t="str">
        <x:v>legalFramework.precedentCitations[2]</x:v>
      </x:c>
    </x:row>
    <x:row r="307">
      <x:c r="A307" s="1" t="str">
        <x:v>U0306</x:v>
      </x:c>
      <x:c r="B307" s="1" t="str">
        <x:v>cmsbr3045000j04l4tkps7ymp</x:v>
      </x:c>
      <x:c r="C307" s="1" t="str">
        <x:v>ca-2024-000806-hippodrome-casino-ltd-v-hmrc-appellant-skeleton</x:v>
      </x:c>
      <x:c r="D307" s="1" t="str">
        <x:v>real</x:v>
      </x:c>
      <x:c r="E307" s="15" t="str">
        <x:v>Hippodrome Casino Ltd v HMRC</x:v>
      </x:c>
      <x:c r="F307" s="16" t="n">
        <x:v>46236.501541701386</x:v>
      </x:c>
      <x:c r="G307" s="15" t="str">
        <x:v>case</x:v>
      </x:c>
      <x:c r="H307" s="15" t="str">
        <x:v>case:2015 ewca civ 1293</x:v>
      </x:c>
      <x:c r="I307" s="15" t="str">
        <x:v>Leeds City Council v HM Revenue and Customs</x:v>
      </x:c>
      <x:c r="J307" s="15" t="str">
        <x:v>[2015] EWCA Civ 1293</x:v>
      </x:c>
      <x:c r="K307" s="15" t="str">
        <x:v>5be7238d-b78e-4194-90ec-c036be53b377</x:v>
      </x:c>
      <x:c r="L307" s="15" t="str"/>
      <x:c r="M307" s="15" t="n">
        <x:v>1</x:v>
      </x:c>
      <x:c r="N307" s="15" t="str">
        <x:v>legalFramework.precedentCitations[2].sourceCases[0]</x:v>
      </x:c>
    </x:row>
    <x:row r="308">
      <x:c r="A308" s="1" t="str">
        <x:v>U0307</x:v>
      </x:c>
      <x:c r="B308" s="1" t="str">
        <x:v>cmsbr3045000j04l4tkps7ymp</x:v>
      </x:c>
      <x:c r="C308" s="1" t="str">
        <x:v>ca-2024-000806-hippodrome-casino-ltd-v-hmrc-appellant-skeleton</x:v>
      </x:c>
      <x:c r="D308" s="1" t="str">
        <x:v>real</x:v>
      </x:c>
      <x:c r="E308" s="15" t="str">
        <x:v>Hippodrome Casino Ltd v HMRC</x:v>
      </x:c>
      <x:c r="F308" s="16" t="n">
        <x:v>46236.501541701386</x:v>
      </x:c>
      <x:c r="G308" s="15" t="str">
        <x:v>case</x:v>
      </x:c>
      <x:c r="H308" s="15" t="str">
        <x:v>case:2022 ewca civ 103</x:v>
      </x:c>
      <x:c r="I308" s="15" t="str">
        <x:v>Regency Factors Plc v HM Revenue &amp; Customs (Rev1)</x:v>
      </x:c>
      <x:c r="J308" s="15" t="str">
        <x:v>[2022] EWCA Civ 103</x:v>
      </x:c>
      <x:c r="K308" s="15" t="str">
        <x:v>bfa85128-3daf-4206-8d8f-d2dc5f32ab27</x:v>
      </x:c>
      <x:c r="L308" s="15" t="str"/>
      <x:c r="M308" s="15" t="n">
        <x:v>3</x:v>
      </x:c>
      <x:c r="N308" s="15" t="str">
        <x:v>factualFindings.contestedFacts[1].sourceCases[0] | issuesForDetermination.issueMatrix[0].sourceCases[0] | reasoningStructure[0].sourceCases[0]</x:v>
      </x:c>
    </x:row>
    <x:row r="309">
      <x:c r="A309" s="1" t="str">
        <x:v>U0308</x:v>
      </x:c>
      <x:c r="B309" s="1" t="str">
        <x:v>cmsbr3045000j04l4tkps7ymp</x:v>
      </x:c>
      <x:c r="C309" s="1" t="str">
        <x:v>ca-2024-000806-hippodrome-casino-ltd-v-hmrc-appellant-skeleton</x:v>
      </x:c>
      <x:c r="D309" s="1" t="str">
        <x:v>real</x:v>
      </x:c>
      <x:c r="E309" s="15" t="str">
        <x:v>Hippodrome Casino Ltd v HMRC</x:v>
      </x:c>
      <x:c r="F309" s="16" t="n">
        <x:v>46236.501541701386</x:v>
      </x:c>
      <x:c r="G309" s="15" t="str">
        <x:v>case</x:v>
      </x:c>
      <x:c r="H309" s="15" t="str">
        <x:v>case:hmrc v volkswagen financial services case c 153 17</x:v>
      </x:c>
      <x:c r="I309" s="15" t="str">
        <x:v>HMRC v Volkswagen Financial Services (Case C-153/17)</x:v>
      </x:c>
      <x:c r="J309" s="15" t="str">
        <x:v>HMRC v Volkswagen Financial Services (Case C-153/17)</x:v>
      </x:c>
      <x:c r="K309" s="15" t="str"/>
      <x:c r="L309" s="15" t="str"/>
      <x:c r="M309" s="15" t="n">
        <x:v>1</x:v>
      </x:c>
      <x:c r="N309" s="15" t="str">
        <x:v>legalFramework.precedentCitations[0]</x:v>
      </x:c>
    </x:row>
    <x:row r="310">
      <x:c r="A310" s="1" t="str">
        <x:v>U0309</x:v>
      </x:c>
      <x:c r="B310" s="1" t="str">
        <x:v>cmsbr3045000j04l4tkps7ymp</x:v>
      </x:c>
      <x:c r="C310" s="1" t="str">
        <x:v>ca-2024-000806-hippodrome-casino-ltd-v-hmrc-appellant-skeleton</x:v>
      </x:c>
      <x:c r="D310" s="1" t="str">
        <x:v>real</x:v>
      </x:c>
      <x:c r="E310" s="15" t="str">
        <x:v>Hippodrome Casino Ltd v HMRC</x:v>
      </x:c>
      <x:c r="F310" s="16" t="n">
        <x:v>46236.501541701386</x:v>
      </x:c>
      <x:c r="G310" s="15" t="str">
        <x:v>case</x:v>
      </x:c>
      <x:c r="H310" s="15" t="str">
        <x:v>case:revenue and customs v mercedes benz financial services uk ltd</x:v>
      </x:c>
      <x:c r="I310" s="15" t="str">
        <x:v>Revenue and Customs v Mercedes-Benz Financial Services UK Ltd</x:v>
      </x:c>
      <x:c r="J310" s="15" t="str">
        <x:v>N/A</x:v>
      </x:c>
      <x:c r="K310" s="15" t="str">
        <x:v>4ce131bd-2742-476d-a37a-0727c7980ebc</x:v>
      </x:c>
      <x:c r="L310" s="15" t="str"/>
      <x:c r="M310" s="15" t="n">
        <x:v>2</x:v>
      </x:c>
      <x:c r="N310" s="15" t="str">
        <x:v>issuesForDetermination.issueMatrix[1].sourceCases[0] | reasoningStructure[1].sourceCases[0]</x:v>
      </x:c>
    </x:row>
    <x:row r="311">
      <x:c r="A311" s="1" t="str">
        <x:v>U0310</x:v>
      </x:c>
      <x:c r="B311" s="1" t="str">
        <x:v>cmsbr3045000j04l4tkps7ymp</x:v>
      </x:c>
      <x:c r="C311" s="1" t="str">
        <x:v>ca-2024-000806-hippodrome-casino-ltd-v-hmrc-appellant-skeleton</x:v>
      </x:c>
      <x:c r="D311" s="1" t="str">
        <x:v>real</x:v>
      </x:c>
      <x:c r="E311" s="15" t="str">
        <x:v>Hippodrome Casino Ltd v HMRC</x:v>
      </x:c>
      <x:c r="F311" s="16" t="n">
        <x:v>46236.501541701386</x:v>
      </x:c>
      <x:c r="G311" s="15" t="str">
        <x:v>case</x:v>
      </x:c>
      <x:c r="H311" s="15" t="str">
        <x:v>case:st helen s school northwood v rcc</x:v>
      </x:c>
      <x:c r="I311" s="15" t="str">
        <x:v>St Helen’s School Northwood v RCC</x:v>
      </x:c>
      <x:c r="J311" s="15" t="str">
        <x:v>St Helen’s School Northwood v RCC</x:v>
      </x:c>
      <x:c r="K311" s="15" t="str"/>
      <x:c r="L311" s="15" t="str"/>
      <x:c r="M311" s="15" t="n">
        <x:v>1</x:v>
      </x:c>
      <x:c r="N311" s="15" t="str">
        <x:v>legalFramework.precedentCitations[1]</x:v>
      </x:c>
    </x:row>
    <x:row r="312">
      <x:c r="A312" s="1" t="str">
        <x:v>U0311</x:v>
      </x:c>
      <x:c r="B312" s="1" t="str">
        <x:v>cmsbr3045000j04l4tkps7ymp</x:v>
      </x:c>
      <x:c r="C312" s="1" t="str">
        <x:v>ca-2024-000806-hippodrome-casino-ltd-v-hmrc-appellant-skeleton</x:v>
      </x:c>
      <x:c r="D312" s="1" t="str">
        <x:v>real</x:v>
      </x:c>
      <x:c r="E312" s="15" t="str">
        <x:v>Hippodrome Casino Ltd v HMRC</x:v>
      </x:c>
      <x:c r="F312" s="16" t="n">
        <x:v>46236.501541701386</x:v>
      </x:c>
      <x:c r="G312" s="15" t="str">
        <x:v>case</x:v>
      </x:c>
      <x:c r="H312" s="15" t="str">
        <x:v>case:volkswagen financial services uk ltd v hm revenue &amp; customs</x:v>
      </x:c>
      <x:c r="I312" s="15" t="str">
        <x:v>Volkswagen Financial Services (UK) Ltd v HM Revenue &amp; Customs</x:v>
      </x:c>
      <x:c r="J312" s="15" t="str">
        <x:v>N/A</x:v>
      </x:c>
      <x:c r="K312" s="15" t="str">
        <x:v>b9498527-3250-49cd-9d8e-ed7c0dda200e</x:v>
      </x:c>
      <x:c r="L312" s="15" t="str"/>
      <x:c r="M312" s="15" t="n">
        <x:v>1</x:v>
      </x:c>
      <x:c r="N312" s="15" t="str">
        <x:v>factualFindings.contestedFacts[0].sourceCases[0]</x:v>
      </x:c>
    </x:row>
    <x:row r="313">
      <x:c r="A313" s="1" t="str">
        <x:v>U0312</x:v>
      </x:c>
      <x:c r="B313" s="1" t="str">
        <x:v>cmsbr3045000j04l4tkps7ymp</x:v>
      </x:c>
      <x:c r="C313" s="1" t="str">
        <x:v>ca-2024-000806-hippodrome-casino-ltd-v-hmrc-appellant-skeleton</x:v>
      </x:c>
      <x:c r="D313" s="1" t="str">
        <x:v>real</x:v>
      </x:c>
      <x:c r="E313" s="15" t="str">
        <x:v>Hippodrome Casino Ltd v HMRC</x:v>
      </x:c>
      <x:c r="F313" s="16" t="n">
        <x:v>46236.501541701386</x:v>
      </x:c>
      <x:c r="G313" s="15" t="str">
        <x:v>legislation</x:v>
      </x:c>
      <x:c r="H313" s="15" t="str">
        <x:v>legislation:senior courts act 1981 s 35a</x:v>
      </x:c>
      <x:c r="I313" s="15" t="str">
        <x:v>Senior Courts Act 1981, s.35A</x:v>
      </x:c>
      <x:c r="J313" s="15" t="str">
        <x:v>Senior Courts Act 1981, s.35A</x:v>
      </x:c>
      <x:c r="K313" s="15" t="str"/>
      <x:c r="L313" s="15" t="str"/>
      <x:c r="M313" s="15" t="n">
        <x:v>1</x:v>
      </x:c>
      <x:c r="N313" s="15" t="str">
        <x:v>decisionAndDisposition.interest.statutoryBasis</x:v>
      </x:c>
    </x:row>
    <x:row r="314">
      <x:c r="A314" s="1" t="str">
        <x:v>U0313</x:v>
      </x:c>
      <x:c r="B314" s="1" t="str">
        <x:v>cmsbr3045000j04l4tkps7ymp</x:v>
      </x:c>
      <x:c r="C314" s="1" t="str">
        <x:v>ca-2024-000806-hippodrome-casino-ltd-v-hmrc-appellant-skeleton</x:v>
      </x:c>
      <x:c r="D314" s="1" t="str">
        <x:v>real</x:v>
      </x:c>
      <x:c r="E314" s="15" t="str">
        <x:v>Hippodrome Casino Ltd v HMRC</x:v>
      </x:c>
      <x:c r="F314" s="16" t="n">
        <x:v>46236.501541701386</x:v>
      </x:c>
      <x:c r="G314" s="15" t="str">
        <x:v>legislation</x:v>
      </x:c>
      <x:c r="H314" s="15" t="str">
        <x:v>legislation:value added tax act 1994 s 38</x:v>
      </x:c>
      <x:c r="I314" s="15" t="str">
        <x:v>Value Added Tax Act 1994</x:v>
      </x:c>
      <x:c r="J314" s="15" t="str">
        <x:v>Value Added Tax Act 1994 Section 38</x:v>
      </x:c>
      <x:c r="K314" s="15" t="str"/>
      <x:c r="L314" s="15" t="str">
        <x:v>Section 38</x:v>
      </x:c>
      <x:c r="M314" s="15" t="n">
        <x:v>1</x:v>
      </x:c>
      <x:c r="N314" s="15" t="str">
        <x:v>legalFramework.statutoryProvisions[0]</x:v>
      </x:c>
    </x:row>
    <x:row r="315">
      <x:c r="A315" s="1" t="str">
        <x:v>U0314</x:v>
      </x:c>
      <x:c r="B315" s="1" t="str">
        <x:v>cmsbr3045000j04l4tkps7ymp</x:v>
      </x:c>
      <x:c r="C315" s="1" t="str">
        <x:v>ca-2024-000806-hippodrome-casino-ltd-v-hmrc-appellant-skeleton</x:v>
      </x:c>
      <x:c r="D315" s="1" t="str">
        <x:v>real</x:v>
      </x:c>
      <x:c r="E315" s="15" t="str">
        <x:v>Hippodrome Casino Ltd v HMRC</x:v>
      </x:c>
      <x:c r="F315" s="16" t="n">
        <x:v>46236.501541701386</x:v>
      </x:c>
      <x:c r="G315" s="15" t="str">
        <x:v>legislation</x:v>
      </x:c>
      <x:c r="H315" s="15" t="str">
        <x:v>legislation:vat regulations 1995 regulation 101</x:v>
      </x:c>
      <x:c r="I315" s="15" t="str">
        <x:v>VAT Regulations 1995</x:v>
      </x:c>
      <x:c r="J315" s="15" t="str">
        <x:v>VAT Regulations 1995 Regulation 101</x:v>
      </x:c>
      <x:c r="K315" s="15" t="str"/>
      <x:c r="L315" s="15" t="str">
        <x:v>Regulation 101</x:v>
      </x:c>
      <x:c r="M315" s="15" t="n">
        <x:v>1</x:v>
      </x:c>
      <x:c r="N315" s="15" t="str">
        <x:v>legalFramework.statutoryProvisions[1]</x:v>
      </x:c>
    </x:row>
    <x:row r="316">
      <x:c r="A316" s="1" t="str">
        <x:v>U0315</x:v>
      </x:c>
      <x:c r="B316" s="1" t="str">
        <x:v>cmsbr4fhb000v04l4mgwtz5x1</x:v>
      </x:c>
      <x:c r="C316" s="1" t="str">
        <x:v>ca-2024-000806-hippodrome-casino-ltd-v-hmrc-appellant-skeleton</x:v>
      </x:c>
      <x:c r="D316" s="1" t="str">
        <x:v>real</x:v>
      </x:c>
      <x:c r="E316" s="15" t="str">
        <x:v>Hippodrome Casino Ltd v HMRC</x:v>
      </x:c>
      <x:c r="F316" s="16" t="n">
        <x:v>46236.502312199074</x:v>
      </x:c>
      <x:c r="G316" s="15" t="str">
        <x:v>case</x:v>
      </x:c>
      <x:c r="H316" s="15" t="str">
        <x:v>case:2002 ewca civ 605</x:v>
      </x:c>
      <x:c r="I316" s="15" t="str">
        <x:v>English v Emery Reimbold &amp; Strick Ltd [2002] EWCA Civ 605</x:v>
      </x:c>
      <x:c r="J316" s="15" t="str">
        <x:v>English v Emery Reimbold &amp; Strick Ltd [2002] EWCA Civ 605</x:v>
      </x:c>
      <x:c r="K316" s="15" t="str"/>
      <x:c r="L316" s="15" t="str"/>
      <x:c r="M316" s="15" t="n">
        <x:v>1</x:v>
      </x:c>
      <x:c r="N316" s="15" t="str">
        <x:v>legalFramework.precedentCitations[0]</x:v>
      </x:c>
    </x:row>
    <x:row r="317">
      <x:c r="A317" s="1" t="str">
        <x:v>U0316</x:v>
      </x:c>
      <x:c r="B317" s="1" t="str">
        <x:v>cmsbr4fhb000v04l4mgwtz5x1</x:v>
      </x:c>
      <x:c r="C317" s="1" t="str">
        <x:v>ca-2024-000806-hippodrome-casino-ltd-v-hmrc-appellant-skeleton</x:v>
      </x:c>
      <x:c r="D317" s="1" t="str">
        <x:v>real</x:v>
      </x:c>
      <x:c r="E317" s="15" t="str">
        <x:v>Hippodrome Casino Ltd v HMRC</x:v>
      </x:c>
      <x:c r="F317" s="16" t="n">
        <x:v>46236.502312199074</x:v>
      </x:c>
      <x:c r="G317" s="15" t="str">
        <x:v>case</x:v>
      </x:c>
      <x:c r="H317" s="15" t="str">
        <x:v>case:2015 ewca civ 515</x:v>
      </x:c>
      <x:c r="I317" s="15" t="str">
        <x:v>Littlewoods Ltd &amp; Ors v HM Revenue and Customs</x:v>
      </x:c>
      <x:c r="J317" s="15" t="str">
        <x:v>[2015] EWCA Civ 515</x:v>
      </x:c>
      <x:c r="K317" s="15" t="str">
        <x:v>88bb4a5f-a731-48de-9e0d-c8537ea915a0</x:v>
      </x:c>
      <x:c r="L317" s="15" t="str"/>
      <x:c r="M317" s="15" t="n">
        <x:v>1</x:v>
      </x:c>
      <x:c r="N317" s="15" t="str">
        <x:v>factualFindings.contestedFacts[0].sourceCases[0]</x:v>
      </x:c>
    </x:row>
    <x:row r="318">
      <x:c r="A318" s="1" t="str">
        <x:v>U0317</x:v>
      </x:c>
      <x:c r="B318" s="1" t="str">
        <x:v>cmsbr4fhb000v04l4mgwtz5x1</x:v>
      </x:c>
      <x:c r="C318" s="1" t="str">
        <x:v>ca-2024-000806-hippodrome-casino-ltd-v-hmrc-appellant-skeleton</x:v>
      </x:c>
      <x:c r="D318" s="1" t="str">
        <x:v>real</x:v>
      </x:c>
      <x:c r="E318" s="15" t="str">
        <x:v>Hippodrome Casino Ltd v HMRC</x:v>
      </x:c>
      <x:c r="F318" s="16" t="n">
        <x:v>46236.502312199074</x:v>
      </x:c>
      <x:c r="G318" s="15" t="str">
        <x:v>case</x:v>
      </x:c>
      <x:c r="H318" s="15" t="str">
        <x:v>case:2017 ewca civ 2111</x:v>
      </x:c>
      <x:c r="I318" s="15" t="str">
        <x:v>ING Intermediate Holdings Ltd v HM Revenue and Customs</x:v>
      </x:c>
      <x:c r="J318" s="15" t="str">
        <x:v>[2017] EWCA Civ 2111</x:v>
      </x:c>
      <x:c r="K318" s="15" t="str">
        <x:v>38eac6a9-6018-40fe-9d73-ab111162e65d</x:v>
      </x:c>
      <x:c r="L318" s="15" t="str"/>
      <x:c r="M318" s="15" t="n">
        <x:v>2</x:v>
      </x:c>
      <x:c r="N318" s="15" t="str">
        <x:v>issuesForDetermination.issueMatrix[0].sourceCases[0] | reasoningStructure[1].sourceCases[0]</x:v>
      </x:c>
    </x:row>
    <x:row r="319">
      <x:c r="A319" s="1" t="str">
        <x:v>U0318</x:v>
      </x:c>
      <x:c r="B319" s="1" t="str">
        <x:v>cmsbr4fhb000v04l4mgwtz5x1</x:v>
      </x:c>
      <x:c r="C319" s="1" t="str">
        <x:v>ca-2024-000806-hippodrome-casino-ltd-v-hmrc-appellant-skeleton</x:v>
      </x:c>
      <x:c r="D319" s="1" t="str">
        <x:v>real</x:v>
      </x:c>
      <x:c r="E319" s="15" t="str">
        <x:v>Hippodrome Casino Ltd v HMRC</x:v>
      </x:c>
      <x:c r="F319" s="16" t="n">
        <x:v>46236.502312199074</x:v>
      </x:c>
      <x:c r="G319" s="15" t="str">
        <x:v>case</x:v>
      </x:c>
      <x:c r="H319" s="15" t="str">
        <x:v>case:2022 ewca civ 998</x:v>
      </x:c>
      <x:c r="I319" s="15" t="str">
        <x:v>Tower Bridge GP Ltd v Revenue And Customs</x:v>
      </x:c>
      <x:c r="J319" s="15" t="str">
        <x:v>[2022] EWCA Civ 998</x:v>
      </x:c>
      <x:c r="K319" s="15" t="str">
        <x:v>52d1be75-0d9f-4b51-b6fc-183cfce77220</x:v>
      </x:c>
      <x:c r="L319" s="15" t="str"/>
      <x:c r="M319" s="15" t="n">
        <x:v>1</x:v>
      </x:c>
      <x:c r="N319" s="15" t="str">
        <x:v>issuesForDetermination.issueMatrix[1].sourceCases[0]</x:v>
      </x:c>
    </x:row>
    <x:row r="320">
      <x:c r="A320" s="1" t="str">
        <x:v>U0319</x:v>
      </x:c>
      <x:c r="B320" s="1" t="str">
        <x:v>cmsbr4fhb000v04l4mgwtz5x1</x:v>
      </x:c>
      <x:c r="C320" s="1" t="str">
        <x:v>ca-2024-000806-hippodrome-casino-ltd-v-hmrc-appellant-skeleton</x:v>
      </x:c>
      <x:c r="D320" s="1" t="str">
        <x:v>real</x:v>
      </x:c>
      <x:c r="E320" s="15" t="str">
        <x:v>Hippodrome Casino Ltd v HMRC</x:v>
      </x:c>
      <x:c r="F320" s="16" t="n">
        <x:v>46236.502312199074</x:v>
      </x:c>
      <x:c r="G320" s="15" t="str">
        <x:v>case</x:v>
      </x:c>
      <x:c r="H320" s="15" t="str">
        <x:v>case:reed employment ltd v hm revenue and customs</x:v>
      </x:c>
      <x:c r="I320" s="15" t="str">
        <x:v>Reed Employment Ltd v HM Revenue and Customs</x:v>
      </x:c>
      <x:c r="J320" s="15" t="str">
        <x:v>N/A</x:v>
      </x:c>
      <x:c r="K320" s="15" t="str">
        <x:v>5c2719bb-df7d-4d55-a473-dd5087c1d2e8</x:v>
      </x:c>
      <x:c r="L320" s="15" t="str"/>
      <x:c r="M320" s="15" t="n">
        <x:v>2</x:v>
      </x:c>
      <x:c r="N320" s="15" t="str">
        <x:v>factualFindings.contestedFacts[1].sourceCases[0] | reasoningStructure[0].sourceCases[0]</x:v>
      </x:c>
    </x:row>
    <x:row r="321">
      <x:c r="A321" s="1" t="str">
        <x:v>U0320</x:v>
      </x:c>
      <x:c r="B321" s="1" t="str">
        <x:v>cmsbr4fhb000v04l4mgwtz5x1</x:v>
      </x:c>
      <x:c r="C321" s="1" t="str">
        <x:v>ca-2024-000806-hippodrome-casino-ltd-v-hmrc-appellant-skeleton</x:v>
      </x:c>
      <x:c r="D321" s="1" t="str">
        <x:v>real</x:v>
      </x:c>
      <x:c r="E321" s="15" t="str">
        <x:v>Hippodrome Casino Ltd v HMRC</x:v>
      </x:c>
      <x:c r="F321" s="16" t="n">
        <x:v>46236.502312199074</x:v>
      </x:c>
      <x:c r="G321" s="15" t="str">
        <x:v>case</x:v>
      </x:c>
      <x:c r="H321" s="15" t="str">
        <x:v>case:university of huddersfield higher education corporation v hm revenue and customs</x:v>
      </x:c>
      <x:c r="I321" s="15" t="str">
        <x:v>University of Huddersfield Higher Education Corporation v HM Revenue and Customs</x:v>
      </x:c>
      <x:c r="J321" s="15" t="str">
        <x:v>N/A</x:v>
      </x:c>
      <x:c r="K321" s="15" t="str">
        <x:v>3d0c1d2a-8c23-4f19-a7ba-587826b75f45</x:v>
      </x:c>
      <x:c r="L321" s="15" t="str"/>
      <x:c r="M321" s="15" t="n">
        <x:v>1</x:v>
      </x:c>
      <x:c r="N321" s="15" t="str">
        <x:v>legalFramework.statutoryProvisions[0].sourceCases[0]</x:v>
      </x:c>
    </x:row>
    <x:row r="322">
      <x:c r="A322" s="1" t="str">
        <x:v>U0321</x:v>
      </x:c>
      <x:c r="B322" s="1" t="str">
        <x:v>cmsbr4fhb000v04l4mgwtz5x1</x:v>
      </x:c>
      <x:c r="C322" s="1" t="str">
        <x:v>ca-2024-000806-hippodrome-casino-ltd-v-hmrc-appellant-skeleton</x:v>
      </x:c>
      <x:c r="D322" s="1" t="str">
        <x:v>real</x:v>
      </x:c>
      <x:c r="E322" s="15" t="str">
        <x:v>Hippodrome Casino Ltd v HMRC</x:v>
      </x:c>
      <x:c r="F322" s="16" t="n">
        <x:v>46236.502312199074</x:v>
      </x:c>
      <x:c r="G322" s="15" t="str">
        <x:v>legislation</x:v>
      </x:c>
      <x:c r="H322" s="15" t="str">
        <x:v>legislation:senior courts act 1981 s 35a</x:v>
      </x:c>
      <x:c r="I322" s="15" t="str">
        <x:v>Senior Courts Act 1981, s.35A</x:v>
      </x:c>
      <x:c r="J322" s="15" t="str">
        <x:v>Senior Courts Act 1981, s.35A</x:v>
      </x:c>
      <x:c r="K322" s="15" t="str"/>
      <x:c r="L322" s="15" t="str"/>
      <x:c r="M322" s="15" t="n">
        <x:v>1</x:v>
      </x:c>
      <x:c r="N322" s="15" t="str">
        <x:v>decisionAndDisposition.interest.statutoryBasis</x:v>
      </x:c>
    </x:row>
    <x:row r="323">
      <x:c r="A323" s="1" t="str">
        <x:v>U0322</x:v>
      </x:c>
      <x:c r="B323" s="1" t="str">
        <x:v>cmsbr4fhb000v04l4mgwtz5x1</x:v>
      </x:c>
      <x:c r="C323" s="1" t="str">
        <x:v>ca-2024-000806-hippodrome-casino-ltd-v-hmrc-appellant-skeleton</x:v>
      </x:c>
      <x:c r="D323" s="1" t="str">
        <x:v>real</x:v>
      </x:c>
      <x:c r="E323" s="15" t="str">
        <x:v>Hippodrome Casino Ltd v HMRC</x:v>
      </x:c>
      <x:c r="F323" s="16" t="n">
        <x:v>46236.502312199074</x:v>
      </x:c>
      <x:c r="G323" s="15" t="str">
        <x:v>legislation</x:v>
      </x:c>
      <x:c r="H323" s="15" t="str">
        <x:v>legislation:value added tax act 1994 s 24</x:v>
      </x:c>
      <x:c r="I323" s="15" t="str">
        <x:v>Value Added Tax Act 1994</x:v>
      </x:c>
      <x:c r="J323" s="15" t="str">
        <x:v>Value Added Tax Act 1994 s.24</x:v>
      </x:c>
      <x:c r="K323" s="15" t="str"/>
      <x:c r="L323" s="15" t="str">
        <x:v>s.24</x:v>
      </x:c>
      <x:c r="M323" s="15" t="n">
        <x:v>1</x:v>
      </x:c>
      <x:c r="N323" s="15" t="str">
        <x:v>legalFramework.statutoryProvisions[0]</x:v>
      </x:c>
    </x:row>
    <x:row r="324">
      <x:c r="A324" s="1" t="str">
        <x:v>U0323</x:v>
      </x:c>
      <x:c r="B324" s="1" t="str">
        <x:v>cmsbr4fhb000v04l4mgwtz5x1</x:v>
      </x:c>
      <x:c r="C324" s="1" t="str">
        <x:v>ca-2024-000806-hippodrome-casino-ltd-v-hmrc-appellant-skeleton</x:v>
      </x:c>
      <x:c r="D324" s="1" t="str">
        <x:v>real</x:v>
      </x:c>
      <x:c r="E324" s="15" t="str">
        <x:v>Hippodrome Casino Ltd v HMRC</x:v>
      </x:c>
      <x:c r="F324" s="16" t="n">
        <x:v>46236.502312199074</x:v>
      </x:c>
      <x:c r="G324" s="15" t="str">
        <x:v>other</x:v>
      </x:c>
      <x:c r="H324" s="15" t="str">
        <x:v>other:articles 168 173 and 174 of the pvd</x:v>
      </x:c>
      <x:c r="I324" s="15" t="str">
        <x:v>Articles 168, 173, and 174 of the PVD</x:v>
      </x:c>
      <x:c r="J324" s="15" t="str">
        <x:v>Articles 168, 173, and 174 of the PVD</x:v>
      </x:c>
      <x:c r="K324" s="15" t="str"/>
      <x:c r="L324" s="15" t="str"/>
      <x:c r="M324" s="15" t="n">
        <x:v>1</x:v>
      </x:c>
      <x:c r="N324" s="15" t="str">
        <x:v>legalFramework.legalTestSummaries[0].sourceAuthority</x:v>
      </x:c>
    </x:row>
    <x:row r="325">
      <x:c r="A325" s="1" t="str">
        <x:v>U0324</x:v>
      </x:c>
      <x:c r="B325" s="1" t="str">
        <x:v>cmsbr6p4p001704l4z7u6108h</x:v>
      </x:c>
      <x:c r="C325" s="1" t="str">
        <x:v>ca-2024-000806-hippodrome-casino-ltd-v-hmrc-appellant-skeleton</x:v>
      </x:c>
      <x:c r="D325" s="1" t="str">
        <x:v>real</x:v>
      </x:c>
      <x:c r="E325" s="15" t="str">
        <x:v>Hippodrome Casino Ltd v HMRC</x:v>
      </x:c>
      <x:c r="F325" s="16" t="n">
        <x:v>46236.503536944445</x:v>
      </x:c>
      <x:c r="G325" s="15" t="str">
        <x:v>case</x:v>
      </x:c>
      <x:c r="H325" s="15" t="str">
        <x:v>case:2016 ewca civ 1310</x:v>
      </x:c>
      <x:c r="I325" s="15" t="str">
        <x:v>Totel Limited v HM Revenue and Customs</x:v>
      </x:c>
      <x:c r="J325" s="15" t="str">
        <x:v>[2016] EWCA Civ 1310</x:v>
      </x:c>
      <x:c r="K325" s="15" t="str">
        <x:v>2f2ce488-73d0-4422-abcd-2b014a9e52d1</x:v>
      </x:c>
      <x:c r="L325" s="15" t="str"/>
      <x:c r="M325" s="15" t="n">
        <x:v>1</x:v>
      </x:c>
      <x:c r="N325" s="15" t="str">
        <x:v>factualFindings.contestedFacts[0].sourceCases[0]</x:v>
      </x:c>
    </x:row>
    <x:row r="326">
      <x:c r="A326" s="1" t="str">
        <x:v>U0325</x:v>
      </x:c>
      <x:c r="B326" s="1" t="str">
        <x:v>cmsbr6p4p001704l4z7u6108h</x:v>
      </x:c>
      <x:c r="C326" s="1" t="str">
        <x:v>ca-2024-000806-hippodrome-casino-ltd-v-hmrc-appellant-skeleton</x:v>
      </x:c>
      <x:c r="D326" s="1" t="str">
        <x:v>real</x:v>
      </x:c>
      <x:c r="E326" s="15" t="str">
        <x:v>Hippodrome Casino Ltd v HMRC</x:v>
      </x:c>
      <x:c r="F326" s="16" t="n">
        <x:v>46236.503536944445</x:v>
      </x:c>
      <x:c r="G326" s="15" t="str">
        <x:v>case</x:v>
      </x:c>
      <x:c r="H326" s="15" t="str">
        <x:v>case:2017 ewca civ 54</x:v>
      </x:c>
      <x:c r="I326" s="15" t="str">
        <x:v>Associated Newspapers Ltd v HM Revenue &amp; Customs</x:v>
      </x:c>
      <x:c r="J326" s="15" t="str">
        <x:v>[2017] EWCA Civ 54</x:v>
      </x:c>
      <x:c r="K326" s="15" t="str">
        <x:v>dc715706-f35f-4a5c-8ad7-a824c23f5260</x:v>
      </x:c>
      <x:c r="L326" s="15" t="str"/>
      <x:c r="M326" s="15" t="n">
        <x:v>1</x:v>
      </x:c>
      <x:c r="N326" s="15" t="str">
        <x:v>issuesForDetermination.issueMatrix[0].sourceCases[0]</x:v>
      </x:c>
    </x:row>
    <x:row r="327">
      <x:c r="A327" s="1" t="str">
        <x:v>U0326</x:v>
      </x:c>
      <x:c r="B327" s="1" t="str">
        <x:v>cmsbr6p4p001704l4z7u6108h</x:v>
      </x:c>
      <x:c r="C327" s="1" t="str">
        <x:v>ca-2024-000806-hippodrome-casino-ltd-v-hmrc-appellant-skeleton</x:v>
      </x:c>
      <x:c r="D327" s="1" t="str">
        <x:v>real</x:v>
      </x:c>
      <x:c r="E327" s="15" t="str">
        <x:v>Hippodrome Casino Ltd v HMRC</x:v>
      </x:c>
      <x:c r="F327" s="16" t="n">
        <x:v>46236.503536944445</x:v>
      </x:c>
      <x:c r="G327" s="15" t="str">
        <x:v>case</x:v>
      </x:c>
      <x:c r="H327" s="15" t="str">
        <x:v>case:2022 ewca civ 1222</x:v>
      </x:c>
      <x:c r="I327" s="15" t="str">
        <x:v>The Quentin Skinner 2015 Settlement L &amp; Ors v HM Revenue and Customs</x:v>
      </x:c>
      <x:c r="J327" s="15" t="str">
        <x:v>[2022] EWCA Civ 1222</x:v>
      </x:c>
      <x:c r="K327" s="15" t="str">
        <x:v>53011b43-2d84-4830-953a-1b5b550f4f67</x:v>
      </x:c>
      <x:c r="L327" s="15" t="str"/>
      <x:c r="M327" s="15" t="n">
        <x:v>1</x:v>
      </x:c>
      <x:c r="N327" s="15" t="str">
        <x:v>reasoningStructure[0].sourceCases[0]</x:v>
      </x:c>
    </x:row>
    <x:row r="328">
      <x:c r="A328" s="1" t="str">
        <x:v>U0327</x:v>
      </x:c>
      <x:c r="B328" s="1" t="str">
        <x:v>cmsbr6p4p001704l4z7u6108h</x:v>
      </x:c>
      <x:c r="C328" s="1" t="str">
        <x:v>ca-2024-000806-hippodrome-casino-ltd-v-hmrc-appellant-skeleton</x:v>
      </x:c>
      <x:c r="D328" s="1" t="str">
        <x:v>real</x:v>
      </x:c>
      <x:c r="E328" s="15" t="str">
        <x:v>Hippodrome Casino Ltd v HMRC</x:v>
      </x:c>
      <x:c r="F328" s="16" t="n">
        <x:v>46236.503536944445</x:v>
      </x:c>
      <x:c r="G328" s="15" t="str">
        <x:v>case</x:v>
      </x:c>
      <x:c r="H328" s="15" t="str">
        <x:v>case:hmrc v volkswagen financial services</x:v>
      </x:c>
      <x:c r="I328" s="15" t="str">
        <x:v>HMRC v Volkswagen Financial Services</x:v>
      </x:c>
      <x:c r="J328" s="15" t="str">
        <x:v>HMRC v Volkswagen Financial Services</x:v>
      </x:c>
      <x:c r="K328" s="15" t="str"/>
      <x:c r="L328" s="15" t="str"/>
      <x:c r="M328" s="15" t="n">
        <x:v>1</x:v>
      </x:c>
      <x:c r="N328" s="15" t="str">
        <x:v>legalFramework.precedentCitations[0]</x:v>
      </x:c>
    </x:row>
    <x:row r="329">
      <x:c r="A329" s="1" t="str">
        <x:v>U0328</x:v>
      </x:c>
      <x:c r="B329" s="1" t="str">
        <x:v>cmsbr6p4p001704l4z7u6108h</x:v>
      </x:c>
      <x:c r="C329" s="1" t="str">
        <x:v>ca-2024-000806-hippodrome-casino-ltd-v-hmrc-appellant-skeleton</x:v>
      </x:c>
      <x:c r="D329" s="1" t="str">
        <x:v>real</x:v>
      </x:c>
      <x:c r="E329" s="15" t="str">
        <x:v>Hippodrome Casino Ltd v HMRC</x:v>
      </x:c>
      <x:c r="F329" s="16" t="n">
        <x:v>46236.503536944445</x:v>
      </x:c>
      <x:c r="G329" s="15" t="str">
        <x:v>legislation</x:v>
      </x:c>
      <x:c r="H329" s="15" t="str">
        <x:v>legislation:senior courts act 1981 s 35a</x:v>
      </x:c>
      <x:c r="I329" s="15" t="str">
        <x:v>Senior Courts Act 1981, s.35A</x:v>
      </x:c>
      <x:c r="J329" s="15" t="str">
        <x:v>Senior Courts Act 1981, s.35A</x:v>
      </x:c>
      <x:c r="K329" s="15" t="str"/>
      <x:c r="L329" s="15" t="str"/>
      <x:c r="M329" s="15" t="n">
        <x:v>1</x:v>
      </x:c>
      <x:c r="N329" s="15" t="str">
        <x:v>decisionAndDisposition.interest.statutoryBasis</x:v>
      </x:c>
    </x:row>
    <x:row r="330">
      <x:c r="A330" s="1" t="str">
        <x:v>U0329</x:v>
      </x:c>
      <x:c r="B330" s="1" t="str">
        <x:v>cmsbr6p4p001704l4z7u6108h</x:v>
      </x:c>
      <x:c r="C330" s="1" t="str">
        <x:v>ca-2024-000806-hippodrome-casino-ltd-v-hmrc-appellant-skeleton</x:v>
      </x:c>
      <x:c r="D330" s="1" t="str">
        <x:v>real</x:v>
      </x:c>
      <x:c r="E330" s="15" t="str">
        <x:v>Hippodrome Casino Ltd v HMRC</x:v>
      </x:c>
      <x:c r="F330" s="16" t="n">
        <x:v>46236.503536944445</x:v>
      </x:c>
      <x:c r="G330" s="15" t="str">
        <x:v>legislation</x:v>
      </x:c>
      <x:c r="H330" s="15" t="str">
        <x:v>legislation:value added tax act 1994 s 24</x:v>
      </x:c>
      <x:c r="I330" s="15" t="str">
        <x:v>Value Added Tax Act 1994</x:v>
      </x:c>
      <x:c r="J330" s="15" t="str">
        <x:v>Value Added Tax Act 1994 s.24</x:v>
      </x:c>
      <x:c r="K330" s="15" t="str"/>
      <x:c r="L330" s="15" t="str">
        <x:v>s.24</x:v>
      </x:c>
      <x:c r="M330" s="15" t="n">
        <x:v>1</x:v>
      </x:c>
      <x:c r="N330" s="15" t="str">
        <x:v>legalFramework.statutoryProvisions[0]</x:v>
      </x:c>
    </x:row>
    <x:row r="331">
      <x:c r="A331" s="1" t="str">
        <x:v>U0330</x:v>
      </x:c>
      <x:c r="B331" s="1" t="str">
        <x:v>cmsbr6p4p001704l4z7u6108h</x:v>
      </x:c>
      <x:c r="C331" s="1" t="str">
        <x:v>ca-2024-000806-hippodrome-casino-ltd-v-hmrc-appellant-skeleton</x:v>
      </x:c>
      <x:c r="D331" s="1" t="str">
        <x:v>real</x:v>
      </x:c>
      <x:c r="E331" s="15" t="str">
        <x:v>Hippodrome Casino Ltd v HMRC</x:v>
      </x:c>
      <x:c r="F331" s="16" t="n">
        <x:v>46236.503536944445</x:v>
      </x:c>
      <x:c r="G331" s="15" t="str">
        <x:v>legislation</x:v>
      </x:c>
      <x:c r="H331" s="15" t="str">
        <x:v>legislation:vat regulations 1995 s 8</x:v>
      </x:c>
      <x:c r="I331" s="15" t="str">
        <x:v>VAT Regulations 1995</x:v>
      </x:c>
      <x:c r="J331" s="15" t="str">
        <x:v>VAT Regulations 1995 s.8</x:v>
      </x:c>
      <x:c r="K331" s="15" t="str"/>
      <x:c r="L331" s="15" t="str">
        <x:v>s.8</x:v>
      </x:c>
      <x:c r="M331" s="15" t="n">
        <x:v>1</x:v>
      </x:c>
      <x:c r="N331" s="15" t="str">
        <x:v>legalFramework.statutoryProvisions[1]</x:v>
      </x:c>
    </x:row>
    <x:row r="332">
      <x:c r="A332" s="1" t="str">
        <x:v>U0331</x:v>
      </x:c>
      <x:c r="B332" s="1" t="str">
        <x:v>cmsbracw1001r04l4az8ukhd1</x:v>
      </x:c>
      <x:c r="C332" s="1" t="str">
        <x:v>ca-2023-002207-mr-demetrios-karpasitis-v-hertfordshire-county-appellant-skeleton</x:v>
      </x:c>
      <x:c r="D332" s="1" t="str">
        <x:v>real</x:v>
      </x:c>
      <x:c r="E332" s="15" t="str">
        <x:v>Mr Demetrios Karpasitis v Hertfordshire County Council</x:v>
      </x:c>
      <x:c r="F332" s="16" t="n">
        <x:v>46236.50551333333</x:v>
      </x:c>
      <x:c r="G332" s="15" t="str">
        <x:v>case</x:v>
      </x:c>
      <x:c r="H332" s="15" t="str">
        <x:v>case:2010 ewca civ 776</x:v>
      </x:c>
      <x:c r="I332" s="15" t="str">
        <x:v>Yetkin v London Borough of Newham</x:v>
      </x:c>
      <x:c r="J332" s="15" t="str">
        <x:v>[2010] EWCA Civ 776</x:v>
      </x:c>
      <x:c r="K332" s="15" t="str">
        <x:v>5a42b4bc-fe8f-47be-9b13-869933b2ddff</x:v>
      </x:c>
      <x:c r="L332" s="15" t="str"/>
      <x:c r="M332" s="15" t="n">
        <x:v>3</x:v>
      </x:c>
      <x:c r="N332" s="15" t="str">
        <x:v>factualFindings.contestedFacts[0].sourceCases[1] | issuesForDetermination.issueMatrix[1].sourceCases[0] | reasoningStructure[1].sourceCases[0]</x:v>
      </x:c>
    </x:row>
    <x:row r="333">
      <x:c r="A333" s="1" t="str">
        <x:v>U0332</x:v>
      </x:c>
      <x:c r="B333" s="1" t="str">
        <x:v>cmsbracw1001r04l4az8ukhd1</x:v>
      </x:c>
      <x:c r="C333" s="1" t="str">
        <x:v>ca-2023-002207-mr-demetrios-karpasitis-v-hertfordshire-county-appellant-skeleton</x:v>
      </x:c>
      <x:c r="D333" s="1" t="str">
        <x:v>real</x:v>
      </x:c>
      <x:c r="E333" s="15" t="str">
        <x:v>Mr Demetrios Karpasitis v Hertfordshire County Council</x:v>
      </x:c>
      <x:c r="F333" s="16" t="n">
        <x:v>46236.50551333333</x:v>
      </x:c>
      <x:c r="G333" s="15" t="str">
        <x:v>case</x:v>
      </x:c>
      <x:c r="H333" s="15" t="str">
        <x:v>case:2014 ewca civ 1433</x:v>
      </x:c>
      <x:c r="I333" s="15" t="str">
        <x:v>Redrow Homes Ltd v Knowsley Metropolitan Borough Council</x:v>
      </x:c>
      <x:c r="J333" s="15" t="str">
        <x:v>[2014] EWCA Civ 1433</x:v>
      </x:c>
      <x:c r="K333" s="15" t="str">
        <x:v>70a54b3a-6d86-473d-ac2f-607d9cecd2d7</x:v>
      </x:c>
      <x:c r="L333" s="15" t="str"/>
      <x:c r="M333" s="15" t="n">
        <x:v>1</x:v>
      </x:c>
      <x:c r="N333" s="15" t="str">
        <x:v>factualFindings.contestedFacts[1].sourceCases[1]</x:v>
      </x:c>
    </x:row>
    <x:row r="334">
      <x:c r="A334" s="1" t="str">
        <x:v>U0333</x:v>
      </x:c>
      <x:c r="B334" s="1" t="str">
        <x:v>cmsbracw1001r04l4az8ukhd1</x:v>
      </x:c>
      <x:c r="C334" s="1" t="str">
        <x:v>ca-2023-002207-mr-demetrios-karpasitis-v-hertfordshire-county-appellant-skeleton</x:v>
      </x:c>
      <x:c r="D334" s="1" t="str">
        <x:v>real</x:v>
      </x:c>
      <x:c r="E334" s="15" t="str">
        <x:v>Mr Demetrios Karpasitis v Hertfordshire County Council</x:v>
      </x:c>
      <x:c r="F334" s="16" t="n">
        <x:v>46236.50551333333</x:v>
      </x:c>
      <x:c r="G334" s="15" t="str">
        <x:v>case</x:v>
      </x:c>
      <x:c r="H334" s="15" t="str">
        <x:v>case:2016 ewhc 1767 qb</x:v>
      </x:c>
      <x:c r="I334" s="15" t="str">
        <x:v>King Lifting Ltd v Oxfordshire County Council</x:v>
      </x:c>
      <x:c r="J334" s="15" t="str">
        <x:v>[2016] EWHC 1767 (QB)</x:v>
      </x:c>
      <x:c r="K334" s="15" t="str">
        <x:v>52d20bb9-6964-44a6-9c32-d191ef76297c</x:v>
      </x:c>
      <x:c r="L334" s="15" t="str"/>
      <x:c r="M334" s="15" t="n">
        <x:v>1</x:v>
      </x:c>
      <x:c r="N334" s="15" t="str">
        <x:v>factualFindings.contestedFacts[1].sourceCases[0]</x:v>
      </x:c>
    </x:row>
    <x:row r="335">
      <x:c r="A335" s="1" t="str">
        <x:v>U0334</x:v>
      </x:c>
      <x:c r="B335" s="1" t="str">
        <x:v>cmsbracw1001r04l4az8ukhd1</x:v>
      </x:c>
      <x:c r="C335" s="1" t="str">
        <x:v>ca-2023-002207-mr-demetrios-karpasitis-v-hertfordshire-county-appellant-skeleton</x:v>
      </x:c>
      <x:c r="D335" s="1" t="str">
        <x:v>real</x:v>
      </x:c>
      <x:c r="E335" s="15" t="str">
        <x:v>Mr Demetrios Karpasitis v Hertfordshire County Council</x:v>
      </x:c>
      <x:c r="F335" s="16" t="n">
        <x:v>46236.50551333333</x:v>
      </x:c>
      <x:c r="G335" s="15" t="str">
        <x:v>case</x:v>
      </x:c>
      <x:c r="H335" s="15" t="str">
        <x:v>case:gorringe v calderdale metropolitan borough council</x:v>
      </x:c>
      <x:c r="I335" s="15" t="str">
        <x:v>Gorringe v. Calderdale Metropolitan Borough Council</x:v>
      </x:c>
      <x:c r="J335" s="15" t="str">
        <x:v>Gorringe v. Calderdale Metropolitan Borough Council</x:v>
      </x:c>
      <x:c r="K335" s="15" t="str">
        <x:v>bc30491e-9ae6-48da-90d0-71d8a8069b22</x:v>
      </x:c>
      <x:c r="L335" s="15" t="str"/>
      <x:c r="M335" s="15" t="n">
        <x:v>5</x:v>
      </x:c>
      <x:c r="N335" s="15" t="str">
        <x:v>factualFindings.contestedFacts[0].sourceCases[0] | issuesForDetermination.issueMatrix[0].sourceCases[0] | legalFramework.legalTestSummaries[0].sourceAuthority | legalFramework.precedentCitations[0] | reasoningStructure[0].sourceCases[0]</x:v>
      </x:c>
    </x:row>
    <x:row r="336">
      <x:c r="A336" s="1" t="str">
        <x:v>U0335</x:v>
      </x:c>
      <x:c r="B336" s="1" t="str">
        <x:v>cmsbracw1001r04l4az8ukhd1</x:v>
      </x:c>
      <x:c r="C336" s="1" t="str">
        <x:v>ca-2023-002207-mr-demetrios-karpasitis-v-hertfordshire-county-appellant-skeleton</x:v>
      </x:c>
      <x:c r="D336" s="1" t="str">
        <x:v>real</x:v>
      </x:c>
      <x:c r="E336" s="15" t="str">
        <x:v>Mr Demetrios Karpasitis v Hertfordshire County Council</x:v>
      </x:c>
      <x:c r="F336" s="16" t="n">
        <x:v>46236.50551333333</x:v>
      </x:c>
      <x:c r="G336" s="15" t="str">
        <x:v>case</x:v>
      </x:c>
      <x:c r="H336" s="15" t="str">
        <x:v>case:london borough of southwark &amp; anor v transport for london</x:v>
      </x:c>
      <x:c r="I336" s="15" t="str">
        <x:v>London Borough of Southwark &amp; Anor v Transport for London</x:v>
      </x:c>
      <x:c r="J336" s="15" t="str"/>
      <x:c r="K336" s="15" t="str">
        <x:v>31ec4914-0384-4442-a7c4-2067fe7c1aec</x:v>
      </x:c>
      <x:c r="L336" s="15" t="str"/>
      <x:c r="M336" s="15" t="n">
        <x:v>1</x:v>
      </x:c>
      <x:c r="N336" s="15" t="str">
        <x:v>factualFindings.chronology[0].sourceCases[0]</x:v>
      </x:c>
    </x:row>
    <x:row r="337">
      <x:c r="A337" s="1" t="str">
        <x:v>U0336</x:v>
      </x:c>
      <x:c r="B337" s="1" t="str">
        <x:v>cmsbracw1001r04l4az8ukhd1</x:v>
      </x:c>
      <x:c r="C337" s="1" t="str">
        <x:v>ca-2023-002207-mr-demetrios-karpasitis-v-hertfordshire-county-appellant-skeleton</x:v>
      </x:c>
      <x:c r="D337" s="1" t="str">
        <x:v>real</x:v>
      </x:c>
      <x:c r="E337" s="15" t="str">
        <x:v>Mr Demetrios Karpasitis v Hertfordshire County Council</x:v>
      </x:c>
      <x:c r="F337" s="16" t="n">
        <x:v>46236.50551333333</x:v>
      </x:c>
      <x:c r="G337" s="15" t="str">
        <x:v>case</x:v>
      </x:c>
      <x:c r="H337" s="15" t="str">
        <x:v>case:yetkin v london borough of newham</x:v>
      </x:c>
      <x:c r="I337" s="15" t="str">
        <x:v>Yetkin v London Borough of Newham</x:v>
      </x:c>
      <x:c r="J337" s="15" t="str">
        <x:v>Yetkin v London Borough of Newham</x:v>
      </x:c>
      <x:c r="K337" s="15" t="str"/>
      <x:c r="L337" s="15" t="str"/>
      <x:c r="M337" s="15" t="n">
        <x:v>2</x:v>
      </x:c>
      <x:c r="N337" s="15" t="str">
        <x:v>legalFramework.legalTestSummaries[1].sourceAuthority | legalFramework.precedentCitations[1]</x:v>
      </x:c>
    </x:row>
    <x:row r="338">
      <x:c r="A338" s="1" t="str">
        <x:v>U0337</x:v>
      </x:c>
      <x:c r="B338" s="1" t="str">
        <x:v>cmsbracw1001r04l4az8ukhd1</x:v>
      </x:c>
      <x:c r="C338" s="1" t="str">
        <x:v>ca-2023-002207-mr-demetrios-karpasitis-v-hertfordshire-county-appellant-skeleton</x:v>
      </x:c>
      <x:c r="D338" s="1" t="str">
        <x:v>real</x:v>
      </x:c>
      <x:c r="E338" s="15" t="str">
        <x:v>Mr Demetrios Karpasitis v Hertfordshire County Council</x:v>
      </x:c>
      <x:c r="F338" s="16" t="n">
        <x:v>46236.50551333333</x:v>
      </x:c>
      <x:c r="G338" s="15" t="str">
        <x:v>legislation</x:v>
      </x:c>
      <x:c r="H338" s="15" t="str">
        <x:v>legislation:highways act 1980 41</x:v>
      </x:c>
      <x:c r="I338" s="15" t="str">
        <x:v>Highways Act 1980</x:v>
      </x:c>
      <x:c r="J338" s="15" t="str">
        <x:v>Highways Act 1980 41</x:v>
      </x:c>
      <x:c r="K338" s="15" t="str"/>
      <x:c r="L338" s="15" t="str">
        <x:v>41</x:v>
      </x:c>
      <x:c r="M338" s="15" t="n">
        <x:v>1</x:v>
      </x:c>
      <x:c r="N338" s="15" t="str">
        <x:v>legalFramework.statutoryProvisions[0]</x:v>
      </x:c>
    </x:row>
    <x:row r="339">
      <x:c r="A339" s="1" t="str">
        <x:v>U0338</x:v>
      </x:c>
      <x:c r="B339" s="1" t="str">
        <x:v>cmsbracw1001r04l4az8ukhd1</x:v>
      </x:c>
      <x:c r="C339" s="1" t="str">
        <x:v>ca-2023-002207-mr-demetrios-karpasitis-v-hertfordshire-county-appellant-skeleton</x:v>
      </x:c>
      <x:c r="D339" s="1" t="str">
        <x:v>real</x:v>
      </x:c>
      <x:c r="E339" s="15" t="str">
        <x:v>Mr Demetrios Karpasitis v Hertfordshire County Council</x:v>
      </x:c>
      <x:c r="F339" s="16" t="n">
        <x:v>46236.50551333333</x:v>
      </x:c>
      <x:c r="G339" s="15" t="str">
        <x:v>legislation</x:v>
      </x:c>
      <x:c r="H339" s="15" t="str">
        <x:v>legislation:highways act 1980 58</x:v>
      </x:c>
      <x:c r="I339" s="15" t="str">
        <x:v>Highways Act 1980</x:v>
      </x:c>
      <x:c r="J339" s="15" t="str">
        <x:v>Highways Act 1980 58</x:v>
      </x:c>
      <x:c r="K339" s="15" t="str"/>
      <x:c r="L339" s="15" t="str">
        <x:v>58</x:v>
      </x:c>
      <x:c r="M339" s="15" t="n">
        <x:v>1</x:v>
      </x:c>
      <x:c r="N339" s="15" t="str">
        <x:v>legalFramework.statutoryProvisions[1]</x:v>
      </x:c>
    </x:row>
    <x:row r="340">
      <x:c r="A340" s="1" t="str">
        <x:v>U0339</x:v>
      </x:c>
      <x:c r="B340" s="1" t="str">
        <x:v>cmsbracw1001r04l4az8ukhd1</x:v>
      </x:c>
      <x:c r="C340" s="1" t="str">
        <x:v>ca-2023-002207-mr-demetrios-karpasitis-v-hertfordshire-county-appellant-skeleton</x:v>
      </x:c>
      <x:c r="D340" s="1" t="str">
        <x:v>real</x:v>
      </x:c>
      <x:c r="E340" s="15" t="str">
        <x:v>Mr Demetrios Karpasitis v Hertfordshire County Council</x:v>
      </x:c>
      <x:c r="F340" s="16" t="n">
        <x:v>46236.50551333333</x:v>
      </x:c>
      <x:c r="G340" s="15" t="str">
        <x:v>legislation</x:v>
      </x:c>
      <x:c r="H340" s="15" t="str">
        <x:v>legislation:senior courts act 1981 s 35a</x:v>
      </x:c>
      <x:c r="I340" s="15" t="str">
        <x:v>Senior Courts Act 1981, s.35A</x:v>
      </x:c>
      <x:c r="J340" s="15" t="str">
        <x:v>Senior Courts Act 1981, s.35A</x:v>
      </x:c>
      <x:c r="K340" s="15" t="str"/>
      <x:c r="L340" s="15" t="str"/>
      <x:c r="M340" s="15" t="n">
        <x:v>1</x:v>
      </x:c>
      <x:c r="N340" s="15" t="str">
        <x:v>decisionAndDisposition.interest.statutoryBasis</x:v>
      </x:c>
    </x:row>
    <x:row r="341">
      <x:c r="A341" s="1" t="str">
        <x:v>U0340</x:v>
      </x:c>
      <x:c r="B341" s="1" t="str">
        <x:v>cmsbrc37v001x04l4t7r77h89</x:v>
      </x:c>
      <x:c r="C341" s="1" t="str">
        <x:v>ca-2023-002207-mr-demetrios-karpasitis-v-hertfordshire-county-appellant-skeleton</x:v>
      </x:c>
      <x:c r="D341" s="1" t="str">
        <x:v>real</x:v>
      </x:c>
      <x:c r="E341" s="15" t="str">
        <x:v>Mr Demetrios Karpasitis v Hertfordshire County Council</x:v>
      </x:c>
      <x:c r="F341" s="16" t="n">
        <x:v>46236.506448252316</x:v>
      </x:c>
      <x:c r="G341" s="15" t="str">
        <x:v>case</x:v>
      </x:c>
      <x:c r="H341" s="15" t="str">
        <x:v>case:2000 1 wlr 377</x:v>
      </x:c>
      <x:c r="I341" s="15" t="str">
        <x:v>Flannery v Halifax Estate Agencies Ltd [2000] 1 WLR 377</x:v>
      </x:c>
      <x:c r="J341" s="15" t="str">
        <x:v>Flannery v Halifax Estate Agencies Ltd [2000] 1 WLR 377</x:v>
      </x:c>
      <x:c r="K341" s="15" t="str"/>
      <x:c r="L341" s="15" t="str"/>
      <x:c r="M341" s="15" t="n">
        <x:v>1</x:v>
      </x:c>
      <x:c r="N341" s="15" t="str">
        <x:v>legalFramework.precedentCitations[1]</x:v>
      </x:c>
    </x:row>
    <x:row r="342">
      <x:c r="A342" s="1" t="str">
        <x:v>U0341</x:v>
      </x:c>
      <x:c r="B342" s="1" t="str">
        <x:v>cmsbrc37v001x04l4t7r77h89</x:v>
      </x:c>
      <x:c r="C342" s="1" t="str">
        <x:v>ca-2023-002207-mr-demetrios-karpasitis-v-hertfordshire-county-appellant-skeleton</x:v>
      </x:c>
      <x:c r="D342" s="1" t="str">
        <x:v>real</x:v>
      </x:c>
      <x:c r="E342" s="15" t="str">
        <x:v>Mr Demetrios Karpasitis v Hertfordshire County Council</x:v>
      </x:c>
      <x:c r="F342" s="16" t="n">
        <x:v>46236.506448252316</x:v>
      </x:c>
      <x:c r="G342" s="15" t="str">
        <x:v>case</x:v>
      </x:c>
      <x:c r="H342" s="15" t="str">
        <x:v>case:2004 1 wlr 1057</x:v>
      </x:c>
      <x:c r="I342" s="15" t="str">
        <x:v>Gorringe v. Calderdale Metropolitan Borough Council [2004] 1 WLR 1057</x:v>
      </x:c>
      <x:c r="J342" s="15" t="str">
        <x:v>Gorringe v. Calderdale Metropolitan Borough Council [2004] 1 WLR 1057</x:v>
      </x:c>
      <x:c r="K342" s="15" t="str"/>
      <x:c r="L342" s="15" t="str"/>
      <x:c r="M342" s="15" t="n">
        <x:v>1</x:v>
      </x:c>
      <x:c r="N342" s="15" t="str">
        <x:v>legalFramework.precedentCitations[0]</x:v>
      </x:c>
    </x:row>
    <x:row r="343">
      <x:c r="A343" s="1" t="str">
        <x:v>U0342</x:v>
      </x:c>
      <x:c r="B343" s="1" t="str">
        <x:v>cmsbrc37v001x04l4t7r77h89</x:v>
      </x:c>
      <x:c r="C343" s="1" t="str">
        <x:v>ca-2023-002207-mr-demetrios-karpasitis-v-hertfordshire-county-appellant-skeleton</x:v>
      </x:c>
      <x:c r="D343" s="1" t="str">
        <x:v>real</x:v>
      </x:c>
      <x:c r="E343" s="15" t="str">
        <x:v>Mr Demetrios Karpasitis v Hertfordshire County Council</x:v>
      </x:c>
      <x:c r="F343" s="16" t="n">
        <x:v>46236.506448252316</x:v>
      </x:c>
      <x:c r="G343" s="15" t="str">
        <x:v>case</x:v>
      </x:c>
      <x:c r="H343" s="15" t="str">
        <x:v>case:2010 ewca civ 776</x:v>
      </x:c>
      <x:c r="I343" s="15" t="str">
        <x:v>Yetkin v London Borough of Newham</x:v>
      </x:c>
      <x:c r="J343" s="15" t="str">
        <x:v>[2010] EWCA Civ 776</x:v>
      </x:c>
      <x:c r="K343" s="15" t="str">
        <x:v>5a42b4bc-fe8f-47be-9b13-869933b2ddff</x:v>
      </x:c>
      <x:c r="L343" s="15" t="str"/>
      <x:c r="M343" s="15" t="n">
        <x:v>3</x:v>
      </x:c>
      <x:c r="N343" s="15" t="str">
        <x:v>factualFindings.contestedFacts[1].sourceCases[0] | issuesForDetermination.issueMatrix[1].sourceCases[0] | reasoningStructure[1].sourceCases[0]</x:v>
      </x:c>
    </x:row>
    <x:row r="344">
      <x:c r="A344" s="1" t="str">
        <x:v>U0343</x:v>
      </x:c>
      <x:c r="B344" s="1" t="str">
        <x:v>cmsbrc37v001x04l4t7r77h89</x:v>
      </x:c>
      <x:c r="C344" s="1" t="str">
        <x:v>ca-2023-002207-mr-demetrios-karpasitis-v-hertfordshire-county-appellant-skeleton</x:v>
      </x:c>
      <x:c r="D344" s="1" t="str">
        <x:v>real</x:v>
      </x:c>
      <x:c r="E344" s="15" t="str">
        <x:v>Mr Demetrios Karpasitis v Hertfordshire County Council</x:v>
      </x:c>
      <x:c r="F344" s="16" t="n">
        <x:v>46236.506448252316</x:v>
      </x:c>
      <x:c r="G344" s="15" t="str">
        <x:v>case</x:v>
      </x:c>
      <x:c r="H344" s="15" t="str">
        <x:v>case:2016 ewhc 1767 qb</x:v>
      </x:c>
      <x:c r="I344" s="15" t="str">
        <x:v>King Lifting Ltd v Oxfordshire County Council</x:v>
      </x:c>
      <x:c r="J344" s="15" t="str">
        <x:v>[2016] EWHC 1767 (QB)</x:v>
      </x:c>
      <x:c r="K344" s="15" t="str">
        <x:v>52d20bb9-6964-44a6-9c32-d191ef76297c</x:v>
      </x:c>
      <x:c r="L344" s="15" t="str"/>
      <x:c r="M344" s="15" t="n">
        <x:v>1</x:v>
      </x:c>
      <x:c r="N344" s="15" t="str">
        <x:v>issuesForDetermination.issueMatrix[0].sourceCases[0]</x:v>
      </x:c>
    </x:row>
    <x:row r="345">
      <x:c r="A345" s="1" t="str">
        <x:v>U0344</x:v>
      </x:c>
      <x:c r="B345" s="1" t="str">
        <x:v>cmsbrc37v001x04l4t7r77h89</x:v>
      </x:c>
      <x:c r="C345" s="1" t="str">
        <x:v>ca-2023-002207-mr-demetrios-karpasitis-v-hertfordshire-county-appellant-skeleton</x:v>
      </x:c>
      <x:c r="D345" s="1" t="str">
        <x:v>real</x:v>
      </x:c>
      <x:c r="E345" s="15" t="str">
        <x:v>Mr Demetrios Karpasitis v Hertfordshire County Council</x:v>
      </x:c>
      <x:c r="F345" s="16" t="n">
        <x:v>46236.506448252316</x:v>
      </x:c>
      <x:c r="G345" s="15" t="str">
        <x:v>case</x:v>
      </x:c>
      <x:c r="H345" s="15" t="str">
        <x:v>case:gorringe v calderdale metropolitan borough council</x:v>
      </x:c>
      <x:c r="I345" s="15" t="str">
        <x:v>Gorringe v. Calderdale Metropolitan Borough Council</x:v>
      </x:c>
      <x:c r="J345" s="15" t="str"/>
      <x:c r="K345" s="15" t="str">
        <x:v>bc30491e-9ae6-48da-90d0-71d8a8069b22</x:v>
      </x:c>
      <x:c r="L345" s="15" t="str"/>
      <x:c r="M345" s="15" t="n">
        <x:v>2</x:v>
      </x:c>
      <x:c r="N345" s="15" t="str">
        <x:v>factualFindings.contestedFacts[0].sourceCases[0] | reasoningStructure[0].sourceCases[0]</x:v>
      </x:c>
    </x:row>
    <x:row r="346">
      <x:c r="A346" s="1" t="str">
        <x:v>U0345</x:v>
      </x:c>
      <x:c r="B346" s="1" t="str">
        <x:v>cmsbrc37v001x04l4t7r77h89</x:v>
      </x:c>
      <x:c r="C346" s="1" t="str">
        <x:v>ca-2023-002207-mr-demetrios-karpasitis-v-hertfordshire-county-appellant-skeleton</x:v>
      </x:c>
      <x:c r="D346" s="1" t="str">
        <x:v>real</x:v>
      </x:c>
      <x:c r="E346" s="15" t="str">
        <x:v>Mr Demetrios Karpasitis v Hertfordshire County Council</x:v>
      </x:c>
      <x:c r="F346" s="16" t="n">
        <x:v>46236.506448252316</x:v>
      </x:c>
      <x:c r="G346" s="15" t="str">
        <x:v>legislation</x:v>
      </x:c>
      <x:c r="H346" s="15" t="str">
        <x:v>legislation:highways act 1980 41</x:v>
      </x:c>
      <x:c r="I346" s="15" t="str">
        <x:v>Highways Act 1980</x:v>
      </x:c>
      <x:c r="J346" s="15" t="str">
        <x:v>Highways Act 1980 41</x:v>
      </x:c>
      <x:c r="K346" s="15" t="str"/>
      <x:c r="L346" s="15" t="str">
        <x:v>41</x:v>
      </x:c>
      <x:c r="M346" s="15" t="n">
        <x:v>1</x:v>
      </x:c>
      <x:c r="N346" s="15" t="str">
        <x:v>legalFramework.statutoryProvisions[0]</x:v>
      </x:c>
    </x:row>
    <x:row r="347">
      <x:c r="A347" s="1" t="str">
        <x:v>U0346</x:v>
      </x:c>
      <x:c r="B347" s="1" t="str">
        <x:v>cmsbrc37v001x04l4t7r77h89</x:v>
      </x:c>
      <x:c r="C347" s="1" t="str">
        <x:v>ca-2023-002207-mr-demetrios-karpasitis-v-hertfordshire-county-appellant-skeleton</x:v>
      </x:c>
      <x:c r="D347" s="1" t="str">
        <x:v>real</x:v>
      </x:c>
      <x:c r="E347" s="15" t="str">
        <x:v>Mr Demetrios Karpasitis v Hertfordshire County Council</x:v>
      </x:c>
      <x:c r="F347" s="16" t="n">
        <x:v>46236.506448252316</x:v>
      </x:c>
      <x:c r="G347" s="15" t="str">
        <x:v>legislation</x:v>
      </x:c>
      <x:c r="H347" s="15" t="str">
        <x:v>legislation:highways act 1980 58</x:v>
      </x:c>
      <x:c r="I347" s="15" t="str">
        <x:v>Highways Act 1980</x:v>
      </x:c>
      <x:c r="J347" s="15" t="str">
        <x:v>Highways Act 1980 58</x:v>
      </x:c>
      <x:c r="K347" s="15" t="str"/>
      <x:c r="L347" s="15" t="str">
        <x:v>58</x:v>
      </x:c>
      <x:c r="M347" s="15" t="n">
        <x:v>1</x:v>
      </x:c>
      <x:c r="N347" s="15" t="str">
        <x:v>legalFramework.statutoryProvisions[1]</x:v>
      </x:c>
    </x:row>
    <x:row r="348">
      <x:c r="A348" s="1" t="str">
        <x:v>U0347</x:v>
      </x:c>
      <x:c r="B348" s="1" t="str">
        <x:v>cmsbrc37v001x04l4t7r77h89</x:v>
      </x:c>
      <x:c r="C348" s="1" t="str">
        <x:v>ca-2023-002207-mr-demetrios-karpasitis-v-hertfordshire-county-appellant-skeleton</x:v>
      </x:c>
      <x:c r="D348" s="1" t="str">
        <x:v>real</x:v>
      </x:c>
      <x:c r="E348" s="15" t="str">
        <x:v>Mr Demetrios Karpasitis v Hertfordshire County Council</x:v>
      </x:c>
      <x:c r="F348" s="16" t="n">
        <x:v>46236.506448252316</x:v>
      </x:c>
      <x:c r="G348" s="15" t="str">
        <x:v>legislation</x:v>
      </x:c>
      <x:c r="H348" s="15" t="str">
        <x:v>legislation:senior courts act 1981 s 35a</x:v>
      </x:c>
      <x:c r="I348" s="15" t="str">
        <x:v>Senior Courts Act 1981, s.35A</x:v>
      </x:c>
      <x:c r="J348" s="15" t="str">
        <x:v>Senior Courts Act 1981, s.35A</x:v>
      </x:c>
      <x:c r="K348" s="15" t="str"/>
      <x:c r="L348" s="15" t="str"/>
      <x:c r="M348" s="15" t="n">
        <x:v>1</x:v>
      </x:c>
      <x:c r="N348" s="15" t="str">
        <x:v>decisionAndDisposition.interest.statutoryBasis</x:v>
      </x:c>
    </x:row>
    <x:row r="349">
      <x:c r="A349" s="1" t="str">
        <x:v>U0348</x:v>
      </x:c>
      <x:c r="B349" s="1" t="str">
        <x:v>cmsbrqmhv000j04jp78i2n3gf</x:v>
      </x:c>
      <x:c r="C349" s="1" t="str">
        <x:v>ca-2024-001951-ksy-juice-blends-uk-limited-v-skeleton</x:v>
      </x:c>
      <x:c r="D349" s="1" t="str">
        <x:v>real</x:v>
      </x:c>
      <x:c r="E349" s="15" t="str">
        <x:v>KSY Juice Blends UK Limited v Citrusuco GmbH</x:v>
      </x:c>
      <x:c r="F349" s="16" t="n">
        <x:v>46236.51429741898</x:v>
      </x:c>
      <x:c r="G349" s="15" t="str">
        <x:v>case</x:v>
      </x:c>
      <x:c r="H349" s="15" t="str">
        <x:v>case:2000 1 wlr 377</x:v>
      </x:c>
      <x:c r="I349" s="15" t="str">
        <x:v>Flannery v Halifax Estate Agencies Ltd [2000] 1 WLR 377</x:v>
      </x:c>
      <x:c r="J349" s="15" t="str">
        <x:v>Flannery v Halifax Estate Agencies Ltd [2000] 1 WLR 377</x:v>
      </x:c>
      <x:c r="K349" s="15" t="str"/>
      <x:c r="L349" s="15" t="str"/>
      <x:c r="M349" s="15" t="n">
        <x:v>1</x:v>
      </x:c>
      <x:c r="N349" s="15" t="str">
        <x:v>legalFramework.precedentCitations[1]</x:v>
      </x:c>
    </x:row>
    <x:row r="350">
      <x:c r="A350" s="1" t="str">
        <x:v>U0349</x:v>
      </x:c>
      <x:c r="B350" s="1" t="str">
        <x:v>cmsbrqmhv000j04jp78i2n3gf</x:v>
      </x:c>
      <x:c r="C350" s="1" t="str">
        <x:v>ca-2024-001951-ksy-juice-blends-uk-limited-v-skeleton</x:v>
      </x:c>
      <x:c r="D350" s="1" t="str">
        <x:v>real</x:v>
      </x:c>
      <x:c r="E350" s="15" t="str">
        <x:v>KSY Juice Blends UK Limited v Citrusuco GmbH</x:v>
      </x:c>
      <x:c r="F350" s="16" t="n">
        <x:v>46236.51429741898</x:v>
      </x:c>
      <x:c r="G350" s="15" t="str">
        <x:v>case</x:v>
      </x:c>
      <x:c r="H350" s="15" t="str">
        <x:v>case:2002 ewca civ 605</x:v>
      </x:c>
      <x:c r="I350" s="15" t="str">
        <x:v>English v Emery Reimbold &amp; Strick Ltd [2002] EWCA Civ 605</x:v>
      </x:c>
      <x:c r="J350" s="15" t="str">
        <x:v>English v Emery Reimbold &amp; Strick Ltd [2002] EWCA Civ 605</x:v>
      </x:c>
      <x:c r="K350" s="15" t="str"/>
      <x:c r="L350" s="15" t="str"/>
      <x:c r="M350" s="15" t="n">
        <x:v>1</x:v>
      </x:c>
      <x:c r="N350" s="15" t="str">
        <x:v>legalFramework.precedentCitations[0]</x:v>
      </x:c>
    </x:row>
    <x:row r="351">
      <x:c r="A351" s="1" t="str">
        <x:v>U0350</x:v>
      </x:c>
      <x:c r="B351" s="1" t="str">
        <x:v>cmsbrqmhv000j04jp78i2n3gf</x:v>
      </x:c>
      <x:c r="C351" s="1" t="str">
        <x:v>ca-2024-001951-ksy-juice-blends-uk-limited-v-skeleton</x:v>
      </x:c>
      <x:c r="D351" s="1" t="str">
        <x:v>real</x:v>
      </x:c>
      <x:c r="E351" s="15" t="str">
        <x:v>KSY Juice Blends UK Limited v Citrusuco GmbH</x:v>
      </x:c>
      <x:c r="F351" s="16" t="n">
        <x:v>46236.51429741898</x:v>
      </x:c>
      <x:c r="G351" s="15" t="str">
        <x:v>case</x:v>
      </x:c>
      <x:c r="H351" s="15" t="str">
        <x:v>case:2016 ewca civ 372</x:v>
      </x:c>
      <x:c r="I351" s="15" t="str">
        <x:v>Transocean Drilling U.K. Ltd v Providence Resources Plc</x:v>
      </x:c>
      <x:c r="J351" s="15" t="str">
        <x:v>[2016] EWCA Civ 372</x:v>
      </x:c>
      <x:c r="K351" s="15" t="str">
        <x:v>2f55d6fc-d021-46d3-babd-7424b10b0d23</x:v>
      </x:c>
      <x:c r="L351" s="15" t="str"/>
      <x:c r="M351" s="15" t="n">
        <x:v>1</x:v>
      </x:c>
      <x:c r="N351" s="15" t="str">
        <x:v>factualFindings.contestedFacts[1].sourceCases[0]</x:v>
      </x:c>
    </x:row>
    <x:row r="352">
      <x:c r="A352" s="1" t="str">
        <x:v>U0351</x:v>
      </x:c>
      <x:c r="B352" s="1" t="str">
        <x:v>cmsbrqmhv000j04jp78i2n3gf</x:v>
      </x:c>
      <x:c r="C352" s="1" t="str">
        <x:v>ca-2024-001951-ksy-juice-blends-uk-limited-v-skeleton</x:v>
      </x:c>
      <x:c r="D352" s="1" t="str">
        <x:v>real</x:v>
      </x:c>
      <x:c r="E352" s="15" t="str">
        <x:v>KSY Juice Blends UK Limited v Citrusuco GmbH</x:v>
      </x:c>
      <x:c r="F352" s="16" t="n">
        <x:v>46236.51429741898</x:v>
      </x:c>
      <x:c r="G352" s="15" t="str">
        <x:v>case</x:v>
      </x:c>
      <x:c r="H352" s="15" t="str">
        <x:v>case:2022 ewca civ 978</x:v>
      </x:c>
      <x:c r="I352" s="15" t="str">
        <x:v>Union of Shop, Distributive and Allied Workers &amp; Ors v Tesco Stores Ltd</x:v>
      </x:c>
      <x:c r="J352" s="15" t="str">
        <x:v>(2022) EWCA Civ 978</x:v>
      </x:c>
      <x:c r="K352" s="15" t="str">
        <x:v>54d149f2-2e02-477e-8541-b2bf222578d6</x:v>
      </x:c>
      <x:c r="L352" s="15" t="str"/>
      <x:c r="M352" s="15" t="n">
        <x:v>2</x:v>
      </x:c>
      <x:c r="N352" s="15" t="str">
        <x:v>issuesForDetermination.issueMatrix[0].sourceCases[0] | reasoningStructure[0].sourceCases[0]</x:v>
      </x:c>
    </x:row>
    <x:row r="353">
      <x:c r="A353" s="1" t="str">
        <x:v>U0352</x:v>
      </x:c>
      <x:c r="B353" s="1" t="str">
        <x:v>cmsbrqmhv000j04jp78i2n3gf</x:v>
      </x:c>
      <x:c r="C353" s="1" t="str">
        <x:v>ca-2024-001951-ksy-juice-blends-uk-limited-v-skeleton</x:v>
      </x:c>
      <x:c r="D353" s="1" t="str">
        <x:v>real</x:v>
      </x:c>
      <x:c r="E353" s="15" t="str">
        <x:v>KSY Juice Blends UK Limited v Citrusuco GmbH</x:v>
      </x:c>
      <x:c r="F353" s="16" t="n">
        <x:v>46236.51429741898</x:v>
      </x:c>
      <x:c r="G353" s="15" t="str">
        <x:v>case</x:v>
      </x:c>
      <x:c r="H353" s="15" t="str">
        <x:v>case:2023 ewca civ 52</x:v>
      </x:c>
      <x:c r="I353" s="15" t="str">
        <x:v>Zymurgorium Ltd v Hammonds of Knutsford Plc</x:v>
      </x:c>
      <x:c r="J353" s="15" t="str">
        <x:v>[2023] EWCA Civ 52</x:v>
      </x:c>
      <x:c r="K353" s="15" t="str">
        <x:v>481bab6a-1b92-467d9838-15c341ee5a8c</x:v>
      </x:c>
      <x:c r="L353" s="15" t="str"/>
      <x:c r="M353" s="15" t="n">
        <x:v>2</x:v>
      </x:c>
      <x:c r="N353" s="15" t="str">
        <x:v>issuesForDetermination.issueMatrix[1].sourceCases[0] | reasoningStructure[1].sourceCases[0]</x:v>
      </x:c>
    </x:row>
    <x:row r="354">
      <x:c r="A354" s="1" t="str">
        <x:v>U0353</x:v>
      </x:c>
      <x:c r="B354" s="1" t="str">
        <x:v>cmsbrqmhv000j04jp78i2n3gf</x:v>
      </x:c>
      <x:c r="C354" s="1" t="str">
        <x:v>ca-2024-001951-ksy-juice-blends-uk-limited-v-skeleton</x:v>
      </x:c>
      <x:c r="D354" s="1" t="str">
        <x:v>real</x:v>
      </x:c>
      <x:c r="E354" s="15" t="str">
        <x:v>KSY Juice Blends UK Limited v Citrusuco GmbH</x:v>
      </x:c>
      <x:c r="F354" s="16" t="n">
        <x:v>46236.51429741898</x:v>
      </x:c>
      <x:c r="G354" s="15" t="str">
        <x:v>case</x:v>
      </x:c>
      <x:c r="H354" s="15" t="str">
        <x:v>case:dixon &amp; anor v blindley heath investments ltd &amp; anor</x:v>
      </x:c>
      <x:c r="I354" s="15" t="str">
        <x:v>Dixon &amp; Anor v Blindley Heath Investments Ltd &amp; Anor</x:v>
      </x:c>
      <x:c r="J354" s="15" t="str">
        <x:v>N/A</x:v>
      </x:c>
      <x:c r="K354" s="15" t="str">
        <x:v>82d8ca93-47f5-468a-805f-22afbaf56924</x:v>
      </x:c>
      <x:c r="L354" s="15" t="str"/>
      <x:c r="M354" s="15" t="n">
        <x:v>1</x:v>
      </x:c>
      <x:c r="N354" s="15" t="str">
        <x:v>factualFindings.contestedFacts[0].sourceCases[0]</x:v>
      </x:c>
    </x:row>
    <x:row r="355">
      <x:c r="A355" s="1" t="str">
        <x:v>U0354</x:v>
      </x:c>
      <x:c r="B355" s="1" t="str">
        <x:v>cmsbrqmhv000j04jp78i2n3gf</x:v>
      </x:c>
      <x:c r="C355" s="1" t="str">
        <x:v>ca-2024-001951-ksy-juice-blends-uk-limited-v-skeleton</x:v>
      </x:c>
      <x:c r="D355" s="1" t="str">
        <x:v>real</x:v>
      </x:c>
      <x:c r="E355" s="15" t="str">
        <x:v>KSY Juice Blends UK Limited v Citrusuco GmbH</x:v>
      </x:c>
      <x:c r="F355" s="16" t="n">
        <x:v>46236.51429741898</x:v>
      </x:c>
      <x:c r="G355" s="15" t="str">
        <x:v>legislation</x:v>
      </x:c>
      <x:c r="H355" s="15" t="str">
        <x:v>legislation:sale of goods act 1979 s 8 2</x:v>
      </x:c>
      <x:c r="I355" s="15" t="str">
        <x:v>Sale of Goods Act 1979</x:v>
      </x:c>
      <x:c r="J355" s="15" t="str">
        <x:v>Sale of Goods Act 1979 Section 8(2)</x:v>
      </x:c>
      <x:c r="K355" s="15" t="str"/>
      <x:c r="L355" s="15" t="str">
        <x:v>Section 8(2)</x:v>
      </x:c>
      <x:c r="M355" s="15" t="n">
        <x:v>2</x:v>
      </x:c>
      <x:c r="N355" s="15" t="str">
        <x:v>legalFramework.legalTestSummaries[0].sourceAuthority | legalFramework.statutoryProvisions[0]</x:v>
      </x:c>
    </x:row>
    <x:row r="356">
      <x:c r="A356" s="1" t="str">
        <x:v>U0355</x:v>
      </x:c>
      <x:c r="B356" s="1" t="str">
        <x:v>cmsbrqmhv000j04jp78i2n3gf</x:v>
      </x:c>
      <x:c r="C356" s="1" t="str">
        <x:v>ca-2024-001951-ksy-juice-blends-uk-limited-v-skeleton</x:v>
      </x:c>
      <x:c r="D356" s="1" t="str">
        <x:v>real</x:v>
      </x:c>
      <x:c r="E356" s="15" t="str">
        <x:v>KSY Juice Blends UK Limited v Citrusuco GmbH</x:v>
      </x:c>
      <x:c r="F356" s="16" t="n">
        <x:v>46236.51429741898</x:v>
      </x:c>
      <x:c r="G356" s="15" t="str">
        <x:v>legislation</x:v>
      </x:c>
      <x:c r="H356" s="15" t="str">
        <x:v>legislation:senior courts act 1981 s 35a</x:v>
      </x:c>
      <x:c r="I356" s="15" t="str">
        <x:v>Senior Courts Act 1981</x:v>
      </x:c>
      <x:c r="J356" s="15" t="str">
        <x:v>Senior Courts Act 1981 s.35A</x:v>
      </x:c>
      <x:c r="K356" s="15" t="str"/>
      <x:c r="L356" s="15" t="str">
        <x:v>s.35A</x:v>
      </x:c>
      <x:c r="M356" s="15" t="n">
        <x:v>2</x:v>
      </x:c>
      <x:c r="N356" s="15" t="str">
        <x:v>decisionAndDisposition.interest.statutoryBasis | legalFramework.statutoryProvisions[1]</x:v>
      </x:c>
    </x:row>
    <x:row r="357">
      <x:c r="A357" s="1" t="str">
        <x:v>U0356</x:v>
      </x:c>
      <x:c r="B357" s="1" t="str">
        <x:v>cmsbrqmhv000j04jp78i2n3gf</x:v>
      </x:c>
      <x:c r="C357" s="1" t="str">
        <x:v>ca-2024-001951-ksy-juice-blends-uk-limited-v-skeleton</x:v>
      </x:c>
      <x:c r="D357" s="1" t="str">
        <x:v>real</x:v>
      </x:c>
      <x:c r="E357" s="15" t="str">
        <x:v>KSY Juice Blends UK Limited v Citrusuco GmbH</x:v>
      </x:c>
      <x:c r="F357" s="16" t="n">
        <x:v>46236.51429741898</x:v>
      </x:c>
      <x:c r="G357" s="15" t="str">
        <x:v>other</x:v>
      </x:c>
      <x:c r="H357" s="15" t="str">
        <x:v>other:industry pricing practices</x:v>
      </x:c>
      <x:c r="I357" s="15" t="str">
        <x:v>Industry pricing practices</x:v>
      </x:c>
      <x:c r="J357" s="15" t="str">
        <x:v>Industry pricing practices</x:v>
      </x:c>
      <x:c r="K357" s="15" t="str"/>
      <x:c r="L357" s="15" t="str"/>
      <x:c r="M357" s="15" t="n">
        <x:v>1</x:v>
      </x:c>
      <x:c r="N357" s="15" t="str">
        <x:v>legalFramework.legalTestSummaries[1].sourceAuthority</x:v>
      </x:c>
    </x:row>
    <x:row r="358">
      <x:c r="A358" s="1" t="str">
        <x:v>U0357</x:v>
      </x:c>
      <x:c r="B358" s="1" t="str">
        <x:v>cmsbrvtc4001304jp5e4691on</x:v>
      </x:c>
      <x:c r="C358" s="1" t="str">
        <x:v>2023-002546-ryanair-dac-v-jason-lutz-appellant-skeleton</x:v>
      </x:c>
      <x:c r="D358" s="1" t="str">
        <x:v>real</x:v>
      </x:c>
      <x:c r="E358" s="15" t="str">
        <x:v>Ryanair DAC &amp; Storm Global Limited v Jason Lutz</x:v>
      </x:c>
      <x:c r="F358" s="16" t="n">
        <x:v>46236.517100034725</x:v>
      </x:c>
      <x:c r="G358" s="15" t="str">
        <x:v>case</x:v>
      </x:c>
      <x:c r="H358" s="15" t="str">
        <x:v>case:2000 1 wlr 377</x:v>
      </x:c>
      <x:c r="I358" s="15" t="str">
        <x:v>Flannery v Halifax Estate Agencies Ltd [2000] 1 WLR 377</x:v>
      </x:c>
      <x:c r="J358" s="15" t="str">
        <x:v>Flannery v Halifax Estate Agencies Ltd [2000] 1 WLR 377</x:v>
      </x:c>
      <x:c r="K358" s="15" t="str"/>
      <x:c r="L358" s="15" t="str"/>
      <x:c r="M358" s="15" t="n">
        <x:v>1</x:v>
      </x:c>
      <x:c r="N358" s="15" t="str">
        <x:v>legalFramework.precedentCitations[1]</x:v>
      </x:c>
    </x:row>
    <x:row r="359">
      <x:c r="A359" s="1" t="str">
        <x:v>U0358</x:v>
      </x:c>
      <x:c r="B359" s="1" t="str">
        <x:v>cmsbrvtc4001304jp5e4691on</x:v>
      </x:c>
      <x:c r="C359" s="1" t="str">
        <x:v>2023-002546-ryanair-dac-v-jason-lutz-appellant-skeleton</x:v>
      </x:c>
      <x:c r="D359" s="1" t="str">
        <x:v>real</x:v>
      </x:c>
      <x:c r="E359" s="15" t="str">
        <x:v>Ryanair DAC &amp; Storm Global Limited v Jason Lutz</x:v>
      </x:c>
      <x:c r="F359" s="16" t="n">
        <x:v>46236.517100034725</x:v>
      </x:c>
      <x:c r="G359" s="15" t="str">
        <x:v>case</x:v>
      </x:c>
      <x:c r="H359" s="15" t="str">
        <x:v>case:2002 ewca civ 605</x:v>
      </x:c>
      <x:c r="I359" s="15" t="str">
        <x:v>English v Emery Reimbold &amp; Strick Ltd [2002] EWCA Civ 605</x:v>
      </x:c>
      <x:c r="J359" s="15" t="str">
        <x:v>English v Emery Reimbold &amp; Strick Ltd [2002] EWCA Civ 605</x:v>
      </x:c>
      <x:c r="K359" s="15" t="str"/>
      <x:c r="L359" s="15" t="str"/>
      <x:c r="M359" s="15" t="n">
        <x:v>1</x:v>
      </x:c>
      <x:c r="N359" s="15" t="str">
        <x:v>legalFramework.precedentCitations[0]</x:v>
      </x:c>
    </x:row>
    <x:row r="360">
      <x:c r="A360" s="1" t="str">
        <x:v>U0359</x:v>
      </x:c>
      <x:c r="B360" s="1" t="str">
        <x:v>cmsbrvtc4001304jp5e4691on</x:v>
      </x:c>
      <x:c r="C360" s="1" t="str">
        <x:v>2023-002546-ryanair-dac-v-jason-lutz-appellant-skeleton</x:v>
      </x:c>
      <x:c r="D360" s="1" t="str">
        <x:v>real</x:v>
      </x:c>
      <x:c r="E360" s="15" t="str">
        <x:v>Ryanair DAC &amp; Storm Global Limited v Jason Lutz</x:v>
      </x:c>
      <x:c r="F360" s="16" t="n">
        <x:v>46236.517100034725</x:v>
      </x:c>
      <x:c r="G360" s="15" t="str">
        <x:v>case</x:v>
      </x:c>
      <x:c r="H360" s="15" t="str">
        <x:v>case:2014 ewca civ 410</x:v>
      </x:c>
      <x:c r="I360" s="15" t="str">
        <x:v>Ryanair Ltd v HM Revenue and Customs</x:v>
      </x:c>
      <x:c r="J360" s="15" t="str">
        <x:v>[2014] EWCA Civ 410</x:v>
      </x:c>
      <x:c r="K360" s="15" t="str">
        <x:v>75a20b14-f8c3-4078-b7f8-35b3a7d3864f</x:v>
      </x:c>
      <x:c r="L360" s="15" t="str"/>
      <x:c r="M360" s="15" t="n">
        <x:v>1</x:v>
      </x:c>
      <x:c r="N360" s="15" t="str">
        <x:v>issuesForDetermination.issueMatrix[0].sourceCases[0]</x:v>
      </x:c>
    </x:row>
    <x:row r="361">
      <x:c r="A361" s="1" t="str">
        <x:v>U0360</x:v>
      </x:c>
      <x:c r="B361" s="1" t="str">
        <x:v>cmsbrvtc4001304jp5e4691on</x:v>
      </x:c>
      <x:c r="C361" s="1" t="str">
        <x:v>2023-002546-ryanair-dac-v-jason-lutz-appellant-skeleton</x:v>
      </x:c>
      <x:c r="D361" s="1" t="str">
        <x:v>real</x:v>
      </x:c>
      <x:c r="E361" s="15" t="str">
        <x:v>Ryanair DAC &amp; Storm Global Limited v Jason Lutz</x:v>
      </x:c>
      <x:c r="F361" s="16" t="n">
        <x:v>46236.517100034725</x:v>
      </x:c>
      <x:c r="G361" s="15" t="str">
        <x:v>case</x:v>
      </x:c>
      <x:c r="H361" s="15" t="str">
        <x:v>case:2017 ewca civ 1054</x:v>
      </x:c>
      <x:c r="I361" s="15" t="str">
        <x:v>Tillman v Egon Zehnder Ltd</x:v>
      </x:c>
      <x:c r="J361" s="15" t="str">
        <x:v>[2017] EWCA Civ 1054</x:v>
      </x:c>
      <x:c r="K361" s="15" t="str">
        <x:v>b8de63a1-be7b-4764-8d72-2b529e7812b8</x:v>
      </x:c>
      <x:c r="L361" s="15" t="str"/>
      <x:c r="M361" s="15" t="n">
        <x:v>1</x:v>
      </x:c>
      <x:c r="N361" s="15" t="str">
        <x:v>reasoningStructure[0].sourceCases[0]</x:v>
      </x:c>
    </x:row>
    <x:row r="362">
      <x:c r="A362" s="1" t="str">
        <x:v>U0361</x:v>
      </x:c>
      <x:c r="B362" s="1" t="str">
        <x:v>cmsbrvtc4001304jp5e4691on</x:v>
      </x:c>
      <x:c r="C362" s="1" t="str">
        <x:v>2023-002546-ryanair-dac-v-jason-lutz-appellant-skeleton</x:v>
      </x:c>
      <x:c r="D362" s="1" t="str">
        <x:v>real</x:v>
      </x:c>
      <x:c r="E362" s="15" t="str">
        <x:v>Ryanair DAC &amp; Storm Global Limited v Jason Lutz</x:v>
      </x:c>
      <x:c r="F362" s="16" t="n">
        <x:v>46236.517100034725</x:v>
      </x:c>
      <x:c r="G362" s="15" t="str">
        <x:v>case</x:v>
      </x:c>
      <x:c r="H362" s="15" t="str">
        <x:v>case:2022 ewca civ 189</x:v>
      </x:c>
      <x:c r="I362" s="15" t="str">
        <x:v>Kocur v Angard Staffing Solutions Limited &amp; Anor</x:v>
      </x:c>
      <x:c r="J362" s="15" t="str">
        <x:v>[2022] EWCA Civ 189</x:v>
      </x:c>
      <x:c r="K362" s="15" t="str">
        <x:v>f8755763-8d90-4b51-8a0a-d11efa528908</x:v>
      </x:c>
      <x:c r="L362" s="15" t="str"/>
      <x:c r="M362" s="15" t="n">
        <x:v>2</x:v>
      </x:c>
      <x:c r="N362" s="15" t="str">
        <x:v>factualFindings.contestedFacts[0].sourceCases[0] | legalFramework.statutoryProvisions[0].sourceCases[0]</x:v>
      </x:c>
    </x:row>
    <x:row r="363">
      <x:c r="A363" s="1" t="str">
        <x:v>U0362</x:v>
      </x:c>
      <x:c r="B363" s="1" t="str">
        <x:v>cmsbrvtc4001304jp5e4691on</x:v>
      </x:c>
      <x:c r="C363" s="1" t="str">
        <x:v>2023-002546-ryanair-dac-v-jason-lutz-appellant-skeleton</x:v>
      </x:c>
      <x:c r="D363" s="1" t="str">
        <x:v>real</x:v>
      </x:c>
      <x:c r="E363" s="15" t="str">
        <x:v>Ryanair DAC &amp; Storm Global Limited v Jason Lutz</x:v>
      </x:c>
      <x:c r="F363" s="16" t="n">
        <x:v>46236.517100034725</x:v>
      </x:c>
      <x:c r="G363" s="15" t="str">
        <x:v>case</x:v>
      </x:c>
      <x:c r="H363" s="15" t="str">
        <x:v>case:2022 ewca civ 76</x:v>
      </x:c>
      <x:c r="I363" s="15" t="str">
        <x:v>The Civil Aviation Authority v Ryanair DAC</x:v>
      </x:c>
      <x:c r="J363" s="15" t="str">
        <x:v>[2022] EWCA Civ 76</x:v>
      </x:c>
      <x:c r="K363" s="15" t="str">
        <x:v>4f977444-ccac-4d7e-9884-b7b75680cfa6</x:v>
      </x:c>
      <x:c r="L363" s="15" t="str"/>
      <x:c r="M363" s="15" t="n">
        <x:v>1</x:v>
      </x:c>
      <x:c r="N363" s="15" t="str">
        <x:v>factualFindings.contestedFacts[1].sourceCases[0]</x:v>
      </x:c>
    </x:row>
    <x:row r="364">
      <x:c r="A364" s="1" t="str">
        <x:v>U0363</x:v>
      </x:c>
      <x:c r="B364" s="1" t="str">
        <x:v>cmsbrvtc4001304jp5e4691on</x:v>
      </x:c>
      <x:c r="C364" s="1" t="str">
        <x:v>2023-002546-ryanair-dac-v-jason-lutz-appellant-skeleton</x:v>
      </x:c>
      <x:c r="D364" s="1" t="str">
        <x:v>real</x:v>
      </x:c>
      <x:c r="E364" s="15" t="str">
        <x:v>Ryanair DAC &amp; Storm Global Limited v Jason Lutz</x:v>
      </x:c>
      <x:c r="F364" s="16" t="n">
        <x:v>46236.517100034725</x:v>
      </x:c>
      <x:c r="G364" s="15" t="str">
        <x:v>legislation</x:v>
      </x:c>
      <x:c r="H364" s="15" t="str">
        <x:v>legislation:agency workers regulations 2010 8</x:v>
      </x:c>
      <x:c r="I364" s="15" t="str">
        <x:v>Agency Workers Regulations 2010</x:v>
      </x:c>
      <x:c r="J364" s="15" t="str">
        <x:v>Agency Workers Regulations 2010 8</x:v>
      </x:c>
      <x:c r="K364" s="15" t="str"/>
      <x:c r="L364" s="15" t="str">
        <x:v>8</x:v>
      </x:c>
      <x:c r="M364" s="15" t="n">
        <x:v>1</x:v>
      </x:c>
      <x:c r="N364" s="15" t="str">
        <x:v>legalFramework.statutoryProvisions[0]</x:v>
      </x:c>
    </x:row>
    <x:row r="365">
      <x:c r="A365" s="1" t="str">
        <x:v>U0364</x:v>
      </x:c>
      <x:c r="B365" s="1" t="str">
        <x:v>cmsbrvtc4001304jp5e4691on</x:v>
      </x:c>
      <x:c r="C365" s="1" t="str">
        <x:v>2023-002546-ryanair-dac-v-jason-lutz-appellant-skeleton</x:v>
      </x:c>
      <x:c r="D365" s="1" t="str">
        <x:v>real</x:v>
      </x:c>
      <x:c r="E365" s="15" t="str">
        <x:v>Ryanair DAC &amp; Storm Global Limited v Jason Lutz</x:v>
      </x:c>
      <x:c r="F365" s="16" t="n">
        <x:v>46236.517100034725</x:v>
      </x:c>
      <x:c r="G365" s="15" t="str">
        <x:v>legislation</x:v>
      </x:c>
      <x:c r="H365" s="15" t="str">
        <x:v>legislation:senior courts act 1981 s 35a</x:v>
      </x:c>
      <x:c r="I365" s="15" t="str">
        <x:v>Senior Courts Act 1981, s.35A</x:v>
      </x:c>
      <x:c r="J365" s="15" t="str">
        <x:v>Senior Courts Act 1981, s.35A</x:v>
      </x:c>
      <x:c r="K365" s="15" t="str"/>
      <x:c r="L365" s="15" t="str"/>
      <x:c r="M365" s="15" t="n">
        <x:v>2</x:v>
      </x:c>
      <x:c r="N365" s="15" t="str">
        <x:v>decisionAndDisposition.interest.statutoryBasis | legalFramework.precedentCitations[2]</x:v>
      </x:c>
    </x:row>
    <x:row r="366">
      <x:c r="A366" s="1" t="str">
        <x:v>U0365</x:v>
      </x:c>
      <x:c r="B366" s="1" t="str">
        <x:v>cmsbskr86000h04ji5a4thcht</x:v>
      </x:c>
      <x:c r="C366" s="1" t="str">
        <x:v>ca-2023-002537-storm-global-limited-v-jason-lutz-appellant-skeleton</x:v>
      </x:c>
      <x:c r="D366" s="1" t="str">
        <x:v>real</x:v>
      </x:c>
      <x:c r="E366" s="15" t="str">
        <x:v>Storm Global Limited v Jason Lutz</x:v>
      </x:c>
      <x:c r="F366" s="16" t="n">
        <x:v>46236.53056837963</x:v>
      </x:c>
      <x:c r="G366" s="15" t="str">
        <x:v>case</x:v>
      </x:c>
      <x:c r="H366" s="15" t="str">
        <x:v>case:2022 ewca civ 189</x:v>
      </x:c>
      <x:c r="I366" s="15" t="str">
        <x:v>Kocur v Angard Staffing Solutions Limited &amp; Anor</x:v>
      </x:c>
      <x:c r="J366" s="15" t="str">
        <x:v>[2022] EWCA Civ 189</x:v>
      </x:c>
      <x:c r="K366" s="15" t="str">
        <x:v>f8755763-8d90-4b51-8a0a-d11efa528908</x:v>
      </x:c>
      <x:c r="L366" s="15" t="str"/>
      <x:c r="M366" s="15" t="n">
        <x:v>3</x:v>
      </x:c>
      <x:c r="N366" s="15" t="str">
        <x:v>factualFindings.contestedFacts[0].sourceCases[1] | issuesForDetermination.issueMatrix[0].sourceCases[0] | reasoningStructure[0].sourceCases[1]</x:v>
      </x:c>
    </x:row>
    <x:row r="367">
      <x:c r="A367" s="1" t="str">
        <x:v>U0366</x:v>
      </x:c>
      <x:c r="B367" s="1" t="str">
        <x:v>cmsbskr86000h04ji5a4thcht</x:v>
      </x:c>
      <x:c r="C367" s="1" t="str">
        <x:v>ca-2023-002537-storm-global-limited-v-jason-lutz-appellant-skeleton</x:v>
      </x:c>
      <x:c r="D367" s="1" t="str">
        <x:v>real</x:v>
      </x:c>
      <x:c r="E367" s="15" t="str">
        <x:v>Storm Global Limited v Jason Lutz</x:v>
      </x:c>
      <x:c r="F367" s="16" t="n">
        <x:v>46236.53056837963</x:v>
      </x:c>
      <x:c r="G367" s="15" t="str">
        <x:v>case</x:v>
      </x:c>
      <x:c r="H367" s="15" t="str">
        <x:v>case:2022 ewca civ 229</x:v>
      </x:c>
      <x:c r="I367" s="15" t="str">
        <x:v>Nursing and Midwifery Council v Somerville</x:v>
      </x:c>
      <x:c r="J367" s="15" t="str">
        <x:v>[2022] EWCA Civ 229</x:v>
      </x:c>
      <x:c r="K367" s="15" t="str">
        <x:v>4a6e3c60-f40d-4a95-bd57-d62150508e45</x:v>
      </x:c>
      <x:c r="L367" s="15" t="str"/>
      <x:c r="M367" s="15" t="n">
        <x:v>2</x:v>
      </x:c>
      <x:c r="N367" s="15" t="str">
        <x:v>factualFindings.contestedFacts[0].sourceCases[0] | reasoningStructure[0].sourceCases[0]</x:v>
      </x:c>
    </x:row>
    <x:row r="368">
      <x:c r="A368" s="1" t="str">
        <x:v>U0367</x:v>
      </x:c>
      <x:c r="B368" s="1" t="str">
        <x:v>cmsbskr86000h04ji5a4thcht</x:v>
      </x:c>
      <x:c r="C368" s="1" t="str">
        <x:v>ca-2023-002537-storm-global-limited-v-jason-lutz-appellant-skeleton</x:v>
      </x:c>
      <x:c r="D368" s="1" t="str">
        <x:v>real</x:v>
      </x:c>
      <x:c r="E368" s="15" t="str">
        <x:v>Storm Global Limited v Jason Lutz</x:v>
      </x:c>
      <x:c r="F368" s="16" t="n">
        <x:v>46236.53056837963</x:v>
      </x:c>
      <x:c r="G368" s="15" t="str">
        <x:v>case</x:v>
      </x:c>
      <x:c r="H368" s="15" t="str">
        <x:v>case:james v greenwich bc 2008 irlr 302</x:v>
      </x:c>
      <x:c r="I368" s="15" t="str">
        <x:v>James v Greenwich BC [2008] IRLR 302</x:v>
      </x:c>
      <x:c r="J368" s="15" t="str">
        <x:v>James v Greenwich BC [2008] IRLR 302</x:v>
      </x:c>
      <x:c r="K368" s="15" t="str"/>
      <x:c r="L368" s="15" t="str"/>
      <x:c r="M368" s="15" t="n">
        <x:v>1</x:v>
      </x:c>
      <x:c r="N368" s="15" t="str">
        <x:v>legalFramework.precedentCitations[0]</x:v>
      </x:c>
    </x:row>
    <x:row r="369">
      <x:c r="A369" s="1" t="str">
        <x:v>U0368</x:v>
      </x:c>
      <x:c r="B369" s="1" t="str">
        <x:v>cmsbskr86000h04ji5a4thcht</x:v>
      </x:c>
      <x:c r="C369" s="1" t="str">
        <x:v>ca-2023-002537-storm-global-limited-v-jason-lutz-appellant-skeleton</x:v>
      </x:c>
      <x:c r="D369" s="1" t="str">
        <x:v>real</x:v>
      </x:c>
      <x:c r="E369" s="15" t="str">
        <x:v>Storm Global Limited v Jason Lutz</x:v>
      </x:c>
      <x:c r="F369" s="16" t="n">
        <x:v>46236.53056837963</x:v>
      </x:c>
      <x:c r="G369" s="15" t="str">
        <x:v>case</x:v>
      </x:c>
      <x:c r="H369" s="15" t="str">
        <x:v>case:uber bv v aslam 2021 icr 657</x:v>
      </x:c>
      <x:c r="I369" s="15" t="str">
        <x:v>Uber BV v Aslam [2021] ICR 657</x:v>
      </x:c>
      <x:c r="J369" s="15" t="str">
        <x:v>Uber BV v Aslam [2021] ICR 657</x:v>
      </x:c>
      <x:c r="K369" s="15" t="str"/>
      <x:c r="L369" s="15" t="str"/>
      <x:c r="M369" s="15" t="n">
        <x:v>1</x:v>
      </x:c>
      <x:c r="N369" s="15" t="str">
        <x:v>legalFramework.precedentCitations[1]</x:v>
      </x:c>
    </x:row>
    <x:row r="370">
      <x:c r="A370" s="1" t="str">
        <x:v>U0369</x:v>
      </x:c>
      <x:c r="B370" s="1" t="str">
        <x:v>cmsbskr86000h04ji5a4thcht</x:v>
      </x:c>
      <x:c r="C370" s="1" t="str">
        <x:v>ca-2023-002537-storm-global-limited-v-jason-lutz-appellant-skeleton</x:v>
      </x:c>
      <x:c r="D370" s="1" t="str">
        <x:v>real</x:v>
      </x:c>
      <x:c r="E370" s="15" t="str">
        <x:v>Storm Global Limited v Jason Lutz</x:v>
      </x:c>
      <x:c r="F370" s="16" t="n">
        <x:v>46236.53056837963</x:v>
      </x:c>
      <x:c r="G370" s="15" t="str">
        <x:v>legislation</x:v>
      </x:c>
      <x:c r="H370" s="15" t="str">
        <x:v>legislation:agency worker regulations 2010</x:v>
      </x:c>
      <x:c r="I370" s="15" t="str">
        <x:v>Agency Worker Regulations 2010</x:v>
      </x:c>
      <x:c r="J370" s="15" t="str">
        <x:v>Agency Worker Regulations 2010</x:v>
      </x:c>
      <x:c r="K370" s="15" t="str"/>
      <x:c r="L370" s="15" t="str"/>
      <x:c r="M370" s="15" t="n">
        <x:v>1</x:v>
      </x:c>
      <x:c r="N370" s="15" t="str">
        <x:v>legalFramework.legalTestSummaries[0].sourceAuthority</x:v>
      </x:c>
    </x:row>
    <x:row r="371">
      <x:c r="A371" s="1" t="str">
        <x:v>U0370</x:v>
      </x:c>
      <x:c r="B371" s="1" t="str">
        <x:v>cmsbskr86000h04ji5a4thcht</x:v>
      </x:c>
      <x:c r="C371" s="1" t="str">
        <x:v>ca-2023-002537-storm-global-limited-v-jason-lutz-appellant-skeleton</x:v>
      </x:c>
      <x:c r="D371" s="1" t="str">
        <x:v>real</x:v>
      </x:c>
      <x:c r="E371" s="15" t="str">
        <x:v>Storm Global Limited v Jason Lutz</x:v>
      </x:c>
      <x:c r="F371" s="16" t="n">
        <x:v>46236.53056837963</x:v>
      </x:c>
      <x:c r="G371" s="15" t="str">
        <x:v>legislation</x:v>
      </x:c>
      <x:c r="H371" s="15" t="str">
        <x:v>legislation:agency worker regulations 2010 regulation 3</x:v>
      </x:c>
      <x:c r="I371" s="15" t="str">
        <x:v>Agency Worker Regulations 2010</x:v>
      </x:c>
      <x:c r="J371" s="15" t="str">
        <x:v>Agency Worker Regulations 2010 Regulation 3</x:v>
      </x:c>
      <x:c r="K371" s="15" t="str"/>
      <x:c r="L371" s="15" t="str">
        <x:v>Regulation 3</x:v>
      </x:c>
      <x:c r="M371" s="15" t="n">
        <x:v>1</x:v>
      </x:c>
      <x:c r="N371" s="15" t="str">
        <x:v>legalFramework.statutoryProvisions[1]</x:v>
      </x:c>
    </x:row>
    <x:row r="372">
      <x:c r="A372" s="1" t="str">
        <x:v>U0371</x:v>
      </x:c>
      <x:c r="B372" s="1" t="str">
        <x:v>cmsbskr86000h04ji5a4thcht</x:v>
      </x:c>
      <x:c r="C372" s="1" t="str">
        <x:v>ca-2023-002537-storm-global-limited-v-jason-lutz-appellant-skeleton</x:v>
      </x:c>
      <x:c r="D372" s="1" t="str">
        <x:v>real</x:v>
      </x:c>
      <x:c r="E372" s="15" t="str">
        <x:v>Storm Global Limited v Jason Lutz</x:v>
      </x:c>
      <x:c r="F372" s="16" t="n">
        <x:v>46236.53056837963</x:v>
      </x:c>
      <x:c r="G372" s="15" t="str">
        <x:v>legislation</x:v>
      </x:c>
      <x:c r="H372" s="15" t="str">
        <x:v>legislation:civil aviation working time regulations 2004 regulation 2</x:v>
      </x:c>
      <x:c r="I372" s="15" t="str">
        <x:v>Civil Aviation (Working Time) Regulations 2004</x:v>
      </x:c>
      <x:c r="J372" s="15" t="str">
        <x:v>Civil Aviation (Working Time) Regulations 2004 Regulation 2</x:v>
      </x:c>
      <x:c r="K372" s="15" t="str"/>
      <x:c r="L372" s="15" t="str">
        <x:v>Regulation 2</x:v>
      </x:c>
      <x:c r="M372" s="15" t="n">
        <x:v>1</x:v>
      </x:c>
      <x:c r="N372" s="15" t="str">
        <x:v>legalFramework.statutoryProvisions[0]</x:v>
      </x:c>
    </x:row>
    <x:row r="373">
      <x:c r="A373" s="1" t="str">
        <x:v>U0372</x:v>
      </x:c>
      <x:c r="B373" s="1" t="str">
        <x:v>cmsbskr86000h04ji5a4thcht</x:v>
      </x:c>
      <x:c r="C373" s="1" t="str">
        <x:v>ca-2023-002537-storm-global-limited-v-jason-lutz-appellant-skeleton</x:v>
      </x:c>
      <x:c r="D373" s="1" t="str">
        <x:v>real</x:v>
      </x:c>
      <x:c r="E373" s="15" t="str">
        <x:v>Storm Global Limited v Jason Lutz</x:v>
      </x:c>
      <x:c r="F373" s="16" t="n">
        <x:v>46236.53056837963</x:v>
      </x:c>
      <x:c r="G373" s="15" t="str">
        <x:v>legislation</x:v>
      </x:c>
      <x:c r="H373" s="15" t="str">
        <x:v>legislation:senior courts act 1981 s 35a</x:v>
      </x:c>
      <x:c r="I373" s="15" t="str">
        <x:v>Senior Courts Act 1981, s.35A</x:v>
      </x:c>
      <x:c r="J373" s="15" t="str">
        <x:v>Senior Courts Act 1981, s.35A</x:v>
      </x:c>
      <x:c r="K373" s="15" t="str"/>
      <x:c r="L373" s="15" t="str"/>
      <x:c r="M373" s="15" t="n">
        <x:v>1</x:v>
      </x:c>
      <x:c r="N373" s="15" t="str">
        <x:v>decisionAndDisposition.interest.statutoryBasis</x:v>
      </x:c>
    </x:row>
    <x:row r="374">
      <x:c r="A374" s="1" t="str">
        <x:v>U0373</x:v>
      </x:c>
      <x:c r="B374" s="1" t="str">
        <x:v>cmsbsp3em001104ji2u62id7q</x:v>
      </x:c>
      <x:c r="C374" s="1" t="str">
        <x:v>ca-2024-000624 and ca-2024-000625-the-royal-embassy-of-saudi-arabia-appellant-skeleton</x:v>
      </x:c>
      <x:c r="D374" s="1" t="str">
        <x:v>real</x:v>
      </x:c>
      <x:c r="E374" s="15" t="str">
        <x:v>The Royal Embassy of Saudi Arabia (Cultural Bureau) v Abir Alhayali</x:v>
      </x:c>
      <x:c r="F374" s="16" t="n">
        <x:v>46236.53291107639</x:v>
      </x:c>
      <x:c r="G374" s="15" t="str">
        <x:v>case</x:v>
      </x:c>
      <x:c r="H374" s="15" t="str">
        <x:v>case:2002 ewca civ 605</x:v>
      </x:c>
      <x:c r="I374" s="15" t="str">
        <x:v>[2002] EWCA Civ 605</x:v>
      </x:c>
      <x:c r="J374" s="15" t="str">
        <x:v>[2002] EWCA Civ 605</x:v>
      </x:c>
      <x:c r="K374" s="15" t="str"/>
      <x:c r="L374" s="15" t="str"/>
      <x:c r="M374" s="15" t="n">
        <x:v>1</x:v>
      </x:c>
      <x:c r="N374" s="15" t="str">
        <x:v>legalFramework.precedentCitations[0]</x:v>
      </x:c>
    </x:row>
    <x:row r="375">
      <x:c r="A375" s="1" t="str">
        <x:v>U0374</x:v>
      </x:c>
      <x:c r="B375" s="1" t="str">
        <x:v>cmsbsp3em001104ji2u62id7q</x:v>
      </x:c>
      <x:c r="C375" s="1" t="str">
        <x:v>ca-2024-000624 and ca-2024-000625-the-royal-embassy-of-saudi-arabia-appellant-skeleton</x:v>
      </x:c>
      <x:c r="D375" s="1" t="str">
        <x:v>real</x:v>
      </x:c>
      <x:c r="E375" s="15" t="str">
        <x:v>The Royal Embassy of Saudi Arabia (Cultural Bureau) v Abir Alhayali</x:v>
      </x:c>
      <x:c r="F375" s="16" t="n">
        <x:v>46236.53291107639</x:v>
      </x:c>
      <x:c r="G375" s="15" t="str">
        <x:v>case</x:v>
      </x:c>
      <x:c r="H375" s="15" t="str">
        <x:v>case:2014 ewca civ 1394</x:v>
      </x:c>
      <x:c r="I375" s="15" t="str">
        <x:v>Belhaj &amp; Anor v Straw &amp; Ors</x:v>
      </x:c>
      <x:c r="J375" s="15" t="str">
        <x:v>[2014] EWCA Civ 1394</x:v>
      </x:c>
      <x:c r="K375" s="15" t="str">
        <x:v>47b7ca59-4dae-4e38-9b19-66a4d28a1d9e</x:v>
      </x:c>
      <x:c r="L375" s="15" t="str"/>
      <x:c r="M375" s="15" t="n">
        <x:v>3</x:v>
      </x:c>
      <x:c r="N375" s="15" t="str">
        <x:v>factualFindings.contestedFacts[2].sourceCases[0] | issuesForDetermination.issueMatrix[1].sourceCases[0] | reasoningStructure[1].sourceCases[0]</x:v>
      </x:c>
    </x:row>
    <x:row r="376">
      <x:c r="A376" s="1" t="str">
        <x:v>U0375</x:v>
      </x:c>
      <x:c r="B376" s="1" t="str">
        <x:v>cmsbsp3em001104ji2u62id7q</x:v>
      </x:c>
      <x:c r="C376" s="1" t="str">
        <x:v>ca-2024-000624 and ca-2024-000625-the-royal-embassy-of-saudi-arabia-appellant-skeleton</x:v>
      </x:c>
      <x:c r="D376" s="1" t="str">
        <x:v>real</x:v>
      </x:c>
      <x:c r="E376" s="15" t="str">
        <x:v>The Royal Embassy of Saudi Arabia (Cultural Bureau) v Abir Alhayali</x:v>
      </x:c>
      <x:c r="F376" s="16" t="n">
        <x:v>46236.53291107639</x:v>
      </x:c>
      <x:c r="G376" s="15" t="str">
        <x:v>case</x:v>
      </x:c>
      <x:c r="H376" s="15" t="str">
        <x:v>case:benkharbouche &amp; anor v embassy of the republic of sudan</x:v>
      </x:c>
      <x:c r="I376" s="15" t="str">
        <x:v>Benkharbouche &amp; Anor v Embassy of the Republic of Sudan</x:v>
      </x:c>
      <x:c r="J376" s="15" t="str">
        <x:v>N/A</x:v>
      </x:c>
      <x:c r="K376" s="15" t="str">
        <x:v>48a6c9aa-6aaf-46f0-a0a1-db486992f637</x:v>
      </x:c>
      <x:c r="L376" s="15" t="str"/>
      <x:c r="M376" s="15" t="n">
        <x:v>4</x:v>
      </x:c>
      <x:c r="N376" s="15" t="str">
        <x:v>factualFindings.contestedFacts[1].sourceCases[0] | issuesForDetermination.issueMatrix[0].sourceCases[0] | legalFramework.statutoryProvisions[0].sourceCases[0] | reasoningStructure[0].sourceCases[0]</x:v>
      </x:c>
    </x:row>
    <x:row r="377">
      <x:c r="A377" s="1" t="str">
        <x:v>U0376</x:v>
      </x:c>
      <x:c r="B377" s="1" t="str">
        <x:v>cmsbsp3em001104ji2u62id7q</x:v>
      </x:c>
      <x:c r="C377" s="1" t="str">
        <x:v>ca-2024-000624 and ca-2024-000625-the-royal-embassy-of-saudi-arabia-appellant-skeleton</x:v>
      </x:c>
      <x:c r="D377" s="1" t="str">
        <x:v>real</x:v>
      </x:c>
      <x:c r="E377" s="15" t="str">
        <x:v>The Royal Embassy of Saudi Arabia (Cultural Bureau) v Abir Alhayali</x:v>
      </x:c>
      <x:c r="F377" s="16" t="n">
        <x:v>46236.53291107639</x:v>
      </x:c>
      <x:c r="G377" s="15" t="str">
        <x:v>case</x:v>
      </x:c>
      <x:c r="H377" s="15" t="str">
        <x:v>case:sayn wittgenstein sayn v hm juan carlos alfonso victor mari a de borbo n y borbo n rev1</x:v>
      </x:c>
      <x:c r="I377" s="15" t="str">
        <x:v>Sayn-Wittgenstein-Sayn v HM Juan Carlos Alfonso Victor María de Borbón y Borbón (Rev1)</x:v>
      </x:c>
      <x:c r="J377" s="15" t="str">
        <x:v>N/A</x:v>
      </x:c>
      <x:c r="K377" s="15" t="str">
        <x:v>2e88bc46-6293-4125-beac-79bb041f2d4c</x:v>
      </x:c>
      <x:c r="L377" s="15" t="str"/>
      <x:c r="M377" s="15" t="n">
        <x:v>2</x:v>
      </x:c>
      <x:c r="N377" s="15" t="str">
        <x:v>issuesForDetermination.issueMatrix[2].sourceCases[0] | reasoningStructure[2].sourceCases[0]</x:v>
      </x:c>
    </x:row>
    <x:row r="378">
      <x:c r="A378" s="1" t="str">
        <x:v>U0377</x:v>
      </x:c>
      <x:c r="B378" s="1" t="str">
        <x:v>cmsbsp3em001104ji2u62id7q</x:v>
      </x:c>
      <x:c r="C378" s="1" t="str">
        <x:v>ca-2024-000624 and ca-2024-000625-the-royal-embassy-of-saudi-arabia-appellant-skeleton</x:v>
      </x:c>
      <x:c r="D378" s="1" t="str">
        <x:v>real</x:v>
      </x:c>
      <x:c r="E378" s="15" t="str">
        <x:v>The Royal Embassy of Saudi Arabia (Cultural Bureau) v Abir Alhayali</x:v>
      </x:c>
      <x:c r="F378" s="16" t="n">
        <x:v>46236.53291107639</x:v>
      </x:c>
      <x:c r="G378" s="15" t="str">
        <x:v>legislation</x:v>
      </x:c>
      <x:c r="H378" s="15" t="str">
        <x:v>legislation:equality act 2010</x:v>
      </x:c>
      <x:c r="I378" s="15" t="str">
        <x:v>Equality Act 2010</x:v>
      </x:c>
      <x:c r="J378" s="15" t="str">
        <x:v>Equality Act 2010</x:v>
      </x:c>
      <x:c r="K378" s="15" t="str"/>
      <x:c r="L378" s="15" t="str"/>
      <x:c r="M378" s="15" t="n">
        <x:v>1</x:v>
      </x:c>
      <x:c r="N378" s="15" t="str">
        <x:v>legalFramework.legalTestSummaries[2].sourceAuthority</x:v>
      </x:c>
    </x:row>
    <x:row r="379">
      <x:c r="A379" s="1" t="str">
        <x:v>U0378</x:v>
      </x:c>
      <x:c r="B379" s="1" t="str">
        <x:v>cmsbsp3em001104ji2u62id7q</x:v>
      </x:c>
      <x:c r="C379" s="1" t="str">
        <x:v>ca-2024-000624 and ca-2024-000625-the-royal-embassy-of-saudi-arabia-appellant-skeleton</x:v>
      </x:c>
      <x:c r="D379" s="1" t="str">
        <x:v>real</x:v>
      </x:c>
      <x:c r="E379" s="15" t="str">
        <x:v>The Royal Embassy of Saudi Arabia (Cultural Bureau) v Abir Alhayali</x:v>
      </x:c>
      <x:c r="F379" s="16" t="n">
        <x:v>46236.53291107639</x:v>
      </x:c>
      <x:c r="G379" s="15" t="str">
        <x:v>legislation</x:v>
      </x:c>
      <x:c r="H379" s="15" t="str">
        <x:v>legislation:equality act 2010 s 57</x:v>
      </x:c>
      <x:c r="I379" s="15" t="str">
        <x:v>Equality Act 2010</x:v>
      </x:c>
      <x:c r="J379" s="15" t="str">
        <x:v>Equality Act 2010 Section 57</x:v>
      </x:c>
      <x:c r="K379" s="15" t="str"/>
      <x:c r="L379" s="15" t="str">
        <x:v>Section 57</x:v>
      </x:c>
      <x:c r="M379" s="15" t="n">
        <x:v>1</x:v>
      </x:c>
      <x:c r="N379" s="15" t="str">
        <x:v>legalFramework.statutoryProvisions[1]</x:v>
      </x:c>
    </x:row>
    <x:row r="380">
      <x:c r="A380" s="1" t="str">
        <x:v>U0379</x:v>
      </x:c>
      <x:c r="B380" s="1" t="str">
        <x:v>cmsbsp3em001104ji2u62id7q</x:v>
      </x:c>
      <x:c r="C380" s="1" t="str">
        <x:v>ca-2024-000624 and ca-2024-000625-the-royal-embassy-of-saudi-arabia-appellant-skeleton</x:v>
      </x:c>
      <x:c r="D380" s="1" t="str">
        <x:v>real</x:v>
      </x:c>
      <x:c r="E380" s="15" t="str">
        <x:v>The Royal Embassy of Saudi Arabia (Cultural Bureau) v Abir Alhayali</x:v>
      </x:c>
      <x:c r="F380" s="16" t="n">
        <x:v>46236.53291107639</x:v>
      </x:c>
      <x:c r="G380" s="15" t="str">
        <x:v>legislation</x:v>
      </x:c>
      <x:c r="H380" s="15" t="str">
        <x:v>legislation:senior courts act 1981 s 35a</x:v>
      </x:c>
      <x:c r="I380" s="15" t="str">
        <x:v>Senior Courts Act 1981, s.35A</x:v>
      </x:c>
      <x:c r="J380" s="15" t="str">
        <x:v>Senior Courts Act 1981, s.35A</x:v>
      </x:c>
      <x:c r="K380" s="15" t="str"/>
      <x:c r="L380" s="15" t="str"/>
      <x:c r="M380" s="15" t="n">
        <x:v>1</x:v>
      </x:c>
      <x:c r="N380" s="15" t="str">
        <x:v>decisionAndDisposition.interest.statutoryBasis</x:v>
      </x:c>
    </x:row>
    <x:row r="381">
      <x:c r="A381" s="1" t="str">
        <x:v>U0380</x:v>
      </x:c>
      <x:c r="B381" s="1" t="str">
        <x:v>cmsbsp3em001104ji2u62id7q</x:v>
      </x:c>
      <x:c r="C381" s="1" t="str">
        <x:v>ca-2024-000624 and ca-2024-000625-the-royal-embassy-of-saudi-arabia-appellant-skeleton</x:v>
      </x:c>
      <x:c r="D381" s="1" t="str">
        <x:v>real</x:v>
      </x:c>
      <x:c r="E381" s="15" t="str">
        <x:v>The Royal Embassy of Saudi Arabia (Cultural Bureau) v Abir Alhayali</x:v>
      </x:c>
      <x:c r="F381" s="16" t="n">
        <x:v>46236.53291107639</x:v>
      </x:c>
      <x:c r="G381" s="15" t="str">
        <x:v>legislation</x:v>
      </x:c>
      <x:c r="H381" s="15" t="str">
        <x:v>legislation:state immunity act 1978</x:v>
      </x:c>
      <x:c r="I381" s="15" t="str">
        <x:v>State Immunity Act 1978</x:v>
      </x:c>
      <x:c r="J381" s="15" t="str">
        <x:v>State Immunity Act 1978</x:v>
      </x:c>
      <x:c r="K381" s="15" t="str"/>
      <x:c r="L381" s="15" t="str"/>
      <x:c r="M381" s="15" t="n">
        <x:v>2</x:v>
      </x:c>
      <x:c r="N381" s="15" t="str">
        <x:v>legalFramework.legalTestSummaries[0].sourceAuthority | legalFramework.legalTestSummaries[1].sourceAuthority</x:v>
      </x:c>
    </x:row>
    <x:row r="382">
      <x:c r="A382" s="1" t="str">
        <x:v>U0381</x:v>
      </x:c>
      <x:c r="B382" s="1" t="str">
        <x:v>cmsbsp3em001104ji2u62id7q</x:v>
      </x:c>
      <x:c r="C382" s="1" t="str">
        <x:v>ca-2024-000624 and ca-2024-000625-the-royal-embassy-of-saudi-arabia-appellant-skeleton</x:v>
      </x:c>
      <x:c r="D382" s="1" t="str">
        <x:v>real</x:v>
      </x:c>
      <x:c r="E382" s="15" t="str">
        <x:v>The Royal Embassy of Saudi Arabia (Cultural Bureau) v Abir Alhayali</x:v>
      </x:c>
      <x:c r="F382" s="16" t="n">
        <x:v>46236.53291107639</x:v>
      </x:c>
      <x:c r="G382" s="15" t="str">
        <x:v>legislation</x:v>
      </x:c>
      <x:c r="H382" s="15" t="str">
        <x:v>legislation:state immunity act 1978 sections 4 and 5</x:v>
      </x:c>
      <x:c r="I382" s="15" t="str">
        <x:v>State Immunity Act 1978</x:v>
      </x:c>
      <x:c r="J382" s="15" t="str">
        <x:v>State Immunity Act 1978 Sections 4 and 5</x:v>
      </x:c>
      <x:c r="K382" s="15" t="str"/>
      <x:c r="L382" s="15" t="str">
        <x:v>Sections 4 and 5</x:v>
      </x:c>
      <x:c r="M382" s="15" t="n">
        <x:v>1</x:v>
      </x:c>
      <x:c r="N382" s="15" t="str">
        <x:v>legalFramework.statutoryProvisions[0]</x:v>
      </x:c>
    </x:row>
    <x:row r="383">
      <x:c r="A383" s="1" t="str">
        <x:v>U0382</x:v>
      </x:c>
      <x:c r="B383" s="1" t="str">
        <x:v>cmsbsp3em001104ji2u62id7q</x:v>
      </x:c>
      <x:c r="C383" s="1" t="str">
        <x:v>ca-2024-000624 and ca-2024-000625-the-royal-embassy-of-saudi-arabia-appellant-skeleton</x:v>
      </x:c>
      <x:c r="D383" s="1" t="str">
        <x:v>real</x:v>
      </x:c>
      <x:c r="E383" s="15" t="str">
        <x:v>The Royal Embassy of Saudi Arabia (Cultural Bureau) v Abir Alhayali</x:v>
      </x:c>
      <x:c r="F383" s="16" t="n">
        <x:v>46236.53291107639</x:v>
      </x:c>
      <x:c r="G383" s="15" t="str">
        <x:v>other</x:v>
      </x:c>
      <x:c r="H383" s="15" t="str">
        <x:v>other:2000 1 wlr 377</x:v>
      </x:c>
      <x:c r="I383" s="15" t="str">
        <x:v>[2000] 1 WLR 377</x:v>
      </x:c>
      <x:c r="J383" s="15" t="str">
        <x:v>[2000] 1 WLR 377</x:v>
      </x:c>
      <x:c r="K383" s="15" t="str"/>
      <x:c r="L383" s="15" t="str"/>
      <x:c r="M383" s="15" t="n">
        <x:v>1</x:v>
      </x:c>
      <x:c r="N383" s="15" t="str">
        <x:v>legalFramework.precedentCitations[1]</x:v>
      </x:c>
    </x:row>
    <x:row r="384">
      <x:c r="A384" s="1" t="str">
        <x:v>U0383</x:v>
      </x:c>
      <x:c r="B384" s="1" t="str">
        <x:v>cmsbsqcqm001d04ji3ses9ih9</x:v>
      </x:c>
      <x:c r="C384" s="1" t="str">
        <x:v>ca-2024-000624 and ca-2024-000625-the-royal-embassy-of-saudi-arabia-appellant-skeleton</x:v>
      </x:c>
      <x:c r="D384" s="1" t="str">
        <x:v>real</x:v>
      </x:c>
      <x:c r="E384" s="15" t="str">
        <x:v>The Royal Embassy of Saudi Arabia (Cultural Bureau) v Abir Alhayali</x:v>
      </x:c>
      <x:c r="F384" s="16" t="n">
        <x:v>46236.53359107639</x:v>
      </x:c>
      <x:c r="G384" s="15" t="str">
        <x:v>case</x:v>
      </x:c>
      <x:c r="H384" s="15" t="str">
        <x:v>case:2016 ewca civ 1099</x:v>
      </x:c>
      <x:c r="I384" s="15" t="str">
        <x:v>Bestfort Developments LLP &amp; Ors v Ras Al Khaimah Investment Authority &amp; Ors</x:v>
      </x:c>
      <x:c r="J384" s="15" t="str">
        <x:v>[2016] EWCA Civ 1099</x:v>
      </x:c>
      <x:c r="K384" s="15" t="str">
        <x:v>95a09909-d350-4cc6-8e33-4153cfe28a7f</x:v>
      </x:c>
      <x:c r="L384" s="15" t="str"/>
      <x:c r="M384" s="15" t="n">
        <x:v>1</x:v>
      </x:c>
      <x:c r="N384" s="15" t="str">
        <x:v>factualFindings.chronology[2].sourceCases[0]</x:v>
      </x:c>
    </x:row>
    <x:row r="385">
      <x:c r="A385" s="1" t="str">
        <x:v>U0384</x:v>
      </x:c>
      <x:c r="B385" s="1" t="str">
        <x:v>cmsbsqcqm001d04ji3ses9ih9</x:v>
      </x:c>
      <x:c r="C385" s="1" t="str">
        <x:v>ca-2024-000624 and ca-2024-000625-the-royal-embassy-of-saudi-arabia-appellant-skeleton</x:v>
      </x:c>
      <x:c r="D385" s="1" t="str">
        <x:v>real</x:v>
      </x:c>
      <x:c r="E385" s="15" t="str">
        <x:v>The Royal Embassy of Saudi Arabia (Cultural Bureau) v Abir Alhayali</x:v>
      </x:c>
      <x:c r="F385" s="16" t="n">
        <x:v>46236.53359107639</x:v>
      </x:c>
      <x:c r="G385" s="15" t="str">
        <x:v>case</x:v>
      </x:c>
      <x:c r="H385" s="15" t="str">
        <x:v>case:benkharbouche v embassy of the republic of sudan</x:v>
      </x:c>
      <x:c r="I385" s="15" t="str">
        <x:v>Benkharbouche v Embassy of the Republic of Sudan</x:v>
      </x:c>
      <x:c r="J385" s="15" t="str">
        <x:v>Benkharbouche v Embassy of the Republic of Sudan</x:v>
      </x:c>
      <x:c r="K385" s="15" t="str"/>
      <x:c r="L385" s="15" t="str"/>
      <x:c r="M385" s="15" t="n">
        <x:v>1</x:v>
      </x:c>
      <x:c r="N385" s="15" t="str">
        <x:v>legalFramework.legalTestSummaries[0].sourceAuthority</x:v>
      </x:c>
    </x:row>
    <x:row r="386">
      <x:c r="A386" s="1" t="str">
        <x:v>U0385</x:v>
      </x:c>
      <x:c r="B386" s="1" t="str">
        <x:v>cmsbsqcqm001d04ji3ses9ih9</x:v>
      </x:c>
      <x:c r="C386" s="1" t="str">
        <x:v>ca-2024-000624 and ca-2024-000625-the-royal-embassy-of-saudi-arabia-appellant-skeleton</x:v>
      </x:c>
      <x:c r="D386" s="1" t="str">
        <x:v>real</x:v>
      </x:c>
      <x:c r="E386" s="15" t="str">
        <x:v>The Royal Embassy of Saudi Arabia (Cultural Bureau) v Abir Alhayali</x:v>
      </x:c>
      <x:c r="F386" s="16" t="n">
        <x:v>46236.53359107639</x:v>
      </x:c>
      <x:c r="G386" s="15" t="str">
        <x:v>case</x:v>
      </x:c>
      <x:c r="H386" s="15" t="str">
        <x:v>case:benkharbouche v embassy of the republic of sudan 2017 icr 1327</x:v>
      </x:c>
      <x:c r="I386" s="15" t="str">
        <x:v>Benkharbouche v Embassy of the Republic of Sudan [2017] ICR 1327</x:v>
      </x:c>
      <x:c r="J386" s="15" t="str">
        <x:v>Benkharbouche v Embassy of the Republic of Sudan [2017] ICR 1327</x:v>
      </x:c>
      <x:c r="K386" s="15" t="str"/>
      <x:c r="L386" s="15" t="str"/>
      <x:c r="M386" s="15" t="n">
        <x:v>1</x:v>
      </x:c>
      <x:c r="N386" s="15" t="str">
        <x:v>legalFramework.precedentCitations[0]</x:v>
      </x:c>
    </x:row>
    <x:row r="387">
      <x:c r="A387" s="1" t="str">
        <x:v>U0386</x:v>
      </x:c>
      <x:c r="B387" s="1" t="str">
        <x:v>cmsbsqcqm001d04ji3ses9ih9</x:v>
      </x:c>
      <x:c r="C387" s="1" t="str">
        <x:v>ca-2024-000624 and ca-2024-000625-the-royal-embassy-of-saudi-arabia-appellant-skeleton</x:v>
      </x:c>
      <x:c r="D387" s="1" t="str">
        <x:v>real</x:v>
      </x:c>
      <x:c r="E387" s="15" t="str">
        <x:v>The Royal Embassy of Saudi Arabia (Cultural Bureau) v Abir Alhayali</x:v>
      </x:c>
      <x:c r="F387" s="16" t="n">
        <x:v>46236.53359107639</x:v>
      </x:c>
      <x:c r="G387" s="15" t="str">
        <x:v>case</x:v>
      </x:c>
      <x:c r="H387" s="15" t="str">
        <x:v>case:hrh prince abdul aziz bin fahd bin abdul aziz v harb</x:v>
      </x:c>
      <x:c r="I387" s="15" t="str">
        <x:v>HRH Prince Abdul Aziz Bin Fahd Bin Abdul Aziz v Harb</x:v>
      </x:c>
      <x:c r="J387" s="15" t="str">
        <x:v>N/A</x:v>
      </x:c>
      <x:c r="K387" s="15" t="str">
        <x:v>d2d218fb-5cb2-4d42-9835-3e293c334cd3</x:v>
      </x:c>
      <x:c r="L387" s="15" t="str"/>
      <x:c r="M387" s="15" t="n">
        <x:v>3</x:v>
      </x:c>
      <x:c r="N387" s="15" t="str">
        <x:v>factualFindings.contestedFacts[0].sourceCases[0] | issuesForDetermination.issueMatrix[0].sourceCases[0] | reasoningStructure[0].sourceCases[0]</x:v>
      </x:c>
    </x:row>
    <x:row r="388">
      <x:c r="A388" s="1" t="str">
        <x:v>U0387</x:v>
      </x:c>
      <x:c r="B388" s="1" t="str">
        <x:v>cmsbsqcqm001d04ji3ses9ih9</x:v>
      </x:c>
      <x:c r="C388" s="1" t="str">
        <x:v>ca-2024-000624 and ca-2024-000625-the-royal-embassy-of-saudi-arabia-appellant-skeleton</x:v>
      </x:c>
      <x:c r="D388" s="1" t="str">
        <x:v>real</x:v>
      </x:c>
      <x:c r="E388" s="15" t="str">
        <x:v>The Royal Embassy of Saudi Arabia (Cultural Bureau) v Abir Alhayali</x:v>
      </x:c>
      <x:c r="F388" s="16" t="n">
        <x:v>46236.53359107639</x:v>
      </x:c>
      <x:c r="G388" s="15" t="str">
        <x:v>case</x:v>
      </x:c>
      <x:c r="H388" s="15" t="str">
        <x:v>case:the united states of america v nolan</x:v>
      </x:c>
      <x:c r="I388" s="15" t="str">
        <x:v>The United States of America v Nolan</x:v>
      </x:c>
      <x:c r="J388" s="15" t="str">
        <x:v>The United States of America v Nolan</x:v>
      </x:c>
      <x:c r="K388" s="15" t="str">
        <x:v>ee5ed42e-d552-49f7-ae34-ee6ddf99593b</x:v>
      </x:c>
      <x:c r="L388" s="15" t="str"/>
      <x:c r="M388" s="15" t="n">
        <x:v>4</x:v>
      </x:c>
      <x:c r="N388" s="15" t="str">
        <x:v>factualFindings.contestedFacts[1].sourceCases[0] | issuesForDetermination.issueMatrix[1].sourceCases[0] | legalFramework.legalTestSummaries[1].sourceAuthority | reasoningStructure[1].sourceCases[0]</x:v>
      </x:c>
    </x:row>
    <x:row r="389">
      <x:c r="A389" s="1" t="str">
        <x:v>U0388</x:v>
      </x:c>
      <x:c r="B389" s="1" t="str">
        <x:v>cmsbsqcqm001d04ji3ses9ih9</x:v>
      </x:c>
      <x:c r="C389" s="1" t="str">
        <x:v>ca-2024-000624 and ca-2024-000625-the-royal-embassy-of-saudi-arabia-appellant-skeleton</x:v>
      </x:c>
      <x:c r="D389" s="1" t="str">
        <x:v>real</x:v>
      </x:c>
      <x:c r="E389" s="15" t="str">
        <x:v>The Royal Embassy of Saudi Arabia (Cultural Bureau) v Abir Alhayali</x:v>
      </x:c>
      <x:c r="F389" s="16" t="n">
        <x:v>46236.53359107639</x:v>
      </x:c>
      <x:c r="G389" s="15" t="str">
        <x:v>legislation</x:v>
      </x:c>
      <x:c r="H389" s="15" t="str">
        <x:v>legislation:pursuant to the senior courts act 1981 s 35a</x:v>
      </x:c>
      <x:c r="I389" s="15" t="str">
        <x:v>pursuant to the Senior Courts Act 1981, s.35A.</x:v>
      </x:c>
      <x:c r="J389" s="15" t="str">
        <x:v>pursuant to the Senior Courts Act 1981, s.35A.</x:v>
      </x:c>
      <x:c r="K389" s="15" t="str"/>
      <x:c r="L389" s="15" t="str"/>
      <x:c r="M389" s="15" t="n">
        <x:v>1</x:v>
      </x:c>
      <x:c r="N389" s="15" t="str">
        <x:v>decisionAndDisposition.interest.statutoryBasis</x:v>
      </x:c>
    </x:row>
    <x:row r="390">
      <x:c r="A390" s="1" t="str">
        <x:v>U0389</x:v>
      </x:c>
      <x:c r="B390" s="1" t="str">
        <x:v>cmsbsqcqm001d04ji3ses9ih9</x:v>
      </x:c>
      <x:c r="C390" s="1" t="str">
        <x:v>ca-2024-000624 and ca-2024-000625-the-royal-embassy-of-saudi-arabia-appellant-skeleton</x:v>
      </x:c>
      <x:c r="D390" s="1" t="str">
        <x:v>real</x:v>
      </x:c>
      <x:c r="E390" s="15" t="str">
        <x:v>The Royal Embassy of Saudi Arabia (Cultural Bureau) v Abir Alhayali</x:v>
      </x:c>
      <x:c r="F390" s="16" t="n">
        <x:v>46236.53359107639</x:v>
      </x:c>
      <x:c r="G390" s="15" t="str">
        <x:v>legislation</x:v>
      </x:c>
      <x:c r="H390" s="15" t="str">
        <x:v>legislation:senior courts act 1981 s 35a</x:v>
      </x:c>
      <x:c r="I390" s="15" t="str">
        <x:v>Senior Courts Act 1981</x:v>
      </x:c>
      <x:c r="J390" s="15" t="str">
        <x:v>Senior Courts Act 1981 s.35A</x:v>
      </x:c>
      <x:c r="K390" s="15" t="str"/>
      <x:c r="L390" s="15" t="str">
        <x:v>s.35A</x:v>
      </x:c>
      <x:c r="M390" s="15" t="n">
        <x:v>1</x:v>
      </x:c>
      <x:c r="N390" s="15" t="str">
        <x:v>legalFramework.statutoryProvisions[1]</x:v>
      </x:c>
    </x:row>
    <x:row r="391">
      <x:c r="A391" s="1" t="str">
        <x:v>U0390</x:v>
      </x:c>
      <x:c r="B391" s="1" t="str">
        <x:v>cmsbsqcqm001d04ji3ses9ih9</x:v>
      </x:c>
      <x:c r="C391" s="1" t="str">
        <x:v>ca-2024-000624 and ca-2024-000625-the-royal-embassy-of-saudi-arabia-appellant-skeleton</x:v>
      </x:c>
      <x:c r="D391" s="1" t="str">
        <x:v>real</x:v>
      </x:c>
      <x:c r="E391" s="15" t="str">
        <x:v>The Royal Embassy of Saudi Arabia (Cultural Bureau) v Abir Alhayali</x:v>
      </x:c>
      <x:c r="F391" s="16" t="n">
        <x:v>46236.53359107639</x:v>
      </x:c>
      <x:c r="G391" s="15" t="str">
        <x:v>legislation</x:v>
      </x:c>
      <x:c r="H391" s="15" t="str">
        <x:v>legislation:state immunity act 1978 ss 4 5</x:v>
      </x:c>
      <x:c r="I391" s="15" t="str">
        <x:v>State Immunity Act 1978</x:v>
      </x:c>
      <x:c r="J391" s="15" t="str">
        <x:v>State Immunity Act 1978 ss. 4-5</x:v>
      </x:c>
      <x:c r="K391" s="15" t="str"/>
      <x:c r="L391" s="15" t="str">
        <x:v>ss. 4-5</x:v>
      </x:c>
      <x:c r="M391" s="15" t="n">
        <x:v>1</x:v>
      </x:c>
      <x:c r="N391" s="15" t="str">
        <x:v>legalFramework.statutoryProvisions[0]</x:v>
      </x:c>
    </x:row>
    <x:row r="392">
      <x:c r="A392" s="1" t="str">
        <x:v>U0391</x:v>
      </x:c>
      <x:c r="B392" s="1" t="str">
        <x:v>cmsbsvvmu001x04jittsrlhz0</x:v>
      </x:c>
      <x:c r="C392" s="1" t="str">
        <x:v>ca-2024-0023525 &amp; ca-2024-002295-modernatx-inc-v-pfizer-limited-others-respondent-skeleton</x:v>
      </x:c>
      <x:c r="D392" s="1" t="str">
        <x:v>real</x:v>
      </x:c>
      <x:c r="E392" s="15" t="str">
        <x:v>Modernatx, Inc. v Pfizer Limited &amp; Others</x:v>
      </x:c>
      <x:c r="F392" s="16" t="n">
        <x:v>46236.536574502315</x:v>
      </x:c>
      <x:c r="G392" s="15" t="str">
        <x:v>case</x:v>
      </x:c>
      <x:c r="H392" s="15" t="str">
        <x:v>case:2002 ewca civ 605</x:v>
      </x:c>
      <x:c r="I392" s="15" t="str">
        <x:v>[2002] EWCA Civ 605</x:v>
      </x:c>
      <x:c r="J392" s="15" t="str">
        <x:v>[2002] EWCA Civ 605</x:v>
      </x:c>
      <x:c r="K392" s="15" t="str"/>
      <x:c r="L392" s="15" t="str"/>
      <x:c r="M392" s="15" t="n">
        <x:v>1</x:v>
      </x:c>
      <x:c r="N392" s="15" t="str">
        <x:v>legalFramework.precedentCitations[0]</x:v>
      </x:c>
    </x:row>
    <x:row r="393">
      <x:c r="A393" s="1" t="str">
        <x:v>U0392</x:v>
      </x:c>
      <x:c r="B393" s="1" t="str">
        <x:v>cmsbsvvmu001x04jittsrlhz0</x:v>
      </x:c>
      <x:c r="C393" s="1" t="str">
        <x:v>ca-2024-0023525 &amp; ca-2024-002295-modernatx-inc-v-pfizer-limited-others-respondent-skeleton</x:v>
      </x:c>
      <x:c r="D393" s="1" t="str">
        <x:v>real</x:v>
      </x:c>
      <x:c r="E393" s="15" t="str">
        <x:v>Modernatx, Inc. v Pfizer Limited &amp; Others</x:v>
      </x:c>
      <x:c r="F393" s="16" t="n">
        <x:v>46236.536574502315</x:v>
      </x:c>
      <x:c r="G393" s="15" t="str">
        <x:v>case</x:v>
      </x:c>
      <x:c r="H393" s="15" t="str">
        <x:v>case:2016 ewca civ 1089</x:v>
      </x:c>
      <x:c r="I393" s="15" t="str">
        <x:v>Idenix Pharmaceuticals Inc v Gilead Sciences Inc &amp; Ors</x:v>
      </x:c>
      <x:c r="J393" s="15" t="str">
        <x:v>[2016] EWCA Civ 1089</x:v>
      </x:c>
      <x:c r="K393" s="15" t="str">
        <x:v>1c816bf0-70b4-46bd-9a31-9d036faff956</x:v>
      </x:c>
      <x:c r="L393" s="15" t="str"/>
      <x:c r="M393" s="15" t="n">
        <x:v>3</x:v>
      </x:c>
      <x:c r="N393" s="15" t="str">
        <x:v>factualFindings.contestedFacts[1].sourceCases[0] | issuesForDetermination.issueMatrix[1].sourceCases[0] | reasoningStructure[1].sourceCases[0]</x:v>
      </x:c>
    </x:row>
    <x:row r="394">
      <x:c r="A394" s="1" t="str">
        <x:v>U0393</x:v>
      </x:c>
      <x:c r="B394" s="1" t="str">
        <x:v>cmsbsvvmu001x04jittsrlhz0</x:v>
      </x:c>
      <x:c r="C394" s="1" t="str">
        <x:v>ca-2024-0023525 &amp; ca-2024-002295-modernatx-inc-v-pfizer-limited-others-respondent-skeleton</x:v>
      </x:c>
      <x:c r="D394" s="1" t="str">
        <x:v>real</x:v>
      </x:c>
      <x:c r="E394" s="15" t="str">
        <x:v>Modernatx, Inc. v Pfizer Limited &amp; Others</x:v>
      </x:c>
      <x:c r="F394" s="16" t="n">
        <x:v>46236.536574502315</x:v>
      </x:c>
      <x:c r="G394" s="15" t="str">
        <x:v>case</x:v>
      </x:c>
      <x:c r="H394" s="15" t="str">
        <x:v>case:2016 ewca civ 1185</x:v>
      </x:c>
      <x:c r="I394" s="15" t="str">
        <x:v>Hospira UK Limited v Genentech, Inc.</x:v>
      </x:c>
      <x:c r="J394" s="15" t="str">
        <x:v>[2016] EWCA Civ 1185</x:v>
      </x:c>
      <x:c r="K394" s="15" t="str">
        <x:v>71033cf6-55d5-450b-8f5c-b4e0192b644a</x:v>
      </x:c>
      <x:c r="L394" s="15" t="str"/>
      <x:c r="M394" s="15" t="n">
        <x:v>1</x:v>
      </x:c>
      <x:c r="N394" s="15" t="str">
        <x:v>factualFindings.chronology[1].sourceCases[0]</x:v>
      </x:c>
    </x:row>
    <x:row r="395">
      <x:c r="A395" s="1" t="str">
        <x:v>U0394</x:v>
      </x:c>
      <x:c r="B395" s="1" t="str">
        <x:v>cmsbsvvmu001x04jittsrlhz0</x:v>
      </x:c>
      <x:c r="C395" s="1" t="str">
        <x:v>ca-2024-0023525 &amp; ca-2024-002295-modernatx-inc-v-pfizer-limited-others-respondent-skeleton</x:v>
      </x:c>
      <x:c r="D395" s="1" t="str">
        <x:v>real</x:v>
      </x:c>
      <x:c r="E395" s="15" t="str">
        <x:v>Modernatx, Inc. v Pfizer Limited &amp; Others</x:v>
      </x:c>
      <x:c r="F395" s="16" t="n">
        <x:v>46236.536574502315</x:v>
      </x:c>
      <x:c r="G395" s="15" t="str">
        <x:v>case</x:v>
      </x:c>
      <x:c r="H395" s="15" t="str">
        <x:v>case:2022 ewca civ 1638</x:v>
      </x:c>
      <x:c r="I395" s="15" t="str">
        <x:v>Philip Morris Products, S.A. v Nicoventures Trading Limited &amp; Anor (Re Invalidity of Patents)</x:v>
      </x:c>
      <x:c r="J395" s="15" t="str">
        <x:v>[2022] EWCA Civ 1638</x:v>
      </x:c>
      <x:c r="K395" s="15" t="str">
        <x:v>9c4e33c9-91d3-464b-b025-a46e5f3673af</x:v>
      </x:c>
      <x:c r="L395" s="15" t="str"/>
      <x:c r="M395" s="15" t="n">
        <x:v>3</x:v>
      </x:c>
      <x:c r="N395" s="15" t="str">
        <x:v>factualFindings.contestedFacts[0].sourceCases[0] | issuesForDetermination.issueMatrix[0].sourceCases[0] | reasoningStructure[0].sourceCases[0]</x:v>
      </x:c>
    </x:row>
    <x:row r="396">
      <x:c r="A396" s="1" t="str">
        <x:v>U0395</x:v>
      </x:c>
      <x:c r="B396" s="1" t="str">
        <x:v>cmsbsvvmu001x04jittsrlhz0</x:v>
      </x:c>
      <x:c r="C396" s="1" t="str">
        <x:v>ca-2024-0023525 &amp; ca-2024-002295-modernatx-inc-v-pfizer-limited-others-respondent-skeleton</x:v>
      </x:c>
      <x:c r="D396" s="1" t="str">
        <x:v>real</x:v>
      </x:c>
      <x:c r="E396" s="15" t="str">
        <x:v>Modernatx, Inc. v Pfizer Limited &amp; Others</x:v>
      </x:c>
      <x:c r="F396" s="16" t="n">
        <x:v>46236.536574502315</x:v>
      </x:c>
      <x:c r="G396" s="15" t="str">
        <x:v>legislation</x:v>
      </x:c>
      <x:c r="H396" s="15" t="str">
        <x:v>legislation:senior courts act 1981 s 35a</x:v>
      </x:c>
      <x:c r="I396" s="15" t="str">
        <x:v>Senior Courts Act 1981</x:v>
      </x:c>
      <x:c r="J396" s="15" t="str">
        <x:v>Senior Courts Act 1981 s.35A</x:v>
      </x:c>
      <x:c r="K396" s="15" t="str"/>
      <x:c r="L396" s="15" t="str">
        <x:v>s.35A</x:v>
      </x:c>
      <x:c r="M396" s="15" t="n">
        <x:v>2</x:v>
      </x:c>
      <x:c r="N396" s="15" t="str">
        <x:v>decisionAndDisposition.interest.statutoryBasis | legalFramework.statutoryProvisions[0]</x:v>
      </x:c>
    </x:row>
    <x:row r="397">
      <x:c r="A397" s="1" t="str">
        <x:v>U0396</x:v>
      </x:c>
      <x:c r="B397" s="1" t="str">
        <x:v>cmsbszs77002304ji6ldkbjce</x:v>
      </x:c>
      <x:c r="C397" s="1" t="str">
        <x:v>ca-2024-0023525 &amp; ca-2024-002295-modernatx-inc-v-pfizer-limited-others-respondent-skeleton</x:v>
      </x:c>
      <x:c r="D397" s="1" t="str">
        <x:v>real</x:v>
      </x:c>
      <x:c r="E397" s="15" t="str">
        <x:v>Modernatx, Inc. v Pfizer Limited &amp; Others</x:v>
      </x:c>
      <x:c r="F397" s="16" t="n">
        <x:v>46236.53868298611</x:v>
      </x:c>
      <x:c r="G397" s="15" t="str">
        <x:v>case</x:v>
      </x:c>
      <x:c r="H397" s="15" t="str">
        <x:v>case:2000 1 wlr 377</x:v>
      </x:c>
      <x:c r="I397" s="15" t="str">
        <x:v>Flannery v Halifax Estate Agencies Ltd [2000] 1 WLR 377</x:v>
      </x:c>
      <x:c r="J397" s="15" t="str">
        <x:v>Flannery v Halifax Estate Agencies Ltd [2000] 1 WLR 377</x:v>
      </x:c>
      <x:c r="K397" s="15" t="str"/>
      <x:c r="L397" s="15" t="str"/>
      <x:c r="M397" s="15" t="n">
        <x:v>1</x:v>
      </x:c>
      <x:c r="N397" s="15" t="str">
        <x:v>legalFramework.precedentCitations[1]</x:v>
      </x:c>
    </x:row>
    <x:row r="398">
      <x:c r="A398" s="1" t="str">
        <x:v>U0397</x:v>
      </x:c>
      <x:c r="B398" s="1" t="str">
        <x:v>cmsbszs77002304ji6ldkbjce</x:v>
      </x:c>
      <x:c r="C398" s="1" t="str">
        <x:v>ca-2024-0023525 &amp; ca-2024-002295-modernatx-inc-v-pfizer-limited-others-respondent-skeleton</x:v>
      </x:c>
      <x:c r="D398" s="1" t="str">
        <x:v>real</x:v>
      </x:c>
      <x:c r="E398" s="15" t="str">
        <x:v>Modernatx, Inc. v Pfizer Limited &amp; Others</x:v>
      </x:c>
      <x:c r="F398" s="16" t="n">
        <x:v>46236.53868298611</x:v>
      </x:c>
      <x:c r="G398" s="15" t="str">
        <x:v>case</x:v>
      </x:c>
      <x:c r="H398" s="15" t="str">
        <x:v>case:2002 ewca civ 605</x:v>
      </x:c>
      <x:c r="I398" s="15" t="str">
        <x:v>English v Emery Reimbold &amp; Strick Ltd [2002] EWCA Civ 605</x:v>
      </x:c>
      <x:c r="J398" s="15" t="str">
        <x:v>English v Emery Reimbold &amp; Strick Ltd [2002] EWCA Civ 605</x:v>
      </x:c>
      <x:c r="K398" s="15" t="str"/>
      <x:c r="L398" s="15" t="str"/>
      <x:c r="M398" s="15" t="n">
        <x:v>1</x:v>
      </x:c>
      <x:c r="N398" s="15" t="str">
        <x:v>legalFramework.precedentCitations[0]</x:v>
      </x:c>
    </x:row>
    <x:row r="399">
      <x:c r="A399" s="1" t="str">
        <x:v>U0398</x:v>
      </x:c>
      <x:c r="B399" s="1" t="str">
        <x:v>cmsbszs77002304ji6ldkbjce</x:v>
      </x:c>
      <x:c r="C399" s="1" t="str">
        <x:v>ca-2024-0023525 &amp; ca-2024-002295-modernatx-inc-v-pfizer-limited-others-respondent-skeleton</x:v>
      </x:c>
      <x:c r="D399" s="1" t="str">
        <x:v>real</x:v>
      </x:c>
      <x:c r="E399" s="15" t="str">
        <x:v>Modernatx, Inc. v Pfizer Limited &amp; Others</x:v>
      </x:c>
      <x:c r="F399" s="16" t="n">
        <x:v>46236.53868298611</x:v>
      </x:c>
      <x:c r="G399" s="15" t="str">
        <x:v>case</x:v>
      </x:c>
      <x:c r="H399" s="15" t="str">
        <x:v>case:synthon bv v teva pharmaceutical industries ltd</x:v>
      </x:c>
      <x:c r="I399" s="15" t="str">
        <x:v>Synthon BV v Teva Pharmaceutical Industries Ltd</x:v>
      </x:c>
      <x:c r="J399" s="15" t="str">
        <x:v>N/A</x:v>
      </x:c>
      <x:c r="K399" s="15" t="str">
        <x:v>a1a08eab-f66f-48ea-a2b4-e885be7c07df</x:v>
      </x:c>
      <x:c r="L399" s="15" t="str"/>
      <x:c r="M399" s="15" t="n">
        <x:v>3</x:v>
      </x:c>
      <x:c r="N399" s="15" t="str">
        <x:v>factualFindings.contestedFacts[0].sourceCases[0] | issuesForDetermination.issueMatrix[0].sourceCases[0] | reasoningStructure[0].sourceCases[0]</x:v>
      </x:c>
    </x:row>
    <x:row r="400">
      <x:c r="A400" s="1" t="str">
        <x:v>U0399</x:v>
      </x:c>
      <x:c r="B400" s="1" t="str">
        <x:v>cmsbszs77002304ji6ldkbjce</x:v>
      </x:c>
      <x:c r="C400" s="1" t="str">
        <x:v>ca-2024-0023525 &amp; ca-2024-002295-modernatx-inc-v-pfizer-limited-others-respondent-skeleton</x:v>
      </x:c>
      <x:c r="D400" s="1" t="str">
        <x:v>real</x:v>
      </x:c>
      <x:c r="E400" s="15" t="str">
        <x:v>Modernatx, Inc. v Pfizer Limited &amp; Others</x:v>
      </x:c>
      <x:c r="F400" s="16" t="n">
        <x:v>46236.53868298611</x:v>
      </x:c>
      <x:c r="G400" s="15" t="str">
        <x:v>legislation</x:v>
      </x:c>
      <x:c r="H400" s="15" t="str">
        <x:v>legislation:n a n a</x:v>
      </x:c>
      <x:c r="I400" s="15" t="str">
        <x:v>N/A</x:v>
      </x:c>
      <x:c r="J400" s="15" t="str">
        <x:v>N/A N/A</x:v>
      </x:c>
      <x:c r="K400" s="15" t="str"/>
      <x:c r="L400" s="15" t="str">
        <x:v>N/A</x:v>
      </x:c>
      <x:c r="M400" s="15" t="n">
        <x:v>1</x:v>
      </x:c>
      <x:c r="N400" s="15" t="str">
        <x:v>legalFramework.statutoryProvisions[1]</x:v>
      </x:c>
    </x:row>
    <x:row r="401">
      <x:c r="A401" s="1" t="str">
        <x:v>U0400</x:v>
      </x:c>
      <x:c r="B401" s="1" t="str">
        <x:v>cmsbszs77002304ji6ldkbjce</x:v>
      </x:c>
      <x:c r="C401" s="1" t="str">
        <x:v>ca-2024-0023525 &amp; ca-2024-002295-modernatx-inc-v-pfizer-limited-others-respondent-skeleton</x:v>
      </x:c>
      <x:c r="D401" s="1" t="str">
        <x:v>real</x:v>
      </x:c>
      <x:c r="E401" s="15" t="str">
        <x:v>Modernatx, Inc. v Pfizer Limited &amp; Others</x:v>
      </x:c>
      <x:c r="F401" s="16" t="n">
        <x:v>46236.53868298611</x:v>
      </x:c>
      <x:c r="G401" s="15" t="str">
        <x:v>legislation</x:v>
      </x:c>
      <x:c r="H401" s="15" t="str">
        <x:v>legislation:senior courts act 1981 s 35a</x:v>
      </x:c>
      <x:c r="I401" s="15" t="str">
        <x:v>Senior Courts Act 1981</x:v>
      </x:c>
      <x:c r="J401" s="15" t="str">
        <x:v>Senior Courts Act 1981 s.35A</x:v>
      </x:c>
      <x:c r="K401" s="15" t="str"/>
      <x:c r="L401" s="15" t="str">
        <x:v>s.35A</x:v>
      </x:c>
      <x:c r="M401" s="15" t="n">
        <x:v>2</x:v>
      </x:c>
      <x:c r="N401" s="15" t="str">
        <x:v>decisionAndDisposition.interest.statutoryBasis | legalFramework.statutoryProvisions[0]</x:v>
      </x:c>
    </x:row>
    <x:row r="402">
      <x:c r="A402" s="1" t="str">
        <x:v>U0401</x:v>
      </x:c>
      <x:c r="B402" s="1" t="str">
        <x:v>cmsbt3hfa002904ji8k6b026n</x:v>
      </x:c>
      <x:c r="C402" s="1" t="str">
        <x:v>ca-2024-0023525 &amp; ca-2024-002295-modernatx-inc-v-pfizer-limited-others-respondent-skeleton</x:v>
      </x:c>
      <x:c r="D402" s="1" t="str">
        <x:v>real</x:v>
      </x:c>
      <x:c r="E402" s="15" t="str">
        <x:v>Modernatx, Inc. v Pfizer Limited &amp; Others</x:v>
      </x:c>
      <x:c r="F402" s="16" t="n">
        <x:v>46236.54068135416</x:v>
      </x:c>
      <x:c r="G402" s="15" t="str">
        <x:v>case</x:v>
      </x:c>
      <x:c r="H402" s="15" t="str">
        <x:v>case:2000 1 wlr 377</x:v>
      </x:c>
      <x:c r="I402" s="15" t="str">
        <x:v>Flannery v Halifax Estate Agencies Ltd [2000] 1 WLR 377</x:v>
      </x:c>
      <x:c r="J402" s="15" t="str">
        <x:v>Flannery v Halifax Estate Agencies Ltd [2000] 1 WLR 377</x:v>
      </x:c>
      <x:c r="K402" s="15" t="str"/>
      <x:c r="L402" s="15" t="str"/>
      <x:c r="M402" s="15" t="n">
        <x:v>1</x:v>
      </x:c>
      <x:c r="N402" s="15" t="str">
        <x:v>legalFramework.precedentCitations[1]</x:v>
      </x:c>
    </x:row>
    <x:row r="403">
      <x:c r="A403" s="1" t="str">
        <x:v>U0402</x:v>
      </x:c>
      <x:c r="B403" s="1" t="str">
        <x:v>cmsbt3hfa002904ji8k6b026n</x:v>
      </x:c>
      <x:c r="C403" s="1" t="str">
        <x:v>ca-2024-0023525 &amp; ca-2024-002295-modernatx-inc-v-pfizer-limited-others-respondent-skeleton</x:v>
      </x:c>
      <x:c r="D403" s="1" t="str">
        <x:v>real</x:v>
      </x:c>
      <x:c r="E403" s="15" t="str">
        <x:v>Modernatx, Inc. v Pfizer Limited &amp; Others</x:v>
      </x:c>
      <x:c r="F403" s="16" t="n">
        <x:v>46236.54068135416</x:v>
      </x:c>
      <x:c r="G403" s="15" t="str">
        <x:v>case</x:v>
      </x:c>
      <x:c r="H403" s="15" t="str">
        <x:v>case:2002 ewca civ 605</x:v>
      </x:c>
      <x:c r="I403" s="15" t="str">
        <x:v>English v Emery Reimbold &amp; Strick Ltd [2002] EWCA Civ 605</x:v>
      </x:c>
      <x:c r="J403" s="15" t="str">
        <x:v>English v Emery Reimbold &amp; Strick Ltd [2002] EWCA Civ 605</x:v>
      </x:c>
      <x:c r="K403" s="15" t="str"/>
      <x:c r="L403" s="15" t="str"/>
      <x:c r="M403" s="15" t="n">
        <x:v>1</x:v>
      </x:c>
      <x:c r="N403" s="15" t="str">
        <x:v>legalFramework.precedentCitations[0]</x:v>
      </x:c>
    </x:row>
    <x:row r="404">
      <x:c r="A404" s="1" t="str">
        <x:v>U0403</x:v>
      </x:c>
      <x:c r="B404" s="1" t="str">
        <x:v>cmsbt3hfa002904ji8k6b026n</x:v>
      </x:c>
      <x:c r="C404" s="1" t="str">
        <x:v>ca-2024-0023525 &amp; ca-2024-002295-modernatx-inc-v-pfizer-limited-others-respondent-skeleton</x:v>
      </x:c>
      <x:c r="D404" s="1" t="str">
        <x:v>real</x:v>
      </x:c>
      <x:c r="E404" s="15" t="str">
        <x:v>Modernatx, Inc. v Pfizer Limited &amp; Others</x:v>
      </x:c>
      <x:c r="F404" s="16" t="n">
        <x:v>46236.54068135416</x:v>
      </x:c>
      <x:c r="G404" s="15" t="str">
        <x:v>case</x:v>
      </x:c>
      <x:c r="H404" s="15" t="str">
        <x:v>case:synthon bv v teva pharmaceutical industries ltd</x:v>
      </x:c>
      <x:c r="I404" s="15" t="str">
        <x:v>Synthon BV v Teva Pharmaceutical Industries Ltd</x:v>
      </x:c>
      <x:c r="J404" s="15" t="str">
        <x:v>N/A</x:v>
      </x:c>
      <x:c r="K404" s="15" t="str">
        <x:v>a1a08eab-f66f-48ea-a2b4-e885be7c07df</x:v>
      </x:c>
      <x:c r="L404" s="15" t="str"/>
      <x:c r="M404" s="15" t="n">
        <x:v>3</x:v>
      </x:c>
      <x:c r="N404" s="15" t="str">
        <x:v>factualFindings.contestedFacts[0].sourceCases[0] | issuesForDetermination.issueMatrix[0].sourceCases[0] | reasoningStructure[0].sourceCases[0]</x:v>
      </x:c>
    </x:row>
    <x:row r="405">
      <x:c r="A405" s="1" t="str">
        <x:v>U0404</x:v>
      </x:c>
      <x:c r="B405" s="1" t="str">
        <x:v>cmsbt3hfa002904ji8k6b026n</x:v>
      </x:c>
      <x:c r="C405" s="1" t="str">
        <x:v>ca-2024-0023525 &amp; ca-2024-002295-modernatx-inc-v-pfizer-limited-others-respondent-skeleton</x:v>
      </x:c>
      <x:c r="D405" s="1" t="str">
        <x:v>real</x:v>
      </x:c>
      <x:c r="E405" s="15" t="str">
        <x:v>Modernatx, Inc. v Pfizer Limited &amp; Others</x:v>
      </x:c>
      <x:c r="F405" s="16" t="n">
        <x:v>46236.54068135416</x:v>
      </x:c>
      <x:c r="G405" s="15" t="str">
        <x:v>case</x:v>
      </x:c>
      <x:c r="H405" s="15" t="str">
        <x:v>case:synthon v smithkline beecham plc no 2</x:v>
      </x:c>
      <x:c r="I405" s="15" t="str">
        <x:v>Synthon v SmithKline Beecham Plc (No.2)</x:v>
      </x:c>
      <x:c r="J405" s="15" t="str">
        <x:v>Synthon v SmithKline Beecham Plc (No.2)</x:v>
      </x:c>
      <x:c r="K405" s="15" t="str"/>
      <x:c r="L405" s="15" t="str"/>
      <x:c r="M405" s="15" t="n">
        <x:v>1</x:v>
      </x:c>
      <x:c r="N405" s="15" t="str">
        <x:v>legalFramework.legalTestSummaries[0].sourceAuthority</x:v>
      </x:c>
    </x:row>
    <x:row r="406">
      <x:c r="A406" s="1" t="str">
        <x:v>U0405</x:v>
      </x:c>
      <x:c r="B406" s="1" t="str">
        <x:v>cmsbt3hfa002904ji8k6b026n</x:v>
      </x:c>
      <x:c r="C406" s="1" t="str">
        <x:v>ca-2024-0023525 &amp; ca-2024-002295-modernatx-inc-v-pfizer-limited-others-respondent-skeleton</x:v>
      </x:c>
      <x:c r="D406" s="1" t="str">
        <x:v>real</x:v>
      </x:c>
      <x:c r="E406" s="15" t="str">
        <x:v>Modernatx, Inc. v Pfizer Limited &amp; Others</x:v>
      </x:c>
      <x:c r="F406" s="16" t="n">
        <x:v>46236.54068135416</x:v>
      </x:c>
      <x:c r="G406" s="15" t="str">
        <x:v>legislation</x:v>
      </x:c>
      <x:c r="H406" s="15" t="str">
        <x:v>legislation:cpr practice direction citation of authorities</x:v>
      </x:c>
      <x:c r="I406" s="15" t="str">
        <x:v>CPR Practice Direction</x:v>
      </x:c>
      <x:c r="J406" s="15" t="str">
        <x:v>CPR Practice Direction Citation of Authorities</x:v>
      </x:c>
      <x:c r="K406" s="15" t="str"/>
      <x:c r="L406" s="15" t="str">
        <x:v>Citation of Authorities</x:v>
      </x:c>
      <x:c r="M406" s="15" t="n">
        <x:v>1</x:v>
      </x:c>
      <x:c r="N406" s="15" t="str">
        <x:v>legalFramework.statutoryProvisions[1]</x:v>
      </x:c>
    </x:row>
    <x:row r="407">
      <x:c r="A407" s="1" t="str">
        <x:v>U0406</x:v>
      </x:c>
      <x:c r="B407" s="1" t="str">
        <x:v>cmsbt3hfa002904ji8k6b026n</x:v>
      </x:c>
      <x:c r="C407" s="1" t="str">
        <x:v>ca-2024-0023525 &amp; ca-2024-002295-modernatx-inc-v-pfizer-limited-others-respondent-skeleton</x:v>
      </x:c>
      <x:c r="D407" s="1" t="str">
        <x:v>real</x:v>
      </x:c>
      <x:c r="E407" s="15" t="str">
        <x:v>Modernatx, Inc. v Pfizer Limited &amp; Others</x:v>
      </x:c>
      <x:c r="F407" s="16" t="n">
        <x:v>46236.54068135416</x:v>
      </x:c>
      <x:c r="G407" s="15" t="str">
        <x:v>legislation</x:v>
      </x:c>
      <x:c r="H407" s="15" t="str">
        <x:v>legislation:senior courts act 1981 s 35a</x:v>
      </x:c>
      <x:c r="I407" s="15" t="str">
        <x:v>Senior Courts Act 1981</x:v>
      </x:c>
      <x:c r="J407" s="15" t="str">
        <x:v>Senior Courts Act 1981 s.35A</x:v>
      </x:c>
      <x:c r="K407" s="15" t="str"/>
      <x:c r="L407" s="15" t="str">
        <x:v>s.35A</x:v>
      </x:c>
      <x:c r="M407" s="15" t="n">
        <x:v>2</x:v>
      </x:c>
      <x:c r="N407" s="15" t="str">
        <x:v>decisionAndDisposition.interest.statutoryBasis | legalFramework.statutoryProvisions[0]</x:v>
      </x:c>
    </x:row>
    <x:row r="408">
      <x:c r="A408" s="1" t="str">
        <x:v>U0407</x:v>
      </x:c>
      <x:c r="B408" s="1" t="str">
        <x:v>cmsbtbxft002t04jic4baeo3l</x:v>
      </x:c>
      <x:c r="C408" s="1" t="str">
        <x:v>ca-2024-002325 &amp; ca-2024-002295-modernatx-inc-v-pfizer-limited-others-appellant-skeleton</x:v>
      </x:c>
      <x:c r="D408" s="1" t="str">
        <x:v>real</x:v>
      </x:c>
      <x:c r="E408" s="15" t="str">
        <x:v>Modernatx, Inc. v Pfizer Limited &amp; Others</x:v>
      </x:c>
      <x:c r="F408" s="16" t="n">
        <x:v>46236.54524157407</x:v>
      </x:c>
      <x:c r="G408" s="15" t="str">
        <x:v>case</x:v>
      </x:c>
      <x:c r="H408" s="15" t="str">
        <x:v>case:2002 ewca civ 605</x:v>
      </x:c>
      <x:c r="I408" s="15" t="str">
        <x:v>[2002] EWCA Civ 605</x:v>
      </x:c>
      <x:c r="J408" s="15" t="str">
        <x:v>[2002] EWCA Civ 605</x:v>
      </x:c>
      <x:c r="K408" s="15" t="str"/>
      <x:c r="L408" s="15" t="str"/>
      <x:c r="M408" s="15" t="n">
        <x:v>1</x:v>
      </x:c>
      <x:c r="N408" s="15" t="str">
        <x:v>legalFramework.precedentCitations[0]</x:v>
      </x:c>
    </x:row>
    <x:row r="409">
      <x:c r="A409" s="1" t="str">
        <x:v>U0408</x:v>
      </x:c>
      <x:c r="B409" s="1" t="str">
        <x:v>cmsbtbxft002t04jic4baeo3l</x:v>
      </x:c>
      <x:c r="C409" s="1" t="str">
        <x:v>ca-2024-002325 &amp; ca-2024-002295-modernatx-inc-v-pfizer-limited-others-appellant-skeleton</x:v>
      </x:c>
      <x:c r="D409" s="1" t="str">
        <x:v>real</x:v>
      </x:c>
      <x:c r="E409" s="15" t="str">
        <x:v>Modernatx, Inc. v Pfizer Limited &amp; Others</x:v>
      </x:c>
      <x:c r="F409" s="16" t="n">
        <x:v>46236.54524157407</x:v>
      </x:c>
      <x:c r="G409" s="15" t="str">
        <x:v>case</x:v>
      </x:c>
      <x:c r="H409" s="15" t="str">
        <x:v>case:hospira uk ltd v genentech inc</x:v>
      </x:c>
      <x:c r="I409" s="15" t="str">
        <x:v>Hospira (UK) Ltd v Genentech, Inc.</x:v>
      </x:c>
      <x:c r="J409" s="15" t="str">
        <x:v>N/A</x:v>
      </x:c>
      <x:c r="K409" s="15" t="str">
        <x:v>220f5941-b918-42be-ba08-5254bcf34586</x:v>
      </x:c>
      <x:c r="L409" s="15" t="str"/>
      <x:c r="M409" s="15" t="n">
        <x:v>1</x:v>
      </x:c>
      <x:c r="N409" s="15" t="str">
        <x:v>issuesForDetermination.issueMatrix[0].sourceCases[0]</x:v>
      </x:c>
    </x:row>
    <x:row r="410">
      <x:c r="A410" s="1" t="str">
        <x:v>U0409</x:v>
      </x:c>
      <x:c r="B410" s="1" t="str">
        <x:v>cmsbtbxft002t04jic4baeo3l</x:v>
      </x:c>
      <x:c r="C410" s="1" t="str">
        <x:v>ca-2024-002325 &amp; ca-2024-002295-modernatx-inc-v-pfizer-limited-others-appellant-skeleton</x:v>
      </x:c>
      <x:c r="D410" s="1" t="str">
        <x:v>real</x:v>
      </x:c>
      <x:c r="E410" s="15" t="str">
        <x:v>Modernatx, Inc. v Pfizer Limited &amp; Others</x:v>
      </x:c>
      <x:c r="F410" s="16" t="n">
        <x:v>46236.54524157407</x:v>
      </x:c>
      <x:c r="G410" s="15" t="str">
        <x:v>case</x:v>
      </x:c>
      <x:c r="H410" s="15" t="str">
        <x:v>case:novartis ag and novartis pharmaceuticals uk limited v teva uk ltd &amp; ors</x:v>
      </x:c>
      <x:c r="I410" s="15" t="str">
        <x:v>Novartis AG and Novartis Pharmaceuticals UK Limited v Teva UK Ltd &amp; Ors</x:v>
      </x:c>
      <x:c r="J410" s="15" t="str">
        <x:v>N/A</x:v>
      </x:c>
      <x:c r="K410" s="15" t="str">
        <x:v>9a6c35d9-2f41-4d9b-bdea-d545c0053749</x:v>
      </x:c>
      <x:c r="L410" s="15" t="str"/>
      <x:c r="M410" s="15" t="n">
        <x:v>1</x:v>
      </x:c>
      <x:c r="N410" s="15" t="str">
        <x:v>factualFindings.contestedFacts[0].sourceCases[0]</x:v>
      </x:c>
    </x:row>
    <x:row r="411">
      <x:c r="A411" s="1" t="str">
        <x:v>U0410</x:v>
      </x:c>
      <x:c r="B411" s="1" t="str">
        <x:v>cmsbtbxft002t04jic4baeo3l</x:v>
      </x:c>
      <x:c r="C411" s="1" t="str">
        <x:v>ca-2024-002325 &amp; ca-2024-002295-modernatx-inc-v-pfizer-limited-others-appellant-skeleton</x:v>
      </x:c>
      <x:c r="D411" s="1" t="str">
        <x:v>real</x:v>
      </x:c>
      <x:c r="E411" s="15" t="str">
        <x:v>Modernatx, Inc. v Pfizer Limited &amp; Others</x:v>
      </x:c>
      <x:c r="F411" s="16" t="n">
        <x:v>46236.54524157407</x:v>
      </x:c>
      <x:c r="G411" s="15" t="str">
        <x:v>case</x:v>
      </x:c>
      <x:c r="H411" s="15" t="str">
        <x:v>case:smith &amp; nephew plc v convatec technologies inc &amp; ors</x:v>
      </x:c>
      <x:c r="I411" s="15" t="str">
        <x:v>Smith &amp; Nephew Plc v Convatec Technologies Inc &amp; Ors</x:v>
      </x:c>
      <x:c r="J411" s="15" t="str">
        <x:v>N/A</x:v>
      </x:c>
      <x:c r="K411" s="15" t="str">
        <x:v>29106524-22a0-4410-a8a6-c9fc60308a2a</x:v>
      </x:c>
      <x:c r="L411" s="15" t="str"/>
      <x:c r="M411" s="15" t="n">
        <x:v>1</x:v>
      </x:c>
      <x:c r="N411" s="15" t="str">
        <x:v>reasoningStructure[0].sourceCases[0]</x:v>
      </x:c>
    </x:row>
    <x:row r="412">
      <x:c r="A412" s="1" t="str">
        <x:v>U0411</x:v>
      </x:c>
      <x:c r="B412" s="1" t="str">
        <x:v>cmsbtbxft002t04jic4baeo3l</x:v>
      </x:c>
      <x:c r="C412" s="1" t="str">
        <x:v>ca-2024-002325 &amp; ca-2024-002295-modernatx-inc-v-pfizer-limited-others-appellant-skeleton</x:v>
      </x:c>
      <x:c r="D412" s="1" t="str">
        <x:v>real</x:v>
      </x:c>
      <x:c r="E412" s="15" t="str">
        <x:v>Modernatx, Inc. v Pfizer Limited &amp; Others</x:v>
      </x:c>
      <x:c r="F412" s="16" t="n">
        <x:v>46236.54524157407</x:v>
      </x:c>
      <x:c r="G412" s="15" t="str">
        <x:v>case</x:v>
      </x:c>
      <x:c r="H412" s="15" t="str">
        <x:v>case:warner lambert company llc v actavis group ptc ehf &amp; ors</x:v>
      </x:c>
      <x:c r="I412" s="15" t="str">
        <x:v>Warner-Lambert Company, LLC v Actavis Group Ptc EHF &amp; Ors</x:v>
      </x:c>
      <x:c r="J412" s="15" t="str">
        <x:v>N/A</x:v>
      </x:c>
      <x:c r="K412" s="15" t="str">
        <x:v>4d61560d-ecf9-4ce9-a7f2-63d5c1787b6e</x:v>
      </x:c>
      <x:c r="L412" s="15" t="str"/>
      <x:c r="M412" s="15" t="n">
        <x:v>1</x:v>
      </x:c>
      <x:c r="N412" s="15" t="str">
        <x:v>factualFindings.contestedFacts[1].sourceCases[0]</x:v>
      </x:c>
    </x:row>
    <x:row r="413">
      <x:c r="A413" s="1" t="str">
        <x:v>U0412</x:v>
      </x:c>
      <x:c r="B413" s="1" t="str">
        <x:v>cmsbtbxft002t04jic4baeo3l</x:v>
      </x:c>
      <x:c r="C413" s="1" t="str">
        <x:v>ca-2024-002325 &amp; ca-2024-002295-modernatx-inc-v-pfizer-limited-others-appellant-skeleton</x:v>
      </x:c>
      <x:c r="D413" s="1" t="str">
        <x:v>real</x:v>
      </x:c>
      <x:c r="E413" s="15" t="str">
        <x:v>Modernatx, Inc. v Pfizer Limited &amp; Others</x:v>
      </x:c>
      <x:c r="F413" s="16" t="n">
        <x:v>46236.54524157407</x:v>
      </x:c>
      <x:c r="G413" s="15" t="str">
        <x:v>legislation</x:v>
      </x:c>
      <x:c r="H413" s="15" t="str">
        <x:v>legislation:senior courts act 1981 s 35a</x:v>
      </x:c>
      <x:c r="I413" s="15" t="str">
        <x:v>Senior Courts Act 1981</x:v>
      </x:c>
      <x:c r="J413" s="15" t="str">
        <x:v>Senior Courts Act 1981 s.35A</x:v>
      </x:c>
      <x:c r="K413" s="15" t="str"/>
      <x:c r="L413" s="15" t="str">
        <x:v>s.35A</x:v>
      </x:c>
      <x:c r="M413" s="15" t="n">
        <x:v>3</x:v>
      </x:c>
      <x:c r="N413" s="15" t="str">
        <x:v>decisionAndDisposition.interest.statutoryBasis | legalFramework.legalTestSummaries[0].sourceAuthority | legalFramework.statutoryProvisions[0]</x:v>
      </x:c>
    </x:row>
    <x:row r="414">
      <x:c r="A414" s="1" t="str">
        <x:v>U0413</x:v>
      </x:c>
      <x:c r="B414" s="1" t="str">
        <x:v>cmst419ew000k04ladhs06s0r</x:v>
      </x:c>
      <x:c r="C414" s="1" t="str">
        <x:v>skeleton-args-ca2015000120-c8bbd9c0f403a8f6</x:v>
      </x:c>
      <x:c r="D414" s="1" t="str">
        <x:v>synthetic</x:v>
      </x:c>
      <x:c r="E414" s="15" t="str">
        <x:v>Sharma v Meridian Financial Services Ltd</x:v>
      </x:c>
      <x:c r="F414" s="16" t="n">
        <x:v>46248.650601180554</x:v>
      </x:c>
      <x:c r="G414" s="15" t="str">
        <x:v>case</x:v>
      </x:c>
      <x:c r="H414" s="15" t="str">
        <x:v>case:2014 ewca civ 1213</x:v>
      </x:c>
      <x:c r="I414" s="15" t="str">
        <x:v>Gaurilcikiene v Tesco Stores Ltd</x:v>
      </x:c>
      <x:c r="J414" s="15" t="str">
        <x:v>[2014] EWCA Civ 1213</x:v>
      </x:c>
      <x:c r="K414" s="15" t="str">
        <x:v>060fb5e3-4e14-487d-89e2-170c04ebf40c</x:v>
      </x:c>
      <x:c r="L414" s="15" t="str"/>
      <x:c r="M414" s="15" t="n">
        <x:v>3</x:v>
      </x:c>
      <x:c r="N414" s="15" t="str">
        <x:v>factualFindings.chronology[1].sourceCases[0] | issuesForDetermination.issueMatrix[0].sourceCases[1] | reasoningStructure[0].sourceCases[1]</x:v>
      </x:c>
    </x:row>
    <x:row r="415">
      <x:c r="A415" s="1" t="str">
        <x:v>U0414</x:v>
      </x:c>
      <x:c r="B415" s="1" t="str">
        <x:v>cmst419ew000k04ladhs06s0r</x:v>
      </x:c>
      <x:c r="C415" s="1" t="str">
        <x:v>skeleton-args-ca2015000120-c8bbd9c0f403a8f6</x:v>
      </x:c>
      <x:c r="D415" s="1" t="str">
        <x:v>synthetic</x:v>
      </x:c>
      <x:c r="E415" s="15" t="str">
        <x:v>Sharma v Meridian Financial Services Ltd</x:v>
      </x:c>
      <x:c r="F415" s="16" t="n">
        <x:v>46248.650601180554</x:v>
      </x:c>
      <x:c r="G415" s="15" t="str">
        <x:v>case</x:v>
      </x:c>
      <x:c r="H415" s="15" t="str">
        <x:v>case:2014 ewca civ 73</x:v>
      </x:c>
      <x:c r="I415" s="15" t="str">
        <x:v>South Wales Police Authority v Johnson</x:v>
      </x:c>
      <x:c r="J415" s="15" t="str">
        <x:v>[2014] EWCA Civ 73</x:v>
      </x:c>
      <x:c r="K415" s="15" t="str">
        <x:v>7b9b0d5a-dc61-43d4-9626-d82e18f8c8dd</x:v>
      </x:c>
      <x:c r="L415" s="15" t="str"/>
      <x:c r="M415" s="15" t="n">
        <x:v>2</x:v>
      </x:c>
      <x:c r="N415" s="15" t="str">
        <x:v>issuesForDetermination.issueMatrix[1].sourceCases[0] | reasoningStructure[1].sourceCases[0]</x:v>
      </x:c>
    </x:row>
    <x:row r="416">
      <x:c r="A416" s="1" t="str">
        <x:v>U0415</x:v>
      </x:c>
      <x:c r="B416" s="1" t="str">
        <x:v>cmst419ew000k04ladhs06s0r</x:v>
      </x:c>
      <x:c r="C416" s="1" t="str">
        <x:v>skeleton-args-ca2015000120-c8bbd9c0f403a8f6</x:v>
      </x:c>
      <x:c r="D416" s="1" t="str">
        <x:v>synthetic</x:v>
      </x:c>
      <x:c r="E416" s="15" t="str">
        <x:v>Sharma v Meridian Financial Services Ltd</x:v>
      </x:c>
      <x:c r="F416" s="16" t="n">
        <x:v>46248.650601180554</x:v>
      </x:c>
      <x:c r="G416" s="15" t="str">
        <x:v>case</x:v>
      </x:c>
      <x:c r="H416" s="15" t="str">
        <x:v>case:2015 ewca civ 897</x:v>
      </x:c>
      <x:c r="I416" s="15" t="str">
        <x:v>Kalu v Brighton and Sussex University Hospitals NHS Trust &amp; Ors</x:v>
      </x:c>
      <x:c r="J416" s="15" t="str">
        <x:v>[2015] EWCA Civ 897</x:v>
      </x:c>
      <x:c r="K416" s="15" t="str">
        <x:v>b5913f39-0611-4550-b7a3-d97e1fc4f9c9</x:v>
      </x:c>
      <x:c r="L416" s="15" t="str"/>
      <x:c r="M416" s="15" t="n">
        <x:v>3</x:v>
      </x:c>
      <x:c r="N416" s="15" t="str">
        <x:v>factualFindings.contestedFacts[1].sourceCases[0] | issuesForDetermination.issueMatrix[0].sourceCases[0] | reasoningStructure[0].sourceCases[0]</x:v>
      </x:c>
    </x:row>
    <x:row r="417">
      <x:c r="A417" s="1" t="str">
        <x:v>U0416</x:v>
      </x:c>
      <x:c r="B417" s="1" t="str">
        <x:v>cmst419ew000k04ladhs06s0r</x:v>
      </x:c>
      <x:c r="C417" s="1" t="str">
        <x:v>skeleton-args-ca2015000120-c8bbd9c0f403a8f6</x:v>
      </x:c>
      <x:c r="D417" s="1" t="str">
        <x:v>synthetic</x:v>
      </x:c>
      <x:c r="E417" s="15" t="str">
        <x:v>Sharma v Meridian Financial Services Ltd</x:v>
      </x:c>
      <x:c r="F417" s="16" t="n">
        <x:v>46248.650601180554</x:v>
      </x:c>
      <x:c r="G417" s="15" t="str">
        <x:v>case</x:v>
      </x:c>
      <x:c r="H417" s="15" t="str">
        <x:v>case:igen ltd v wong</x:v>
      </x:c>
      <x:c r="I417" s="15" t="str">
        <x:v>Igen Ltd v Wong</x:v>
      </x:c>
      <x:c r="J417" s="15" t="str">
        <x:v>Igen Ltd v Wong</x:v>
      </x:c>
      <x:c r="K417" s="15" t="str"/>
      <x:c r="L417" s="15" t="str"/>
      <x:c r="M417" s="15" t="n">
        <x:v>1</x:v>
      </x:c>
      <x:c r="N417" s="15" t="str">
        <x:v>legalFramework.precedentCitations[1]</x:v>
      </x:c>
    </x:row>
    <x:row r="418">
      <x:c r="A418" s="1" t="str">
        <x:v>U0417</x:v>
      </x:c>
      <x:c r="B418" s="1" t="str">
        <x:v>cmst419ew000k04ladhs06s0r</x:v>
      </x:c>
      <x:c r="C418" s="1" t="str">
        <x:v>skeleton-args-ca2015000120-c8bbd9c0f403a8f6</x:v>
      </x:c>
      <x:c r="D418" s="1" t="str">
        <x:v>synthetic</x:v>
      </x:c>
      <x:c r="E418" s="15" t="str">
        <x:v>Sharma v Meridian Financial Services Ltd</x:v>
      </x:c>
      <x:c r="F418" s="16" t="n">
        <x:v>46248.650601180554</x:v>
      </x:c>
      <x:c r="G418" s="15" t="str">
        <x:v>case</x:v>
      </x:c>
      <x:c r="H418" s="15" t="str">
        <x:v>case:shamoon v chief constable of the royal ulster constabulary</x:v>
      </x:c>
      <x:c r="I418" s="15" t="str">
        <x:v>Shamoon v Chief Constable of the Royal Ulster Constabulary</x:v>
      </x:c>
      <x:c r="J418" s="15" t="str">
        <x:v>Shamoon v Chief Constable of the Royal Ulster Constabulary</x:v>
      </x:c>
      <x:c r="K418" s="15" t="str"/>
      <x:c r="L418" s="15" t="str"/>
      <x:c r="M418" s="15" t="n">
        <x:v>1</x:v>
      </x:c>
      <x:c r="N418" s="15" t="str">
        <x:v>legalFramework.precedentCitations[0]</x:v>
      </x:c>
    </x:row>
    <x:row r="419">
      <x:c r="A419" s="1" t="str">
        <x:v>U0418</x:v>
      </x:c>
      <x:c r="B419" s="1" t="str">
        <x:v>cmst419ew000k04ladhs06s0r</x:v>
      </x:c>
      <x:c r="C419" s="1" t="str">
        <x:v>skeleton-args-ca2015000120-c8bbd9c0f403a8f6</x:v>
      </x:c>
      <x:c r="D419" s="1" t="str">
        <x:v>synthetic</x:v>
      </x:c>
      <x:c r="E419" s="15" t="str">
        <x:v>Sharma v Meridian Financial Services Ltd</x:v>
      </x:c>
      <x:c r="F419" s="16" t="n">
        <x:v>46248.650601180554</x:v>
      </x:c>
      <x:c r="G419" s="15" t="str">
        <x:v>legislation</x:v>
      </x:c>
      <x:c r="H419" s="15" t="str">
        <x:v>legislation:employment rights act 1996 94</x:v>
      </x:c>
      <x:c r="I419" s="15" t="str">
        <x:v>Employment Rights Act 1996</x:v>
      </x:c>
      <x:c r="J419" s="15" t="str">
        <x:v>Employment Rights Act 1996 94</x:v>
      </x:c>
      <x:c r="K419" s="15" t="str"/>
      <x:c r="L419" s="15" t="str">
        <x:v>94</x:v>
      </x:c>
      <x:c r="M419" s="15" t="n">
        <x:v>1</x:v>
      </x:c>
      <x:c r="N419" s="15" t="str">
        <x:v>legalFramework.statutoryProvisions[1]</x:v>
      </x:c>
    </x:row>
    <x:row r="420">
      <x:c r="A420" s="1" t="str">
        <x:v>U0419</x:v>
      </x:c>
      <x:c r="B420" s="1" t="str">
        <x:v>cmst419ew000k04ladhs06s0r</x:v>
      </x:c>
      <x:c r="C420" s="1" t="str">
        <x:v>skeleton-args-ca2015000120-c8bbd9c0f403a8f6</x:v>
      </x:c>
      <x:c r="D420" s="1" t="str">
        <x:v>synthetic</x:v>
      </x:c>
      <x:c r="E420" s="15" t="str">
        <x:v>Sharma v Meridian Financial Services Ltd</x:v>
      </x:c>
      <x:c r="F420" s="16" t="n">
        <x:v>46248.650601180554</x:v>
      </x:c>
      <x:c r="G420" s="15" t="str">
        <x:v>legislation</x:v>
      </x:c>
      <x:c r="H420" s="15" t="str">
        <x:v>legislation:employment rights act 1996 s 94</x:v>
      </x:c>
      <x:c r="I420" s="15" t="str">
        <x:v>Employment Rights Act 1996, s.94</x:v>
      </x:c>
      <x:c r="J420" s="15" t="str">
        <x:v>Employment Rights Act 1996, s.94</x:v>
      </x:c>
      <x:c r="K420" s="15" t="str"/>
      <x:c r="L420" s="15" t="str"/>
      <x:c r="M420" s="15" t="n">
        <x:v>1</x:v>
      </x:c>
      <x:c r="N420" s="15" t="str">
        <x:v>legalFramework.legalTestSummaries[1].sourceAuthority</x:v>
      </x:c>
    </x:row>
    <x:row r="421">
      <x:c r="A421" s="1" t="str">
        <x:v>U0420</x:v>
      </x:c>
      <x:c r="B421" s="1" t="str">
        <x:v>cmst419ew000k04ladhs06s0r</x:v>
      </x:c>
      <x:c r="C421" s="1" t="str">
        <x:v>skeleton-args-ca2015000120-c8bbd9c0f403a8f6</x:v>
      </x:c>
      <x:c r="D421" s="1" t="str">
        <x:v>synthetic</x:v>
      </x:c>
      <x:c r="E421" s="15" t="str">
        <x:v>Sharma v Meridian Financial Services Ltd</x:v>
      </x:c>
      <x:c r="F421" s="16" t="n">
        <x:v>46248.650601180554</x:v>
      </x:c>
      <x:c r="G421" s="15" t="str">
        <x:v>legislation</x:v>
      </x:c>
      <x:c r="H421" s="15" t="str">
        <x:v>legislation:equality act 2010 13</x:v>
      </x:c>
      <x:c r="I421" s="15" t="str">
        <x:v>Equality Act 2010</x:v>
      </x:c>
      <x:c r="J421" s="15" t="str">
        <x:v>Equality Act 2010 13</x:v>
      </x:c>
      <x:c r="K421" s="15" t="str"/>
      <x:c r="L421" s="15" t="str">
        <x:v>13</x:v>
      </x:c>
      <x:c r="M421" s="15" t="n">
        <x:v>1</x:v>
      </x:c>
      <x:c r="N421" s="15" t="str">
        <x:v>legalFramework.statutoryProvisions[0]</x:v>
      </x:c>
    </x:row>
    <x:row r="422">
      <x:c r="A422" s="1" t="str">
        <x:v>U0421</x:v>
      </x:c>
      <x:c r="B422" s="1" t="str">
        <x:v>cmst419ew000k04ladhs06s0r</x:v>
      </x:c>
      <x:c r="C422" s="1" t="str">
        <x:v>skeleton-args-ca2015000120-c8bbd9c0f403a8f6</x:v>
      </x:c>
      <x:c r="D422" s="1" t="str">
        <x:v>synthetic</x:v>
      </x:c>
      <x:c r="E422" s="15" t="str">
        <x:v>Sharma v Meridian Financial Services Ltd</x:v>
      </x:c>
      <x:c r="F422" s="16" t="n">
        <x:v>46248.650601180554</x:v>
      </x:c>
      <x:c r="G422" s="15" t="str">
        <x:v>legislation</x:v>
      </x:c>
      <x:c r="H422" s="15" t="str">
        <x:v>legislation:equality act 2010 s 13</x:v>
      </x:c>
      <x:c r="I422" s="15" t="str">
        <x:v>Equality Act 2010, s.13</x:v>
      </x:c>
      <x:c r="J422" s="15" t="str">
        <x:v>Equality Act 2010, s.13</x:v>
      </x:c>
      <x:c r="K422" s="15" t="str"/>
      <x:c r="L422" s="15" t="str"/>
      <x:c r="M422" s="15" t="n">
        <x:v>1</x:v>
      </x:c>
      <x:c r="N422" s="15" t="str">
        <x:v>legalFramework.legalTestSummaries[0].sourceAuthority</x:v>
      </x:c>
    </x:row>
    <x:row r="423">
      <x:c r="A423" s="1" t="str">
        <x:v>U0422</x:v>
      </x:c>
      <x:c r="B423" s="1" t="str">
        <x:v>cmst419ew000k04ladhs06s0r</x:v>
      </x:c>
      <x:c r="C423" s="1" t="str">
        <x:v>skeleton-args-ca2015000120-c8bbd9c0f403a8f6</x:v>
      </x:c>
      <x:c r="D423" s="1" t="str">
        <x:v>synthetic</x:v>
      </x:c>
      <x:c r="E423" s="15" t="str">
        <x:v>Sharma v Meridian Financial Services Ltd</x:v>
      </x:c>
      <x:c r="F423" s="16" t="n">
        <x:v>46248.650601180554</x:v>
      </x:c>
      <x:c r="G423" s="15" t="str">
        <x:v>legislation</x:v>
      </x:c>
      <x:c r="H423" s="15" t="str">
        <x:v>legislation:senior courts act 1981 s 35a</x:v>
      </x:c>
      <x:c r="I423" s="15" t="str">
        <x:v>Senior Courts Act 1981, s.35A</x:v>
      </x:c>
      <x:c r="J423" s="15" t="str">
        <x:v>Senior Courts Act 1981, s.35A</x:v>
      </x:c>
      <x:c r="K423" s="15" t="str"/>
      <x:c r="L423" s="15" t="str"/>
      <x:c r="M423" s="15" t="n">
        <x:v>1</x:v>
      </x:c>
      <x:c r="N423" s="15" t="str">
        <x:v>decisionAndDisposition.interest.statutoryBasis</x:v>
      </x:c>
    </x:row>
    <x:row r="424">
      <x:c r="A424" s="1" t="str">
        <x:v>U0423</x:v>
      </x:c>
      <x:c r="B424" s="1" t="str">
        <x:v>cmst45vlc000h04l7f6nlqawg</x:v>
      </x:c>
      <x:c r="C424" s="1" t="str">
        <x:v>skeleton-args-ca2015008373-db13b0c8e36da3c2</x:v>
      </x:c>
      <x:c r="D424" s="1" t="str">
        <x:v>synthetic</x:v>
      </x:c>
      <x:c r="E424" s="15" t="str">
        <x:v>Crossfield Trading Ltd v Northern Commercial Bank Plc</x:v>
      </x:c>
      <x:c r="F424" s="16" t="n">
        <x:v>46248.65309386574</x:v>
      </x:c>
      <x:c r="G424" s="15" t="str">
        <x:v>case</x:v>
      </x:c>
      <x:c r="H424" s="15" t="str">
        <x:v>case:2015 ewca civ 986</x:v>
      </x:c>
      <x:c r="I424" s="15" t="str">
        <x:v>Crestsign Ltd v National Westminster Bank Plc &amp; Anor</x:v>
      </x:c>
      <x:c r="J424" s="15" t="str">
        <x:v>[2015] EWCA Civ 986</x:v>
      </x:c>
      <x:c r="K424" s="15" t="str">
        <x:v>a1fcbe31-60cf-480d-aa88-19492f68df24</x:v>
      </x:c>
      <x:c r="L424" s="15" t="str"/>
      <x:c r="M424" s="15" t="n">
        <x:v>3</x:v>
      </x:c>
      <x:c r="N424" s="15" t="str">
        <x:v>factualFindings.contestedFacts[0].sourceCases[0] | issuesForDetermination.issueMatrix[0].sourceCases[0] | reasoningStructure[0].sourceCases[0]</x:v>
      </x:c>
    </x:row>
    <x:row r="425">
      <x:c r="A425" s="1" t="str">
        <x:v>U0424</x:v>
      </x:c>
      <x:c r="B425" s="1" t="str">
        <x:v>cmst45vlc000h04l7f6nlqawg</x:v>
      </x:c>
      <x:c r="C425" s="1" t="str">
        <x:v>skeleton-args-ca2015008373-db13b0c8e36da3c2</x:v>
      </x:c>
      <x:c r="D425" s="1" t="str">
        <x:v>synthetic</x:v>
      </x:c>
      <x:c r="E425" s="15" t="str">
        <x:v>Crossfield Trading Ltd v Northern Commercial Bank Plc</x:v>
      </x:c>
      <x:c r="F425" s="16" t="n">
        <x:v>46248.65309386574</x:v>
      </x:c>
      <x:c r="G425" s="15" t="str">
        <x:v>case</x:v>
      </x:c>
      <x:c r="H425" s="15" t="str">
        <x:v>case:2016 ewca civ 119</x:v>
      </x:c>
      <x:c r="I425" s="15" t="str">
        <x:v>Deutsche Bank AG v Unitech Global Limited &amp; Ors</x:v>
      </x:c>
      <x:c r="J425" s="15" t="str">
        <x:v>[2016] EWCA Civ 119</x:v>
      </x:c>
      <x:c r="K425" s="15" t="str">
        <x:v>5efa7b7e-80f2-4a0e-ad80-5ab0db7a9c17</x:v>
      </x:c>
      <x:c r="L425" s="15" t="str"/>
      <x:c r="M425" s="15" t="n">
        <x:v>6</x:v>
      </x:c>
      <x:c r="N425" s="15" t="str">
        <x:v>issuesForDetermination.issueMatrix[1].sourceCases[0] | issuesForDetermination.issueMatrix[2].sourceCases[0] | issuesForDetermination.issueMatrix[3].sourceCases[0] | reasoningStructure[1].sourceCases[0] | reasoningStructure[2].sourceCases[0] | reasoningStructure[3].sourceCases[0]</x:v>
      </x:c>
    </x:row>
    <x:row r="426">
      <x:c r="A426" s="1" t="str">
        <x:v>U0425</x:v>
      </x:c>
      <x:c r="B426" s="1" t="str">
        <x:v>cmst45vlc000h04l7f6nlqawg</x:v>
      </x:c>
      <x:c r="C426" s="1" t="str">
        <x:v>skeleton-args-ca2015008373-db13b0c8e36da3c2</x:v>
      </x:c>
      <x:c r="D426" s="1" t="str">
        <x:v>synthetic</x:v>
      </x:c>
      <x:c r="E426" s="15" t="str">
        <x:v>Crossfield Trading Ltd v Northern Commercial Bank Plc</x:v>
      </x:c>
      <x:c r="F426" s="16" t="n">
        <x:v>46248.65309386574</x:v>
      </x:c>
      <x:c r="G426" s="15" t="str">
        <x:v>case</x:v>
      </x:c>
      <x:c r="H426" s="15" t="str">
        <x:v>case:crestsign ltd v national westminster bank plc &amp; anor</x:v>
      </x:c>
      <x:c r="I426" s="15" t="str">
        <x:v>Crestsign Ltd v National Westminster Bank Plc &amp; Anor</x:v>
      </x:c>
      <x:c r="J426" s="15" t="str">
        <x:v>Crestsign Ltd v National Westminster Bank Plc &amp; Anor</x:v>
      </x:c>
      <x:c r="K426" s="15" t="str"/>
      <x:c r="L426" s="15" t="str"/>
      <x:c r="M426" s="15" t="n">
        <x:v>1</x:v>
      </x:c>
      <x:c r="N426" s="15" t="str">
        <x:v>legalFramework.legalTestSummaries[1].sourceAuthority</x:v>
      </x:c>
    </x:row>
    <x:row r="427">
      <x:c r="A427" s="1" t="str">
        <x:v>U0426</x:v>
      </x:c>
      <x:c r="B427" s="1" t="str">
        <x:v>cmst45vlc000h04l7f6nlqawg</x:v>
      </x:c>
      <x:c r="C427" s="1" t="str">
        <x:v>skeleton-args-ca2015008373-db13b0c8e36da3c2</x:v>
      </x:c>
      <x:c r="D427" s="1" t="str">
        <x:v>synthetic</x:v>
      </x:c>
      <x:c r="E427" s="15" t="str">
        <x:v>Crossfield Trading Ltd v Northern Commercial Bank Plc</x:v>
      </x:c>
      <x:c r="F427" s="16" t="n">
        <x:v>46248.65309386574</x:v>
      </x:c>
      <x:c r="G427" s="15" t="str">
        <x:v>legislation</x:v>
      </x:c>
      <x:c r="H427" s="15" t="str">
        <x:v>legislation:cobs regulations</x:v>
      </x:c>
      <x:c r="I427" s="15" t="str">
        <x:v>COBS regulations</x:v>
      </x:c>
      <x:c r="J427" s="15" t="str">
        <x:v>COBS regulations</x:v>
      </x:c>
      <x:c r="K427" s="15" t="str"/>
      <x:c r="L427" s="15" t="str"/>
      <x:c r="M427" s="15" t="n">
        <x:v>1</x:v>
      </x:c>
      <x:c r="N427" s="15" t="str">
        <x:v>legalFramework.legalTestSummaries[0].sourceAuthority</x:v>
      </x:c>
    </x:row>
    <x:row r="428">
      <x:c r="A428" s="1" t="str">
        <x:v>U0427</x:v>
      </x:c>
      <x:c r="B428" s="1" t="str">
        <x:v>cmst45vlc000h04l7f6nlqawg</x:v>
      </x:c>
      <x:c r="C428" s="1" t="str">
        <x:v>skeleton-args-ca2015008373-db13b0c8e36da3c2</x:v>
      </x:c>
      <x:c r="D428" s="1" t="str">
        <x:v>synthetic</x:v>
      </x:c>
      <x:c r="E428" s="15" t="str">
        <x:v>Crossfield Trading Ltd v Northern Commercial Bank Plc</x:v>
      </x:c>
      <x:c r="F428" s="16" t="n">
        <x:v>46248.65309386574</x:v>
      </x:c>
      <x:c r="G428" s="15" t="str">
        <x:v>legislation</x:v>
      </x:c>
      <x:c r="H428" s="15" t="str">
        <x:v>legislation:conduct of business sourcebook cobs various</x:v>
      </x:c>
      <x:c r="I428" s="15" t="str">
        <x:v>Conduct of Business Sourcebook (COBS)</x:v>
      </x:c>
      <x:c r="J428" s="15" t="str">
        <x:v>Conduct of Business Sourcebook (COBS) Various</x:v>
      </x:c>
      <x:c r="K428" s="15" t="str"/>
      <x:c r="L428" s="15" t="str">
        <x:v>Various</x:v>
      </x:c>
      <x:c r="M428" s="15" t="n">
        <x:v>1</x:v>
      </x:c>
      <x:c r="N428" s="15" t="str">
        <x:v>legalFramework.statutoryProvisions[1]</x:v>
      </x:c>
    </x:row>
    <x:row r="429">
      <x:c r="A429" s="1" t="str">
        <x:v>U0428</x:v>
      </x:c>
      <x:c r="B429" s="1" t="str">
        <x:v>cmst45vlc000h04l7f6nlqawg</x:v>
      </x:c>
      <x:c r="C429" s="1" t="str">
        <x:v>skeleton-args-ca2015008373-db13b0c8e36da3c2</x:v>
      </x:c>
      <x:c r="D429" s="1" t="str">
        <x:v>synthetic</x:v>
      </x:c>
      <x:c r="E429" s="15" t="str">
        <x:v>Crossfield Trading Ltd v Northern Commercial Bank Plc</x:v>
      </x:c>
      <x:c r="F429" s="16" t="n">
        <x:v>46248.65309386574</x:v>
      </x:c>
      <x:c r="G429" s="15" t="str">
        <x:v>legislation</x:v>
      </x:c>
      <x:c r="H429" s="15" t="str">
        <x:v>legislation:financial services and markets act 2000 s 1 5</x:v>
      </x:c>
      <x:c r="I429" s="15" t="str">
        <x:v>Financial Services and Markets Act 2000</x:v>
      </x:c>
      <x:c r="J429" s="15" t="str">
        <x:v>Financial Services and Markets Act 2000 Section 1-5</x:v>
      </x:c>
      <x:c r="K429" s="15" t="str"/>
      <x:c r="L429" s="15" t="str">
        <x:v>Section 1-5</x:v>
      </x:c>
      <x:c r="M429" s="15" t="n">
        <x:v>1</x:v>
      </x:c>
      <x:c r="N429" s="15" t="str">
        <x:v>legalFramework.statutoryProvisions[0]</x:v>
      </x:c>
    </x:row>
    <x:row r="430">
      <x:c r="A430" s="1" t="str">
        <x:v>U0429</x:v>
      </x:c>
      <x:c r="B430" s="1" t="str">
        <x:v>cmst45vlc000h04l7f6nlqawg</x:v>
      </x:c>
      <x:c r="C430" s="1" t="str">
        <x:v>skeleton-args-ca2015008373-db13b0c8e36da3c2</x:v>
      </x:c>
      <x:c r="D430" s="1" t="str">
        <x:v>synthetic</x:v>
      </x:c>
      <x:c r="E430" s="15" t="str">
        <x:v>Crossfield Trading Ltd v Northern Commercial Bank Plc</x:v>
      </x:c>
      <x:c r="F430" s="16" t="n">
        <x:v>46248.65309386574</x:v>
      </x:c>
      <x:c r="G430" s="15" t="str">
        <x:v>legislation</x:v>
      </x:c>
      <x:c r="H430" s="15" t="str">
        <x:v>legislation:limitation act 1980 s 2</x:v>
      </x:c>
      <x:c r="I430" s="15" t="str">
        <x:v>Limitation Act 1980</x:v>
      </x:c>
      <x:c r="J430" s="15" t="str">
        <x:v>Limitation Act 1980 Section 2</x:v>
      </x:c>
      <x:c r="K430" s="15" t="str"/>
      <x:c r="L430" s="15" t="str">
        <x:v>Section 2</x:v>
      </x:c>
      <x:c r="M430" s="15" t="n">
        <x:v>1</x:v>
      </x:c>
      <x:c r="N430" s="15" t="str">
        <x:v>legalFramework.statutoryProvisions[2]</x:v>
      </x:c>
    </x:row>
    <x:row r="431">
      <x:c r="A431" s="1" t="str">
        <x:v>U0430</x:v>
      </x:c>
      <x:c r="B431" s="1" t="str">
        <x:v>cmst45vlc000h04l7f6nlqawg</x:v>
      </x:c>
      <x:c r="C431" s="1" t="str">
        <x:v>skeleton-args-ca2015008373-db13b0c8e36da3c2</x:v>
      </x:c>
      <x:c r="D431" s="1" t="str">
        <x:v>synthetic</x:v>
      </x:c>
      <x:c r="E431" s="15" t="str">
        <x:v>Crossfield Trading Ltd v Northern Commercial Bank Plc</x:v>
      </x:c>
      <x:c r="F431" s="16" t="n">
        <x:v>46248.65309386574</x:v>
      </x:c>
      <x:c r="G431" s="15" t="str">
        <x:v>legislation</x:v>
      </x:c>
      <x:c r="H431" s="15" t="str">
        <x:v>legislation:senior courts act 1981 s 35a</x:v>
      </x:c>
      <x:c r="I431" s="15" t="str">
        <x:v>Senior Courts Act 1981, s.35A</x:v>
      </x:c>
      <x:c r="J431" s="15" t="str">
        <x:v>Senior Courts Act 1981, s.35A</x:v>
      </x:c>
      <x:c r="K431" s="15" t="str"/>
      <x:c r="L431" s="15" t="str"/>
      <x:c r="M431" s="15" t="n">
        <x:v>1</x:v>
      </x:c>
      <x:c r="N431" s="15" t="str">
        <x:v>decisionAndDisposition.interest.statutoryBasis</x:v>
      </x:c>
    </x:row>
    <x:row r="432">
      <x:c r="A432" s="1" t="str">
        <x:v>U0431</x:v>
      </x:c>
      <x:c r="B432" s="1" t="str">
        <x:v>cmst45vlc000h04l7f6nlqawg</x:v>
      </x:c>
      <x:c r="C432" s="1" t="str">
        <x:v>skeleton-args-ca2015008373-db13b0c8e36da3c2</x:v>
      </x:c>
      <x:c r="D432" s="1" t="str">
        <x:v>synthetic</x:v>
      </x:c>
      <x:c r="E432" s="15" t="str">
        <x:v>Crossfield Trading Ltd v Northern Commercial Bank Plc</x:v>
      </x:c>
      <x:c r="F432" s="16" t="n">
        <x:v>46248.65309386574</x:v>
      </x:c>
      <x:c r="G432" s="15" t="str">
        <x:v>other</x:v>
      </x:c>
      <x:c r="H432" s="15" t="str">
        <x:v>other:2000 1 wlr 377</x:v>
      </x:c>
      <x:c r="I432" s="15" t="str">
        <x:v>[2000] 1 WLR 377</x:v>
      </x:c>
      <x:c r="J432" s="15" t="str">
        <x:v>[2000] 1 WLR 377</x:v>
      </x:c>
      <x:c r="K432" s="15" t="str"/>
      <x:c r="L432" s="15" t="str"/>
      <x:c r="M432" s="15" t="n">
        <x:v>1</x:v>
      </x:c>
      <x:c r="N432" s="15" t="str">
        <x:v>legalFramework.precedentCitations[0]</x:v>
      </x:c>
    </x:row>
    <x:row r="433">
      <x:c r="A433" s="1" t="str">
        <x:v>U0432</x:v>
      </x:c>
      <x:c r="B433" s="1" t="str">
        <x:v>cmst49zw4001104l7neqlaa0v</x:v>
      </x:c>
      <x:c r="C433" s="1" t="str">
        <x:v>skeleton-args-ca2024009268-0b828a88e0027426</x:v>
      </x:c>
      <x:c r="D433" s="1" t="str">
        <x:v>synthetic</x:v>
      </x:c>
      <x:c r="E433" s="15" t="str">
        <x:v>Webb v Ashworth &amp; Partners</x:v>
      </x:c>
      <x:c r="F433" s="16" t="n">
        <x:v>46248.65531836806</x:v>
      </x:c>
      <x:c r="G433" s="15" t="str">
        <x:v>case</x:v>
      </x:c>
      <x:c r="H433" s="15" t="str">
        <x:v>case:2002 ewca civ 605</x:v>
      </x:c>
      <x:c r="I433" s="15" t="str">
        <x:v>[2002] EWCA Civ 605</x:v>
      </x:c>
      <x:c r="J433" s="15" t="str">
        <x:v>[2002] EWCA Civ 605</x:v>
      </x:c>
      <x:c r="K433" s="15" t="str"/>
      <x:c r="L433" s="15" t="str"/>
      <x:c r="M433" s="15" t="n">
        <x:v>1</x:v>
      </x:c>
      <x:c r="N433" s="15" t="str">
        <x:v>legalFramework.precedentCitations[0]</x:v>
      </x:c>
    </x:row>
    <x:row r="434">
      <x:c r="A434" s="1" t="str">
        <x:v>U0433</x:v>
      </x:c>
      <x:c r="B434" s="1" t="str">
        <x:v>cmst49zw4001104l7neqlaa0v</x:v>
      </x:c>
      <x:c r="C434" s="1" t="str">
        <x:v>skeleton-args-ca2024009268-0b828a88e0027426</x:v>
      </x:c>
      <x:c r="D434" s="1" t="str">
        <x:v>synthetic</x:v>
      </x:c>
      <x:c r="E434" s="15" t="str">
        <x:v>Webb v Ashworth &amp; Partners</x:v>
      </x:c>
      <x:c r="F434" s="16" t="n">
        <x:v>46248.65531836806</x:v>
      </x:c>
      <x:c r="G434" s="15" t="str">
        <x:v>case</x:v>
      </x:c>
      <x:c r="H434" s="15" t="str">
        <x:v>case:2015 ewca civ 1146</x:v>
      </x:c>
      <x:c r="I434" s="15" t="str">
        <x:v>Wellesley Partners LLP v Withers LLP [2015] EWCA Civ 1146</x:v>
      </x:c>
      <x:c r="J434" s="15" t="str"/>
      <x:c r="K434" s="15" t="str">
        <x:v>5bbb3770-46d1-41af-b347-aa54ea9834ba</x:v>
      </x:c>
      <x:c r="L434" s="15" t="str"/>
      <x:c r="M434" s="15" t="n">
        <x:v>3</x:v>
      </x:c>
      <x:c r="N434" s="15" t="str">
        <x:v>factualFindings.chronology[1].sourceCases[0] | legalFramework.statutoryProvisions[0].sourceCases[0] | reasoningStructure[0].sourceCases[0]</x:v>
      </x:c>
    </x:row>
    <x:row r="435">
      <x:c r="A435" s="1" t="str">
        <x:v>U0434</x:v>
      </x:c>
      <x:c r="B435" s="1" t="str">
        <x:v>cmst49zw4001104l7neqlaa0v</x:v>
      </x:c>
      <x:c r="C435" s="1" t="str">
        <x:v>skeleton-args-ca2024009268-0b828a88e0027426</x:v>
      </x:c>
      <x:c r="D435" s="1" t="str">
        <x:v>synthetic</x:v>
      </x:c>
      <x:c r="E435" s="15" t="str">
        <x:v>Webb v Ashworth &amp; Partners</x:v>
      </x:c>
      <x:c r="F435" s="16" t="n">
        <x:v>46248.65531836806</x:v>
      </x:c>
      <x:c r="G435" s="15" t="str">
        <x:v>case</x:v>
      </x:c>
      <x:c r="H435" s="15" t="str">
        <x:v>case:2015 ewca civ 400</x:v>
      </x:c>
      <x:c r="I435" s="15" t="str">
        <x:v>Procter v Raleys Solicitors [2015] EWCA Civ 400</x:v>
      </x:c>
      <x:c r="J435" s="15" t="str"/>
      <x:c r="K435" s="15" t="str">
        <x:v>2bd10c54-07db-4985-85eb-0568607ef9f3</x:v>
      </x:c>
      <x:c r="L435" s="15" t="str"/>
      <x:c r="M435" s="15" t="n">
        <x:v>1</x:v>
      </x:c>
      <x:c r="N435" s="15" t="str">
        <x:v>factualFindings.contestedFacts[0].sourceCases[0]</x:v>
      </x:c>
    </x:row>
    <x:row r="436">
      <x:c r="A436" s="1" t="str">
        <x:v>U0435</x:v>
      </x:c>
      <x:c r="B436" s="1" t="str">
        <x:v>cmst49zw4001104l7neqlaa0v</x:v>
      </x:c>
      <x:c r="C436" s="1" t="str">
        <x:v>skeleton-args-ca2024009268-0b828a88e0027426</x:v>
      </x:c>
      <x:c r="D436" s="1" t="str">
        <x:v>synthetic</x:v>
      </x:c>
      <x:c r="E436" s="15" t="str">
        <x:v>Webb v Ashworth &amp; Partners</x:v>
      </x:c>
      <x:c r="F436" s="16" t="n">
        <x:v>46248.65531836806</x:v>
      </x:c>
      <x:c r="G436" s="15" t="str">
        <x:v>case</x:v>
      </x:c>
      <x:c r="H436" s="15" t="str">
        <x:v>case:goldsmith williams solicitors v e surv ltd</x:v>
      </x:c>
      <x:c r="I436" s="15" t="str">
        <x:v>Goldsmith Williams Solicitors v E.Surv Ltd</x:v>
      </x:c>
      <x:c r="J436" s="15" t="str"/>
      <x:c r="K436" s="15" t="str">
        <x:v>3939ad83-3116-4c2b-9d35-73b063345d71</x:v>
      </x:c>
      <x:c r="L436" s="15" t="str"/>
      <x:c r="M436" s="15" t="n">
        <x:v>3</x:v>
      </x:c>
      <x:c r="N436" s="15" t="str">
        <x:v>factualFindings.contestedFacts[1].sourceCases[0] | issuesForDetermination.issueMatrix[1].sourceCases[0] | reasoningStructure[1].sourceCases[0]</x:v>
      </x:c>
    </x:row>
    <x:row r="437">
      <x:c r="A437" s="1" t="str">
        <x:v>U0436</x:v>
      </x:c>
      <x:c r="B437" s="1" t="str">
        <x:v>cmst49zw4001104l7neqlaa0v</x:v>
      </x:c>
      <x:c r="C437" s="1" t="str">
        <x:v>skeleton-args-ca2024009268-0b828a88e0027426</x:v>
      </x:c>
      <x:c r="D437" s="1" t="str">
        <x:v>synthetic</x:v>
      </x:c>
      <x:c r="E437" s="15" t="str">
        <x:v>Webb v Ashworth &amp; Partners</x:v>
      </x:c>
      <x:c r="F437" s="16" t="n">
        <x:v>46248.65531836806</x:v>
      </x:c>
      <x:c r="G437" s="15" t="str">
        <x:v>case</x:v>
      </x:c>
      <x:c r="H437" s="15" t="str">
        <x:v>case:main &amp; orsv v giambrone &amp; law 2017</x:v>
      </x:c>
      <x:c r="I437" s="15" t="str">
        <x:v>Main &amp; Orsv v Giambrone &amp; Law (2017)</x:v>
      </x:c>
      <x:c r="J437" s="15" t="str"/>
      <x:c r="K437" s="15" t="str">
        <x:v>5b3c080f-c58b-40db-acc4-59aca37b2a05</x:v>
      </x:c>
      <x:c r="L437" s="15" t="str"/>
      <x:c r="M437" s="15" t="n">
        <x:v>1</x:v>
      </x:c>
      <x:c r="N437" s="15" t="str">
        <x:v>issuesForDetermination.issueMatrix[0].sourceCases[0]</x:v>
      </x:c>
    </x:row>
    <x:row r="438">
      <x:c r="A438" s="1" t="str">
        <x:v>U0437</x:v>
      </x:c>
      <x:c r="B438" s="1" t="str">
        <x:v>cmst49zw4001104l7neqlaa0v</x:v>
      </x:c>
      <x:c r="C438" s="1" t="str">
        <x:v>skeleton-args-ca2024009268-0b828a88e0027426</x:v>
      </x:c>
      <x:c r="D438" s="1" t="str">
        <x:v>synthetic</x:v>
      </x:c>
      <x:c r="E438" s="15" t="str">
        <x:v>Webb v Ashworth &amp; Partners</x:v>
      </x:c>
      <x:c r="F438" s="16" t="n">
        <x:v>46248.65531836806</x:v>
      </x:c>
      <x:c r="G438" s="15" t="str">
        <x:v>legislation</x:v>
      </x:c>
      <x:c r="H438" s="15" t="str">
        <x:v>legislation:civil procedure rules part 52</x:v>
      </x:c>
      <x:c r="I438" s="15" t="str">
        <x:v>Civil Procedure Rules</x:v>
      </x:c>
      <x:c r="J438" s="15" t="str">
        <x:v>Civil Procedure Rules Part 52</x:v>
      </x:c>
      <x:c r="K438" s="15" t="str"/>
      <x:c r="L438" s="15" t="str">
        <x:v>Part 52</x:v>
      </x:c>
      <x:c r="M438" s="15" t="n">
        <x:v>2</x:v>
      </x:c>
      <x:c r="N438" s="15" t="str">
        <x:v>legalFramework.legalTestSummaries[1].sourceAuthority | legalFramework.statutoryProvisions[2]</x:v>
      </x:c>
    </x:row>
    <x:row r="439">
      <x:c r="A439" s="1" t="str">
        <x:v>U0438</x:v>
      </x:c>
      <x:c r="B439" s="1" t="str">
        <x:v>cmst49zw4001104l7neqlaa0v</x:v>
      </x:c>
      <x:c r="C439" s="1" t="str">
        <x:v>skeleton-args-ca2024009268-0b828a88e0027426</x:v>
      </x:c>
      <x:c r="D439" s="1" t="str">
        <x:v>synthetic</x:v>
      </x:c>
      <x:c r="E439" s="15" t="str">
        <x:v>Webb v Ashworth &amp; Partners</x:v>
      </x:c>
      <x:c r="F439" s="16" t="n">
        <x:v>46248.65531836806</x:v>
      </x:c>
      <x:c r="G439" s="15" t="str">
        <x:v>legislation</x:v>
      </x:c>
      <x:c r="H439" s="15" t="str">
        <x:v>legislation:senior courts act 1981 s 35a</x:v>
      </x:c>
      <x:c r="I439" s="15" t="str">
        <x:v>Senior Courts Act 1981</x:v>
      </x:c>
      <x:c r="J439" s="15" t="str">
        <x:v>Senior Courts Act 1981 section 35A</x:v>
      </x:c>
      <x:c r="K439" s="15" t="str"/>
      <x:c r="L439" s="15" t="str">
        <x:v>section 35A</x:v>
      </x:c>
      <x:c r="M439" s="15" t="n">
        <x:v>2</x:v>
      </x:c>
      <x:c r="N439" s="15" t="str">
        <x:v>decisionAndDisposition.interest.statutoryBasis | legalFramework.statutoryProvisions[1]</x:v>
      </x:c>
    </x:row>
    <x:row r="440">
      <x:c r="A440" s="1" t="str">
        <x:v>U0439</x:v>
      </x:c>
      <x:c r="B440" s="1" t="str">
        <x:v>cmst49zw4001104l7neqlaa0v</x:v>
      </x:c>
      <x:c r="C440" s="1" t="str">
        <x:v>skeleton-args-ca2024009268-0b828a88e0027426</x:v>
      </x:c>
      <x:c r="D440" s="1" t="str">
        <x:v>synthetic</x:v>
      </x:c>
      <x:c r="E440" s="15" t="str">
        <x:v>Webb v Ashworth &amp; Partners</x:v>
      </x:c>
      <x:c r="F440" s="16" t="n">
        <x:v>46248.65531836806</x:v>
      </x:c>
      <x:c r="G440" s="15" t="str">
        <x:v>legislation</x:v>
      </x:c>
      <x:c r="H440" s="15" t="str">
        <x:v>legislation:solicitors act 1974</x:v>
      </x:c>
      <x:c r="I440" s="15" t="str">
        <x:v>Solicitors Act 1974</x:v>
      </x:c>
      <x:c r="J440" s="15" t="str">
        <x:v>Solicitors Act 1974</x:v>
      </x:c>
      <x:c r="K440" s="15" t="str"/>
      <x:c r="L440" s="15" t="str"/>
      <x:c r="M440" s="15" t="n">
        <x:v>1</x:v>
      </x:c>
      <x:c r="N440" s="15" t="str">
        <x:v>legalFramework.legalTestSummaries[0].sourceAuthority</x:v>
      </x:c>
    </x:row>
    <x:row r="441">
      <x:c r="A441" s="1" t="str">
        <x:v>U0440</x:v>
      </x:c>
      <x:c r="B441" s="1" t="str">
        <x:v>cmst49zw4001104l7neqlaa0v</x:v>
      </x:c>
      <x:c r="C441" s="1" t="str">
        <x:v>skeleton-args-ca2024009268-0b828a88e0027426</x:v>
      </x:c>
      <x:c r="D441" s="1" t="str">
        <x:v>synthetic</x:v>
      </x:c>
      <x:c r="E441" s="15" t="str">
        <x:v>Webb v Ashworth &amp; Partners</x:v>
      </x:c>
      <x:c r="F441" s="16" t="n">
        <x:v>46248.65531836806</x:v>
      </x:c>
      <x:c r="G441" s="15" t="str">
        <x:v>legislation</x:v>
      </x:c>
      <x:c r="H441" s="15" t="str">
        <x:v>legislation:solicitors act 1974 s 1</x:v>
      </x:c>
      <x:c r="I441" s="15" t="str">
        <x:v>Solicitors Act 1974</x:v>
      </x:c>
      <x:c r="J441" s="15" t="str">
        <x:v>Solicitors Act 1974 section 1</x:v>
      </x:c>
      <x:c r="K441" s="15" t="str"/>
      <x:c r="L441" s="15" t="str">
        <x:v>section 1</x:v>
      </x:c>
      <x:c r="M441" s="15" t="n">
        <x:v>1</x:v>
      </x:c>
      <x:c r="N441" s="15" t="str">
        <x:v>legalFramework.statutoryProvisions[0]</x:v>
      </x:c>
    </x:row>
    <x:row r="442">
      <x:c r="A442" s="1" t="str">
        <x:v>U0441</x:v>
      </x:c>
      <x:c r="B442" s="1" t="str">
        <x:v>cmst49zw4001104l7neqlaa0v</x:v>
      </x:c>
      <x:c r="C442" s="1" t="str">
        <x:v>skeleton-args-ca2024009268-0b828a88e0027426</x:v>
      </x:c>
      <x:c r="D442" s="1" t="str">
        <x:v>synthetic</x:v>
      </x:c>
      <x:c r="E442" s="15" t="str">
        <x:v>Webb v Ashworth &amp; Partners</x:v>
      </x:c>
      <x:c r="F442" s="16" t="n">
        <x:v>46248.65531836806</x:v>
      </x:c>
      <x:c r="G442" s="15" t="str">
        <x:v>other</x:v>
      </x:c>
      <x:c r="H442" s="15" t="str">
        <x:v>other:2000 1 wlr 377</x:v>
      </x:c>
      <x:c r="I442" s="15" t="str">
        <x:v>[2000] 1 WLR 377</x:v>
      </x:c>
      <x:c r="J442" s="15" t="str">
        <x:v>[2000] 1 WLR 377</x:v>
      </x:c>
      <x:c r="K442" s="15" t="str"/>
      <x:c r="L442" s="15" t="str"/>
      <x:c r="M442" s="15" t="n">
        <x:v>1</x:v>
      </x:c>
      <x:c r="N442" s="15" t="str">
        <x:v>legalFramework.precedentCitations[1]</x:v>
      </x:c>
    </x:row>
    <x:row r="443">
      <x:c r="A443" s="1" t="str">
        <x:v>U0442</x:v>
      </x:c>
      <x:c r="B443" s="1" t="str">
        <x:v>cmst4fdgx001l04l7p4wrw7w7</x:v>
      </x:c>
      <x:c r="C443" s="1" t="str">
        <x:v>skeleton-args-ca2025001247-4e7222cd1e12236a</x:v>
      </x:c>
      <x:c r="D443" s="1" t="str">
        <x:v>synthetic</x:v>
      </x:c>
      <x:c r="E443" s="15" t="str">
        <x:v>Thornton v GlobalTech Solutions Ltd</x:v>
      </x:c>
      <x:c r="F443" s="16" t="n">
        <x:v>46248.658222025464</x:v>
      </x:c>
      <x:c r="G443" s="15" t="str">
        <x:v>case</x:v>
      </x:c>
      <x:c r="H443" s="15" t="str">
        <x:v>case:2014 ewca civ 658</x:v>
      </x:c>
      <x:c r="I443" s="15" t="str">
        <x:v>Co-Operative Group Ltd v Baddeley</x:v>
      </x:c>
      <x:c r="J443" s="15" t="str">
        <x:v>[2014] EWCA Civ 658</x:v>
      </x:c>
      <x:c r="K443" s="15" t="str">
        <x:v>0b85ba33-95d2-4cf3-a08d-ed6833230187</x:v>
      </x:c>
      <x:c r="L443" s="15" t="str"/>
      <x:c r="M443" s="15" t="n">
        <x:v>1</x:v>
      </x:c>
      <x:c r="N443" s="15" t="str">
        <x:v>factualFindings.chronology[1].sourceCases[0]</x:v>
      </x:c>
    </x:row>
    <x:row r="444">
      <x:c r="A444" s="1" t="str">
        <x:v>U0443</x:v>
      </x:c>
      <x:c r="B444" s="1" t="str">
        <x:v>cmst4fdgx001l04l7p4wrw7w7</x:v>
      </x:c>
      <x:c r="C444" s="1" t="str">
        <x:v>skeleton-args-ca2025001247-4e7222cd1e12236a</x:v>
      </x:c>
      <x:c r="D444" s="1" t="str">
        <x:v>synthetic</x:v>
      </x:c>
      <x:c r="E444" s="15" t="str">
        <x:v>Thornton v GlobalTech Solutions Ltd</x:v>
      </x:c>
      <x:c r="F444" s="16" t="n">
        <x:v>46248.658222025464</x:v>
      </x:c>
      <x:c r="G444" s="15" t="str">
        <x:v>case</x:v>
      </x:c>
      <x:c r="H444" s="15" t="str">
        <x:v>case:2017 ewca civ 1050</x:v>
      </x:c>
      <x:c r="I444" s="15" t="str">
        <x:v>Chesterton Global Ltd v Nurmohamed (2017) EWCA Civ 1050</x:v>
      </x:c>
      <x:c r="J444" s="15" t="str">
        <x:v>Chesterton Global Ltd v Nurmohamed (2017) EWCA Civ 1050</x:v>
      </x:c>
      <x:c r="K444" s="15" t="str"/>
      <x:c r="L444" s="15" t="str"/>
      <x:c r="M444" s="15" t="n">
        <x:v>1</x:v>
      </x:c>
      <x:c r="N444" s="15" t="str">
        <x:v>legalFramework.precedentCitations[0]</x:v>
      </x:c>
    </x:row>
    <x:row r="445">
      <x:c r="A445" s="1" t="str">
        <x:v>U0444</x:v>
      </x:c>
      <x:c r="B445" s="1" t="str">
        <x:v>cmst4fdgx001l04l7p4wrw7w7</x:v>
      </x:c>
      <x:c r="C445" s="1" t="str">
        <x:v>skeleton-args-ca2025001247-4e7222cd1e12236a</x:v>
      </x:c>
      <x:c r="D445" s="1" t="str">
        <x:v>synthetic</x:v>
      </x:c>
      <x:c r="E445" s="15" t="str">
        <x:v>Thornton v GlobalTech Solutions Ltd</x:v>
      </x:c>
      <x:c r="F445" s="16" t="n">
        <x:v>46248.658222025464</x:v>
      </x:c>
      <x:c r="G445" s="15" t="str">
        <x:v>case</x:v>
      </x:c>
      <x:c r="H445" s="15" t="str">
        <x:v>case:2019 ewca civ 1632</x:v>
      </x:c>
      <x:c r="I445" s="15" t="str">
        <x:v>Royal Mail Ltd v Jhuti (2019) EWCA Civ 1632</x:v>
      </x:c>
      <x:c r="J445" s="15" t="str">
        <x:v>Royal Mail Ltd v Jhuti (2019) EWCA Civ 1632</x:v>
      </x:c>
      <x:c r="K445" s="15" t="str">
        <x:v>384e0c8e-cdd6-4cc9-b403-66e1f4f34acd</x:v>
      </x:c>
      <x:c r="L445" s="15" t="str"/>
      <x:c r="M445" s="15" t="n">
        <x:v>6</x:v>
      </x:c>
      <x:c r="N445" s="15" t="str">
        <x:v>factualFindings.contestedFacts[0].sourceCases[1] | issuesForDetermination.issueMatrix[0].sourceCases[1] | legalFramework.legalTestSummaries[0].sourceAuthority | legalFramework.precedentCitations[1] | legalFramework.statutoryProvisions[0].sourceCases[0] | reasoningStructure[0].sourceCases[1]</x:v>
      </x:c>
    </x:row>
    <x:row r="446">
      <x:c r="A446" s="1" t="str">
        <x:v>U0445</x:v>
      </x:c>
      <x:c r="B446" s="1" t="str">
        <x:v>cmst4fdgx001l04l7p4wrw7w7</x:v>
      </x:c>
      <x:c r="C446" s="1" t="str">
        <x:v>skeleton-args-ca2025001247-4e7222cd1e12236a</x:v>
      </x:c>
      <x:c r="D446" s="1" t="str">
        <x:v>synthetic</x:v>
      </x:c>
      <x:c r="E446" s="15" t="str">
        <x:v>Thornton v GlobalTech Solutions Ltd</x:v>
      </x:c>
      <x:c r="F446" s="16" t="n">
        <x:v>46248.658222025464</x:v>
      </x:c>
      <x:c r="G446" s="15" t="str">
        <x:v>case</x:v>
      </x:c>
      <x:c r="H446" s="15" t="str">
        <x:v>case:beatt v croydon health services nhs trust</x:v>
      </x:c>
      <x:c r="I446" s="15" t="str">
        <x:v>Beatt v Croydon Health Services NHS Trust</x:v>
      </x:c>
      <x:c r="J446" s="15" t="str">
        <x:v>Beatt v Croydon Health Services NHS Trust</x:v>
      </x:c>
      <x:c r="K446" s="15" t="str">
        <x:v>27be67b1-3e6c-4a07-90e1-cbb8420b8cee</x:v>
      </x:c>
      <x:c r="L446" s="15" t="str"/>
      <x:c r="M446" s="15" t="n">
        <x:v>4</x:v>
      </x:c>
      <x:c r="N446" s="15" t="str">
        <x:v>factualFindings.contestedFacts[1].sourceCases[0] | issuesForDetermination.issueMatrix[1].sourceCases[0] | legalFramework.legalTestSummaries[1].sourceAuthority | reasoningStructure[1].sourceCases[0]</x:v>
      </x:c>
    </x:row>
    <x:row r="447">
      <x:c r="A447" s="1" t="str">
        <x:v>U0446</x:v>
      </x:c>
      <x:c r="B447" s="1" t="str">
        <x:v>cmst4fdgx001l04l7p4wrw7w7</x:v>
      </x:c>
      <x:c r="C447" s="1" t="str">
        <x:v>skeleton-args-ca2025001247-4e7222cd1e12236a</x:v>
      </x:c>
      <x:c r="D447" s="1" t="str">
        <x:v>synthetic</x:v>
      </x:c>
      <x:c r="E447" s="15" t="str">
        <x:v>Thornton v GlobalTech Solutions Ltd</x:v>
      </x:c>
      <x:c r="F447" s="16" t="n">
        <x:v>46248.658222025464</x:v>
      </x:c>
      <x:c r="G447" s="15" t="str">
        <x:v>case</x:v>
      </x:c>
      <x:c r="H447" s="15" t="str">
        <x:v>case:chesterton global ltd v nurmohamed</x:v>
      </x:c>
      <x:c r="I447" s="15" t="str">
        <x:v>Chesterton Global Ltd v Nurmohamed</x:v>
      </x:c>
      <x:c r="J447" s="15" t="str"/>
      <x:c r="K447" s="15" t="str">
        <x:v>8b6843e2-a05d-4712-8f61-9132cd4bb585</x:v>
      </x:c>
      <x:c r="L447" s="15" t="str"/>
      <x:c r="M447" s="15" t="n">
        <x:v>3</x:v>
      </x:c>
      <x:c r="N447" s="15" t="str">
        <x:v>factualFindings.contestedFacts[0].sourceCases[0] | issuesForDetermination.issueMatrix[0].sourceCases[0] | reasoningStructure[0].sourceCases[0]</x:v>
      </x:c>
    </x:row>
    <x:row r="448">
      <x:c r="A448" s="1" t="str">
        <x:v>U0447</x:v>
      </x:c>
      <x:c r="B448" s="1" t="str">
        <x:v>cmst4fdgx001l04l7p4wrw7w7</x:v>
      </x:c>
      <x:c r="C448" s="1" t="str">
        <x:v>skeleton-args-ca2025001247-4e7222cd1e12236a</x:v>
      </x:c>
      <x:c r="D448" s="1" t="str">
        <x:v>synthetic</x:v>
      </x:c>
      <x:c r="E448" s="15" t="str">
        <x:v>Thornton v GlobalTech Solutions Ltd</x:v>
      </x:c>
      <x:c r="F448" s="16" t="n">
        <x:v>46248.658222025464</x:v>
      </x:c>
      <x:c r="G448" s="15" t="str">
        <x:v>legislation</x:v>
      </x:c>
      <x:c r="H448" s="15" t="str">
        <x:v>legislation:employment rights act 1996 103a</x:v>
      </x:c>
      <x:c r="I448" s="15" t="str">
        <x:v>Employment Rights Act 1996</x:v>
      </x:c>
      <x:c r="J448" s="15" t="str">
        <x:v>Employment Rights Act 1996 103A</x:v>
      </x:c>
      <x:c r="K448" s="15" t="str"/>
      <x:c r="L448" s="15" t="str">
        <x:v>103A</x:v>
      </x:c>
      <x:c r="M448" s="15" t="n">
        <x:v>1</x:v>
      </x:c>
      <x:c r="N448" s="15" t="str">
        <x:v>legalFramework.statutoryProvisions[0]</x:v>
      </x:c>
    </x:row>
    <x:row r="449">
      <x:c r="A449" s="1" t="str">
        <x:v>U0448</x:v>
      </x:c>
      <x:c r="B449" s="1" t="str">
        <x:v>cmst4fdgx001l04l7p4wrw7w7</x:v>
      </x:c>
      <x:c r="C449" s="1" t="str">
        <x:v>skeleton-args-ca2025001247-4e7222cd1e12236a</x:v>
      </x:c>
      <x:c r="D449" s="1" t="str">
        <x:v>synthetic</x:v>
      </x:c>
      <x:c r="E449" s="15" t="str">
        <x:v>Thornton v GlobalTech Solutions Ltd</x:v>
      </x:c>
      <x:c r="F449" s="16" t="n">
        <x:v>46248.658222025464</x:v>
      </x:c>
      <x:c r="G449" s="15" t="str">
        <x:v>legislation</x:v>
      </x:c>
      <x:c r="H449" s="15" t="str">
        <x:v>legislation:senior courts act 1981 s 35a</x:v>
      </x:c>
      <x:c r="I449" s="15" t="str">
        <x:v>Senior Courts Act 1981, s.35A</x:v>
      </x:c>
      <x:c r="J449" s="15" t="str">
        <x:v>Senior Courts Act 1981, s.35A</x:v>
      </x:c>
      <x:c r="K449" s="15" t="str"/>
      <x:c r="L449" s="15" t="str"/>
      <x:c r="M449" s="15" t="n">
        <x:v>1</x:v>
      </x:c>
      <x:c r="N449" s="15" t="str">
        <x:v>decisionAndDisposition.interest.statutoryBasis</x:v>
      </x:c>
    </x:row>
    <x:row r="450">
      <x:c r="A450" s="1" t="str">
        <x:v>U0449</x:v>
      </x:c>
      <x:c r="B450" s="1" t="str">
        <x:v>cmst4kl1t000h04js7g8j67zy</x:v>
      </x:c>
      <x:c r="C450" s="1" t="str">
        <x:v>skeleton-args-ca2019005474-f7265b45a4e3f0ae</x:v>
      </x:c>
      <x:c r="D450" s="1" t="str">
        <x:v>synthetic</x:v>
      </x:c>
      <x:c r="E450" s="15" t="str">
        <x:v>Heritage Brewing Company Ltd v Traditional Ales Holdings Plc</x:v>
      </x:c>
      <x:c r="F450" s="16" t="n">
        <x:v>46248.661035729165</x:v>
      </x:c>
      <x:c r="G450" s="15" t="str">
        <x:v>case</x:v>
      </x:c>
      <x:c r="H450" s="15" t="str">
        <x:v>case:2016 ewca civ 41</x:v>
      </x:c>
      <x:c r="I450" s="15" t="str">
        <x:v>Comic Enterprises Ltd v Twentieth Century Fox Film Corporation</x:v>
      </x:c>
      <x:c r="J450" s="15" t="str">
        <x:v>[2016] EWCA Civ 41</x:v>
      </x:c>
      <x:c r="K450" s="15" t="str">
        <x:v>b88b59e2-6c25-4730-93fe-b134e9a5176b</x:v>
      </x:c>
      <x:c r="L450" s="15" t="str"/>
      <x:c r="M450" s="15" t="n">
        <x:v>3</x:v>
      </x:c>
      <x:c r="N450" s="15" t="str">
        <x:v>factualFindings.contestedFacts[1].sourceCases[0] | issuesForDetermination.issueMatrix[1].sourceCases[0] | reasoningStructure[1].sourceCases[0]</x:v>
      </x:c>
    </x:row>
    <x:row r="451">
      <x:c r="A451" s="1" t="str">
        <x:v>U0450</x:v>
      </x:c>
      <x:c r="B451" s="1" t="str">
        <x:v>cmst4kl1t000h04js7g8j67zy</x:v>
      </x:c>
      <x:c r="C451" s="1" t="str">
        <x:v>skeleton-args-ca2019005474-f7265b45a4e3f0ae</x:v>
      </x:c>
      <x:c r="D451" s="1" t="str">
        <x:v>synthetic</x:v>
      </x:c>
      <x:c r="E451" s="15" t="str">
        <x:v>Heritage Brewing Company Ltd v Traditional Ales Holdings Plc</x:v>
      </x:c>
      <x:c r="F451" s="16" t="n">
        <x:v>46248.661035729165</x:v>
      </x:c>
      <x:c r="G451" s="15" t="str">
        <x:v>case</x:v>
      </x:c>
      <x:c r="H451" s="15" t="str">
        <x:v>case:2022 ewca civ 1433</x:v>
      </x:c>
      <x:c r="I451" s="15" t="str">
        <x:v>Lidl Great Britain Ltd &amp; Lidl Stiftung &amp; Co KG v Tesco Stores Ltd &amp; Tesco PLC</x:v>
      </x:c>
      <x:c r="J451" s="15" t="str">
        <x:v>[2022] EWCA Civ 1433</x:v>
      </x:c>
      <x:c r="K451" s="15" t="str">
        <x:v>lidl_case_id</x:v>
      </x:c>
      <x:c r="L451" s="15" t="str"/>
      <x:c r="M451" s="15" t="n">
        <x:v>3</x:v>
      </x:c>
      <x:c r="N451" s="15" t="str">
        <x:v>issuesForDetermination.issueMatrix[0].sourceCases[0] | legalFramework.precedentCitations[0].sourceCases[0] | reasoningStructure[0].sourceCases[0]</x:v>
      </x:c>
    </x:row>
    <x:row r="452">
      <x:c r="A452" s="1" t="str">
        <x:v>U0451</x:v>
      </x:c>
      <x:c r="B452" s="1" t="str">
        <x:v>cmst4kl1t000h04js7g8j67zy</x:v>
      </x:c>
      <x:c r="C452" s="1" t="str">
        <x:v>skeleton-args-ca2019005474-f7265b45a4e3f0ae</x:v>
      </x:c>
      <x:c r="D452" s="1" t="str">
        <x:v>synthetic</x:v>
      </x:c>
      <x:c r="E452" s="15" t="str">
        <x:v>Heritage Brewing Company Ltd v Traditional Ales Holdings Plc</x:v>
      </x:c>
      <x:c r="F452" s="16" t="n">
        <x:v>46248.661035729165</x:v>
      </x:c>
      <x:c r="G452" s="15" t="str">
        <x:v>case</x:v>
      </x:c>
      <x:c r="H452" s="15" t="str">
        <x:v>case:flannery v halifax estate agencies ltd</x:v>
      </x:c>
      <x:c r="I452" s="15" t="str">
        <x:v>Flannery v Halifax Estate Agencies Ltd</x:v>
      </x:c>
      <x:c r="J452" s="15" t="str">
        <x:v>Flannery v Halifax Estate Agencies Ltd</x:v>
      </x:c>
      <x:c r="K452" s="15" t="str"/>
      <x:c r="L452" s="15" t="str"/>
      <x:c r="M452" s="15" t="n">
        <x:v>1</x:v>
      </x:c>
      <x:c r="N452" s="15" t="str">
        <x:v>legalFramework.precedentCitations[1]</x:v>
      </x:c>
    </x:row>
    <x:row r="453">
      <x:c r="A453" s="1" t="str">
        <x:v>U0452</x:v>
      </x:c>
      <x:c r="B453" s="1" t="str">
        <x:v>cmst4kl1t000h04js7g8j67zy</x:v>
      </x:c>
      <x:c r="C453" s="1" t="str">
        <x:v>skeleton-args-ca2019005474-f7265b45a4e3f0ae</x:v>
      </x:c>
      <x:c r="D453" s="1" t="str">
        <x:v>synthetic</x:v>
      </x:c>
      <x:c r="E453" s="15" t="str">
        <x:v>Heritage Brewing Company Ltd v Traditional Ales Holdings Plc</x:v>
      </x:c>
      <x:c r="F453" s="16" t="n">
        <x:v>46248.661035729165</x:v>
      </x:c>
      <x:c r="G453" s="15" t="str">
        <x:v>case</x:v>
      </x:c>
      <x:c r="H453" s="15" t="str">
        <x:v>case:phones 4u ltd v phone4u co uk internet ltd</x:v>
      </x:c>
      <x:c r="I453" s="15" t="str">
        <x:v>Phones 4U Ltd v Phone4u.co.uk Internet Ltd</x:v>
      </x:c>
      <x:c r="J453" s="15" t="str">
        <x:v>Phones 4U Ltd v Phone4u.co.uk Internet Ltd</x:v>
      </x:c>
      <x:c r="K453" s="15" t="str"/>
      <x:c r="L453" s="15" t="str"/>
      <x:c r="M453" s="15" t="n">
        <x:v>1</x:v>
      </x:c>
      <x:c r="N453" s="15" t="str">
        <x:v>legalFramework.precedentCitations[0]</x:v>
      </x:c>
    </x:row>
    <x:row r="454">
      <x:c r="A454" s="1" t="str">
        <x:v>U0453</x:v>
      </x:c>
      <x:c r="B454" s="1" t="str">
        <x:v>cmst4kl1t000h04js7g8j67zy</x:v>
      </x:c>
      <x:c r="C454" s="1" t="str">
        <x:v>skeleton-args-ca2019005474-f7265b45a4e3f0ae</x:v>
      </x:c>
      <x:c r="D454" s="1" t="str">
        <x:v>synthetic</x:v>
      </x:c>
      <x:c r="E454" s="15" t="str">
        <x:v>Heritage Brewing Company Ltd v Traditional Ales Holdings Plc</x:v>
      </x:c>
      <x:c r="F454" s="16" t="n">
        <x:v>46248.661035729165</x:v>
      </x:c>
      <x:c r="G454" s="15" t="str">
        <x:v>legislation</x:v>
      </x:c>
      <x:c r="H454" s="15" t="str">
        <x:v>legislation:intellectual property act 2014 s 5a</x:v>
      </x:c>
      <x:c r="I454" s="15" t="str">
        <x:v>Intellectual Property Act 2014</x:v>
      </x:c>
      <x:c r="J454" s="15" t="str">
        <x:v>Intellectual Property Act 2014 Section 5A</x:v>
      </x:c>
      <x:c r="K454" s="15" t="str"/>
      <x:c r="L454" s="15" t="str">
        <x:v>Section 5A</x:v>
      </x:c>
      <x:c r="M454" s="15" t="n">
        <x:v>1</x:v>
      </x:c>
      <x:c r="N454" s="15" t="str">
        <x:v>legalFramework.statutoryProvisions[1]</x:v>
      </x:c>
    </x:row>
    <x:row r="455">
      <x:c r="A455" s="1" t="str">
        <x:v>U0454</x:v>
      </x:c>
      <x:c r="B455" s="1" t="str">
        <x:v>cmst4kl1t000h04js7g8j67zy</x:v>
      </x:c>
      <x:c r="C455" s="1" t="str">
        <x:v>skeleton-args-ca2019005474-f7265b45a4e3f0ae</x:v>
      </x:c>
      <x:c r="D455" s="1" t="str">
        <x:v>synthetic</x:v>
      </x:c>
      <x:c r="E455" s="15" t="str">
        <x:v>Heritage Brewing Company Ltd v Traditional Ales Holdings Plc</x:v>
      </x:c>
      <x:c r="F455" s="16" t="n">
        <x:v>46248.661035729165</x:v>
      </x:c>
      <x:c r="G455" s="15" t="str">
        <x:v>legislation</x:v>
      </x:c>
      <x:c r="H455" s="15" t="str">
        <x:v>legislation:senior courts act 1981 s 35a</x:v>
      </x:c>
      <x:c r="I455" s="15" t="str">
        <x:v>Senior Courts Act 1981, s.35A</x:v>
      </x:c>
      <x:c r="J455" s="15" t="str">
        <x:v>Senior Courts Act 1981, s.35A</x:v>
      </x:c>
      <x:c r="K455" s="15" t="str"/>
      <x:c r="L455" s="15" t="str"/>
      <x:c r="M455" s="15" t="n">
        <x:v>1</x:v>
      </x:c>
      <x:c r="N455" s="15" t="str">
        <x:v>decisionAndDisposition.interest.statutoryBasis</x:v>
      </x:c>
    </x:row>
    <x:row r="456">
      <x:c r="A456" s="1" t="str">
        <x:v>U0455</x:v>
      </x:c>
      <x:c r="B456" s="1" t="str">
        <x:v>cmst4kl1t000h04js7g8j67zy</x:v>
      </x:c>
      <x:c r="C456" s="1" t="str">
        <x:v>skeleton-args-ca2019005474-f7265b45a4e3f0ae</x:v>
      </x:c>
      <x:c r="D456" s="1" t="str">
        <x:v>synthetic</x:v>
      </x:c>
      <x:c r="E456" s="15" t="str">
        <x:v>Heritage Brewing Company Ltd v Traditional Ales Holdings Plc</x:v>
      </x:c>
      <x:c r="F456" s="16" t="n">
        <x:v>46248.661035729165</x:v>
      </x:c>
      <x:c r="G456" s="15" t="str">
        <x:v>legislation</x:v>
      </x:c>
      <x:c r="H456" s="15" t="str">
        <x:v>legislation:trade marks act 1994 s 5</x:v>
      </x:c>
      <x:c r="I456" s="15" t="str">
        <x:v>Trade Marks Act 1994</x:v>
      </x:c>
      <x:c r="J456" s="15" t="str">
        <x:v>Trade Marks Act 1994 Section 5</x:v>
      </x:c>
      <x:c r="K456" s="15" t="str"/>
      <x:c r="L456" s="15" t="str">
        <x:v>Section 5</x:v>
      </x:c>
      <x:c r="M456" s="15" t="n">
        <x:v>1</x:v>
      </x:c>
      <x:c r="N456" s="15" t="str">
        <x:v>legalFramework.statutoryProvisions[0]</x:v>
      </x:c>
    </x:row>
    <x:row r="457">
      <x:c r="A457" s="1" t="str">
        <x:v>U0456</x:v>
      </x:c>
      <x:c r="B457" s="1" t="str">
        <x:v>cmst7uoeu00d804l5ayb3b9q8</x:v>
      </x:c>
      <x:c r="C457" s="1" t="str">
        <x:v>skeleton-args-ca2022000651-1294462417e10289</x:v>
      </x:c>
      <x:c r="D457" s="1" t="str">
        <x:v>synthetic</x:v>
      </x:c>
      <x:c r="E457" s="15" t="str">
        <x:v>Sterling Investments Ltd v Blackwood Capital Partners LLP</x:v>
      </x:c>
      <x:c r="F457" s="16" t="n">
        <x:v>46248.72480615741</x:v>
      </x:c>
      <x:c r="G457" s="15" t="str">
        <x:v>case</x:v>
      </x:c>
      <x:c r="H457" s="15" t="str">
        <x:v>case:2000 1 wlr 377</x:v>
      </x:c>
      <x:c r="I457" s="15" t="str">
        <x:v>Flannery v Halifax Estate Agencies Ltd [2000] 1 WLR 377</x:v>
      </x:c>
      <x:c r="J457" s="15" t="str">
        <x:v>Flannery v Halifax Estate Agencies Ltd [2000] 1 WLR 377</x:v>
      </x:c>
      <x:c r="K457" s="15" t="str"/>
      <x:c r="L457" s="15" t="str"/>
      <x:c r="M457" s="15" t="n">
        <x:v>1</x:v>
      </x:c>
      <x:c r="N457" s="15" t="str">
        <x:v>legalFramework.precedentCitations[3]</x:v>
      </x:c>
    </x:row>
    <x:row r="458">
      <x:c r="A458" s="1" t="str">
        <x:v>U0457</x:v>
      </x:c>
      <x:c r="B458" s="1" t="str">
        <x:v>cmst7uoeu00d804l5ayb3b9q8</x:v>
      </x:c>
      <x:c r="C458" s="1" t="str">
        <x:v>skeleton-args-ca2022000651-1294462417e10289</x:v>
      </x:c>
      <x:c r="D458" s="1" t="str">
        <x:v>synthetic</x:v>
      </x:c>
      <x:c r="E458" s="15" t="str">
        <x:v>Sterling Investments Ltd v Blackwood Capital Partners LLP</x:v>
      </x:c>
      <x:c r="F458" s="16" t="n">
        <x:v>46248.72480615741</x:v>
      </x:c>
      <x:c r="G458" s="15" t="str">
        <x:v>case</x:v>
      </x:c>
      <x:c r="H458" s="15" t="str">
        <x:v>case:2022 ewca civ 353</x:v>
      </x:c>
      <x:c r="I458" s="15" t="str">
        <x:v>Allianz Global Investors GmbH &amp; Ors v Barclays Bank Plc &amp; Ors (Rev1)</x:v>
      </x:c>
      <x:c r="J458" s="15" t="str">
        <x:v>[2022] EWCA Civ 353</x:v>
      </x:c>
      <x:c r="K458" s="15" t="str">
        <x:v>dbcf0178-be49-4907-95d1-ab35a968b855</x:v>
      </x:c>
      <x:c r="L458" s="15" t="str"/>
      <x:c r="M458" s="15" t="n">
        <x:v>1</x:v>
      </x:c>
      <x:c r="N458" s="15" t="str">
        <x:v>factualFindings.contestedFacts[0].sourceCases[0]</x:v>
      </x:c>
    </x:row>
    <x:row r="459">
      <x:c r="A459" s="1" t="str">
        <x:v>U0458</x:v>
      </x:c>
      <x:c r="B459" s="1" t="str">
        <x:v>cmst7uoeu00d804l5ayb3b9q8</x:v>
      </x:c>
      <x:c r="C459" s="1" t="str">
        <x:v>skeleton-args-ca2022000651-1294462417e10289</x:v>
      </x:c>
      <x:c r="D459" s="1" t="str">
        <x:v>synthetic</x:v>
      </x:c>
      <x:c r="E459" s="15" t="str">
        <x:v>Sterling Investments Ltd v Blackwood Capital Partners LLP</x:v>
      </x:c>
      <x:c r="F459" s="16" t="n">
        <x:v>46248.72480615741</x:v>
      </x:c>
      <x:c r="G459" s="15" t="str">
        <x:v>case</x:v>
      </x:c>
      <x:c r="H459" s="15" t="str">
        <x:v>case:2023 ewca civ 440</x:v>
      </x:c>
      <x:c r="I459" s="15" t="str">
        <x:v>Floreat Investment Management Ltd v Churchill &amp; Ors</x:v>
      </x:c>
      <x:c r="J459" s="15" t="str">
        <x:v>[2023] EWCA Civ 440</x:v>
      </x:c>
      <x:c r="K459" s="15" t="str">
        <x:v>cfb9db03-44c0-4604-926a-a76e01575d88</x:v>
      </x:c>
      <x:c r="L459" s="15" t="str"/>
      <x:c r="M459" s="15" t="n">
        <x:v>3</x:v>
      </x:c>
      <x:c r="N459" s="15" t="str">
        <x:v>factualFindings.chronology[1].sourceCases[0] | issuesForDetermination.issueMatrix[0].sourceCases[0] | reasoningStructure[0].sourceCases[0]</x:v>
      </x:c>
    </x:row>
    <x:row r="460">
      <x:c r="A460" s="1" t="str">
        <x:v>U0459</x:v>
      </x:c>
      <x:c r="B460" s="1" t="str">
        <x:v>cmst7uoeu00d804l5ayb3b9q8</x:v>
      </x:c>
      <x:c r="C460" s="1" t="str">
        <x:v>skeleton-args-ca2022000651-1294462417e10289</x:v>
      </x:c>
      <x:c r="D460" s="1" t="str">
        <x:v>synthetic</x:v>
      </x:c>
      <x:c r="E460" s="15" t="str">
        <x:v>Sterling Investments Ltd v Blackwood Capital Partners LLP</x:v>
      </x:c>
      <x:c r="F460" s="16" t="n">
        <x:v>46248.72480615741</x:v>
      </x:c>
      <x:c r="G460" s="15" t="str">
        <x:v>case</x:v>
      </x:c>
      <x:c r="H460" s="15" t="str">
        <x:v>case:bolam v friern hospital management committee 1957</x:v>
      </x:c>
      <x:c r="I460" s="15" t="str">
        <x:v>Bolam v Friern Hospital Management Committee [1957]</x:v>
      </x:c>
      <x:c r="J460" s="15" t="str">
        <x:v>Bolam v Friern Hospital Management Committee [1957]</x:v>
      </x:c>
      <x:c r="K460" s="15" t="str"/>
      <x:c r="L460" s="15" t="str"/>
      <x:c r="M460" s="15" t="n">
        <x:v>1</x:v>
      </x:c>
      <x:c r="N460" s="15" t="str">
        <x:v>legalFramework.precedentCitations[2]</x:v>
      </x:c>
    </x:row>
    <x:row r="461">
      <x:c r="A461" s="1" t="str">
        <x:v>U0460</x:v>
      </x:c>
      <x:c r="B461" s="1" t="str">
        <x:v>cmst7uoeu00d804l5ayb3b9q8</x:v>
      </x:c>
      <x:c r="C461" s="1" t="str">
        <x:v>skeleton-args-ca2022000651-1294462417e10289</x:v>
      </x:c>
      <x:c r="D461" s="1" t="str">
        <x:v>synthetic</x:v>
      </x:c>
      <x:c r="E461" s="15" t="str">
        <x:v>Sterling Investments Ltd v Blackwood Capital Partners LLP</x:v>
      </x:c>
      <x:c r="F461" s="16" t="n">
        <x:v>46248.72480615741</x:v>
      </x:c>
      <x:c r="G461" s="15" t="str">
        <x:v>case</x:v>
      </x:c>
      <x:c r="H461" s="15" t="str">
        <x:v>case:hedley byrne &amp; co ltd v heller &amp; partners ltd 1964</x:v>
      </x:c>
      <x:c r="I461" s="15" t="str">
        <x:v>Hedley Byrne &amp; Co Ltd v Heller &amp; Partners Ltd [1964]</x:v>
      </x:c>
      <x:c r="J461" s="15" t="str">
        <x:v>Hedley Byrne &amp; Co Ltd v Heller &amp; Partners Ltd [1964]</x:v>
      </x:c>
      <x:c r="K461" s="15" t="str"/>
      <x:c r="L461" s="15" t="str"/>
      <x:c r="M461" s="15" t="n">
        <x:v>1</x:v>
      </x:c>
      <x:c r="N461" s="15" t="str">
        <x:v>legalFramework.precedentCitations[0]</x:v>
      </x:c>
    </x:row>
    <x:row r="462">
      <x:c r="A462" s="1" t="str">
        <x:v>U0461</x:v>
      </x:c>
      <x:c r="B462" s="1" t="str">
        <x:v>cmst7uoeu00d804l5ayb3b9q8</x:v>
      </x:c>
      <x:c r="C462" s="1" t="str">
        <x:v>skeleton-args-ca2022000651-1294462417e10289</x:v>
      </x:c>
      <x:c r="D462" s="1" t="str">
        <x:v>synthetic</x:v>
      </x:c>
      <x:c r="E462" s="15" t="str">
        <x:v>Sterling Investments Ltd v Blackwood Capital Partners LLP</x:v>
      </x:c>
      <x:c r="F462" s="16" t="n">
        <x:v>46248.72480615741</x:v>
      </x:c>
      <x:c r="G462" s="15" t="str">
        <x:v>case</x:v>
      </x:c>
      <x:c r="H462" s="15" t="str">
        <x:v>case:henderson v merrett syndicates ltd 1995</x:v>
      </x:c>
      <x:c r="I462" s="15" t="str">
        <x:v>Henderson v Merrett Syndicates Ltd [1995]</x:v>
      </x:c>
      <x:c r="J462" s="15" t="str">
        <x:v>Henderson v Merrett Syndicates Ltd [1995]</x:v>
      </x:c>
      <x:c r="K462" s="15" t="str"/>
      <x:c r="L462" s="15" t="str"/>
      <x:c r="M462" s="15" t="n">
        <x:v>1</x:v>
      </x:c>
      <x:c r="N462" s="15" t="str">
        <x:v>legalFramework.precedentCitations[1]</x:v>
      </x:c>
    </x:row>
    <x:row r="463">
      <x:c r="A463" s="1" t="str">
        <x:v>U0462</x:v>
      </x:c>
      <x:c r="B463" s="1" t="str">
        <x:v>cmst7uoeu00d804l5ayb3b9q8</x:v>
      </x:c>
      <x:c r="C463" s="1" t="str">
        <x:v>skeleton-args-ca2022000651-1294462417e10289</x:v>
      </x:c>
      <x:c r="D463" s="1" t="str">
        <x:v>synthetic</x:v>
      </x:c>
      <x:c r="E463" s="15" t="str">
        <x:v>Sterling Investments Ltd v Blackwood Capital Partners LLP</x:v>
      </x:c>
      <x:c r="F463" s="16" t="n">
        <x:v>46248.72480615741</x:v>
      </x:c>
      <x:c r="G463" s="15" t="str">
        <x:v>case</x:v>
      </x:c>
      <x:c r="H463" s="15" t="str">
        <x:v>case:the financial conduct authority v capital alternatives ltd &amp; ors</x:v>
      </x:c>
      <x:c r="I463" s="15" t="str">
        <x:v>The Financial Conduct Authority v Capital Alternatives Ltd &amp; Ors</x:v>
      </x:c>
      <x:c r="J463" s="15" t="str"/>
      <x:c r="K463" s="15" t="str">
        <x:v>e3367bf1-963c-47c9-aea9-8dc4a1dc25bc</x:v>
      </x:c>
      <x:c r="L463" s="15" t="str"/>
      <x:c r="M463" s="15" t="n">
        <x:v>3</x:v>
      </x:c>
      <x:c r="N463" s="15" t="str">
        <x:v>factualFindings.contestedFacts[1].sourceCases[0] | issuesForDetermination.issueMatrix[1].sourceCases[0] | reasoningStructure[1].sourceCases[0]</x:v>
      </x:c>
    </x:row>
    <x:row r="464">
      <x:c r="A464" s="1" t="str">
        <x:v>U0463</x:v>
      </x:c>
      <x:c r="B464" s="1" t="str">
        <x:v>cmst7uoeu00d804l5ayb3b9q8</x:v>
      </x:c>
      <x:c r="C464" s="1" t="str">
        <x:v>skeleton-args-ca2022000651-1294462417e10289</x:v>
      </x:c>
      <x:c r="D464" s="1" t="str">
        <x:v>synthetic</x:v>
      </x:c>
      <x:c r="E464" s="15" t="str">
        <x:v>Sterling Investments Ltd v Blackwood Capital Partners LLP</x:v>
      </x:c>
      <x:c r="F464" s="16" t="n">
        <x:v>46248.72480615741</x:v>
      </x:c>
      <x:c r="G464" s="15" t="str">
        <x:v>legislation</x:v>
      </x:c>
      <x:c r="H464" s="15" t="str">
        <x:v>legislation:financial services and markets act 2000 138d</x:v>
      </x:c>
      <x:c r="I464" s="15" t="str">
        <x:v>Financial Services and Markets Act 2000</x:v>
      </x:c>
      <x:c r="J464" s="15" t="str">
        <x:v>Financial Services and Markets Act 2000 138D</x:v>
      </x:c>
      <x:c r="K464" s="15" t="str"/>
      <x:c r="L464" s="15" t="str">
        <x:v>138D</x:v>
      </x:c>
      <x:c r="M464" s="15" t="n">
        <x:v>1</x:v>
      </x:c>
      <x:c r="N464" s="15" t="str">
        <x:v>legalFramework.statutoryProvisions[0]</x:v>
      </x:c>
    </x:row>
    <x:row r="465">
      <x:c r="A465" s="1" t="str">
        <x:v>U0464</x:v>
      </x:c>
      <x:c r="B465" s="1" t="str">
        <x:v>cmst7uoeu00d804l5ayb3b9q8</x:v>
      </x:c>
      <x:c r="C465" s="1" t="str">
        <x:v>skeleton-args-ca2022000651-1294462417e10289</x:v>
      </x:c>
      <x:c r="D465" s="1" t="str">
        <x:v>synthetic</x:v>
      </x:c>
      <x:c r="E465" s="15" t="str">
        <x:v>Sterling Investments Ltd v Blackwood Capital Partners LLP</x:v>
      </x:c>
      <x:c r="F465" s="16" t="n">
        <x:v>46248.72480615741</x:v>
      </x:c>
      <x:c r="G465" s="15" t="str">
        <x:v>legislation</x:v>
      </x:c>
      <x:c r="H465" s="15" t="str">
        <x:v>legislation:senior courts act 1981 35a</x:v>
      </x:c>
      <x:c r="I465" s="15" t="str">
        <x:v>Senior Courts Act 1981</x:v>
      </x:c>
      <x:c r="J465" s="15" t="str">
        <x:v>Senior Courts Act 1981 35A</x:v>
      </x:c>
      <x:c r="K465" s="15" t="str"/>
      <x:c r="L465" s="15" t="str">
        <x:v>35A</x:v>
      </x:c>
      <x:c r="M465" s="15" t="n">
        <x:v>2</x:v>
      </x:c>
      <x:c r="N465" s="15" t="str">
        <x:v>legalFramework.statutoryProvisions[1] | legalFramework.statutoryProvisions[2]</x:v>
      </x:c>
    </x:row>
    <x:row r="466">
      <x:c r="A466" s="1" t="str">
        <x:v>U0465</x:v>
      </x:c>
      <x:c r="B466" s="1" t="str">
        <x:v>cmst7uoeu00d804l5ayb3b9q8</x:v>
      </x:c>
      <x:c r="C466" s="1" t="str">
        <x:v>skeleton-args-ca2022000651-1294462417e10289</x:v>
      </x:c>
      <x:c r="D466" s="1" t="str">
        <x:v>synthetic</x:v>
      </x:c>
      <x:c r="E466" s="15" t="str">
        <x:v>Sterling Investments Ltd v Blackwood Capital Partners LLP</x:v>
      </x:c>
      <x:c r="F466" s="16" t="n">
        <x:v>46248.72480615741</x:v>
      </x:c>
      <x:c r="G466" s="15" t="str">
        <x:v>legislation</x:v>
      </x:c>
      <x:c r="H466" s="15" t="str">
        <x:v>legislation:senior courts act 1981 s 35a</x:v>
      </x:c>
      <x:c r="I466" s="15" t="str">
        <x:v>Senior Courts Act 1981, s.35A</x:v>
      </x:c>
      <x:c r="J466" s="15" t="str">
        <x:v>Senior Courts Act 1981, s.35A</x:v>
      </x:c>
      <x:c r="K466" s="15" t="str"/>
      <x:c r="L466" s="15" t="str"/>
      <x:c r="M466" s="15" t="n">
        <x:v>1</x:v>
      </x:c>
      <x:c r="N466" s="15" t="str">
        <x:v>decisionAndDisposition.interest.statutoryBasis</x:v>
      </x:c>
    </x:row>
    <x:row r="467">
      <x:c r="A467" s="1" t="str">
        <x:v>U0466</x:v>
      </x:c>
      <x:c r="B467" s="1" t="str">
        <x:v>cmst80ckg000h04i9rasplurj</x:v>
      </x:c>
      <x:c r="C467" s="1" t="str">
        <x:v>skeleton-args-ca2022004921-cb64a3102cee5019</x:v>
      </x:c>
      <x:c r="D467" s="1" t="str">
        <x:v>synthetic</x:v>
      </x:c>
      <x:c r="E467" s="15" t="str">
        <x:v>Thompson v Clearview Credit Services Ltd</x:v>
      </x:c>
      <x:c r="F467" s="16" t="n">
        <x:v>46248.727868483795</x:v>
      </x:c>
      <x:c r="G467" s="15" t="str">
        <x:v>case</x:v>
      </x:c>
      <x:c r="H467" s="15" t="str">
        <x:v>case:2002 ewca civ 605</x:v>
      </x:c>
      <x:c r="I467" s="15" t="str">
        <x:v>[2002] EWCA Civ 605</x:v>
      </x:c>
      <x:c r="J467" s="15" t="str">
        <x:v>[2002] EWCA Civ 605</x:v>
      </x:c>
      <x:c r="K467" s="15" t="str"/>
      <x:c r="L467" s="15" t="str"/>
      <x:c r="M467" s="15" t="n">
        <x:v>1</x:v>
      </x:c>
      <x:c r="N467" s="15" t="str">
        <x:v>legalFramework.precedentCitations[0]</x:v>
      </x:c>
    </x:row>
    <x:row r="468">
      <x:c r="A468" s="1" t="str">
        <x:v>U0467</x:v>
      </x:c>
      <x:c r="B468" s="1" t="str">
        <x:v>cmst80ckg000h04i9rasplurj</x:v>
      </x:c>
      <x:c r="C468" s="1" t="str">
        <x:v>skeleton-args-ca2022004921-cb64a3102cee5019</x:v>
      </x:c>
      <x:c r="D468" s="1" t="str">
        <x:v>synthetic</x:v>
      </x:c>
      <x:c r="E468" s="15" t="str">
        <x:v>Thompson v Clearview Credit Services Ltd</x:v>
      </x:c>
      <x:c r="F468" s="16" t="n">
        <x:v>46248.727868483795</x:v>
      </x:c>
      <x:c r="G468" s="15" t="str">
        <x:v>case</x:v>
      </x:c>
      <x:c r="H468" s="15" t="str">
        <x:v>case:2014 ewca civ 1413</x:v>
      </x:c>
      <x:c r="I468" s="15" t="str">
        <x:v>Grace &amp; Anor v Black Horse Ltd</x:v>
      </x:c>
      <x:c r="J468" s="15" t="str">
        <x:v>[2014] EWCA Civ 1413</x:v>
      </x:c>
      <x:c r="K468" s="15" t="str">
        <x:v>65645a3e-7e49-4a88-ba46-adb686908b02</x:v>
      </x:c>
      <x:c r="L468" s="15" t="str"/>
      <x:c r="M468" s="15" t="n">
        <x:v>3</x:v>
      </x:c>
      <x:c r="N468" s="15" t="str">
        <x:v>factualFindings.contestedFacts[1].sourceCases[0] | issuesForDetermination.issueMatrix[1].sourceCases[0] | reasoningStructure[1].sourceCases[0]</x:v>
      </x:c>
    </x:row>
    <x:row r="469">
      <x:c r="A469" s="1" t="str">
        <x:v>U0468</x:v>
      </x:c>
      <x:c r="B469" s="1" t="str">
        <x:v>cmst80ckg000h04i9rasplurj</x:v>
      </x:c>
      <x:c r="C469" s="1" t="str">
        <x:v>skeleton-args-ca2022004921-cb64a3102cee5019</x:v>
      </x:c>
      <x:c r="D469" s="1" t="str">
        <x:v>synthetic</x:v>
      </x:c>
      <x:c r="E469" s="15" t="str">
        <x:v>Thompson v Clearview Credit Services Ltd</x:v>
      </x:c>
      <x:c r="F469" s="16" t="n">
        <x:v>46248.727868483795</x:v>
      </x:c>
      <x:c r="G469" s="15" t="str">
        <x:v>case</x:v>
      </x:c>
      <x:c r="H469" s="15" t="str">
        <x:v>case:2015 ewca civ 311</x:v>
      </x:c>
      <x:c r="I469" s="15" t="str">
        <x:v>Google Inc v Vidal-Hall &amp; Ors</x:v>
      </x:c>
      <x:c r="J469" s="15" t="str">
        <x:v>[2015] EWCA Civ 311</x:v>
      </x:c>
      <x:c r="K469" s="15" t="str">
        <x:v>a206a973-506b-4cfb-a0fa-79b98d0ca831</x:v>
      </x:c>
      <x:c r="L469" s="15" t="str"/>
      <x:c r="M469" s="15" t="n">
        <x:v>3</x:v>
      </x:c>
      <x:c r="N469" s="15" t="str">
        <x:v>factualFindings.contestedFacts[0].sourceCases[0] | issuesForDetermination.issueMatrix[0].sourceCases[0] | reasoningStructure[0].sourceCases[0]</x:v>
      </x:c>
    </x:row>
    <x:row r="470">
      <x:c r="A470" s="1" t="str">
        <x:v>U0469</x:v>
      </x:c>
      <x:c r="B470" s="1" t="str">
        <x:v>cmst80ckg000h04i9rasplurj</x:v>
      </x:c>
      <x:c r="C470" s="1" t="str">
        <x:v>skeleton-args-ca2022004921-cb64a3102cee5019</x:v>
      </x:c>
      <x:c r="D470" s="1" t="str">
        <x:v>synthetic</x:v>
      </x:c>
      <x:c r="E470" s="15" t="str">
        <x:v>Thompson v Clearview Credit Services Ltd</x:v>
      </x:c>
      <x:c r="F470" s="16" t="n">
        <x:v>46248.727868483795</x:v>
      </x:c>
      <x:c r="G470" s="15" t="str">
        <x:v>legislation</x:v>
      </x:c>
      <x:c r="H470" s="15" t="str">
        <x:v>legislation:data protection act 2018 5 1 d</x:v>
      </x:c>
      <x:c r="I470" s="15" t="str">
        <x:v>Data Protection Act 2018</x:v>
      </x:c>
      <x:c r="J470" s="15" t="str">
        <x:v>Data Protection Act 2018 5(1)(d)</x:v>
      </x:c>
      <x:c r="K470" s="15" t="str"/>
      <x:c r="L470" s="15" t="str">
        <x:v>5(1)(d)</x:v>
      </x:c>
      <x:c r="M470" s="15" t="n">
        <x:v>1</x:v>
      </x:c>
      <x:c r="N470" s="15" t="str">
        <x:v>legalFramework.statutoryProvisions[0]</x:v>
      </x:c>
    </x:row>
    <x:row r="471">
      <x:c r="A471" s="1" t="str">
        <x:v>U0470</x:v>
      </x:c>
      <x:c r="B471" s="1" t="str">
        <x:v>cmst80ckg000h04i9rasplurj</x:v>
      </x:c>
      <x:c r="C471" s="1" t="str">
        <x:v>skeleton-args-ca2022004921-cb64a3102cee5019</x:v>
      </x:c>
      <x:c r="D471" s="1" t="str">
        <x:v>synthetic</x:v>
      </x:c>
      <x:c r="E471" s="15" t="str">
        <x:v>Thompson v Clearview Credit Services Ltd</x:v>
      </x:c>
      <x:c r="F471" s="16" t="n">
        <x:v>46248.727868483795</x:v>
      </x:c>
      <x:c r="G471" s="15" t="str">
        <x:v>legislation</x:v>
      </x:c>
      <x:c r="H471" s="15" t="str">
        <x:v>legislation:pursuant to the data protection act 2018</x:v>
      </x:c>
      <x:c r="I471" s="15" t="str">
        <x:v>Pursuant to the Data Protection Act 2018.</x:v>
      </x:c>
      <x:c r="J471" s="15" t="str">
        <x:v>Pursuant to the Data Protection Act 2018.</x:v>
      </x:c>
      <x:c r="K471" s="15" t="str"/>
      <x:c r="L471" s="15" t="str"/>
      <x:c r="M471" s="15" t="n">
        <x:v>1</x:v>
      </x:c>
      <x:c r="N471" s="15" t="str">
        <x:v>legalFramework.legalTestSummaries[0].sourceAuthority</x:v>
      </x:c>
    </x:row>
    <x:row r="472">
      <x:c r="A472" s="1" t="str">
        <x:v>U0471</x:v>
      </x:c>
      <x:c r="B472" s="1" t="str">
        <x:v>cmst80ckg000h04i9rasplurj</x:v>
      </x:c>
      <x:c r="C472" s="1" t="str">
        <x:v>skeleton-args-ca2022004921-cb64a3102cee5019</x:v>
      </x:c>
      <x:c r="D472" s="1" t="str">
        <x:v>synthetic</x:v>
      </x:c>
      <x:c r="E472" s="15" t="str">
        <x:v>Thompson v Clearview Credit Services Ltd</x:v>
      </x:c>
      <x:c r="F472" s="16" t="n">
        <x:v>46248.727868483795</x:v>
      </x:c>
      <x:c r="G472" s="15" t="str">
        <x:v>legislation</x:v>
      </x:c>
      <x:c r="H472" s="15" t="str">
        <x:v>legislation:senior courts act 1981 s 35a</x:v>
      </x:c>
      <x:c r="I472" s="15" t="str">
        <x:v>Senior Courts Act 1981</x:v>
      </x:c>
      <x:c r="J472" s="15" t="str">
        <x:v>Senior Courts Act 1981 s.35A</x:v>
      </x:c>
      <x:c r="K472" s="15" t="str"/>
      <x:c r="L472" s="15" t="str">
        <x:v>s.35A</x:v>
      </x:c>
      <x:c r="M472" s="15" t="n">
        <x:v>2</x:v>
      </x:c>
      <x:c r="N472" s="15" t="str">
        <x:v>decisionAndDisposition.interest.statutoryBasis | legalFramework.statutoryProvisions[1]</x:v>
      </x:c>
    </x:row>
    <x:row r="473">
      <x:c r="A473" s="1" t="str">
        <x:v>U0472</x:v>
      </x:c>
      <x:c r="B473" s="1" t="str">
        <x:v>cmst80ckg000h04i9rasplurj</x:v>
      </x:c>
      <x:c r="C473" s="1" t="str">
        <x:v>skeleton-args-ca2022004921-cb64a3102cee5019</x:v>
      </x:c>
      <x:c r="D473" s="1" t="str">
        <x:v>synthetic</x:v>
      </x:c>
      <x:c r="E473" s="15" t="str">
        <x:v>Thompson v Clearview Credit Services Ltd</x:v>
      </x:c>
      <x:c r="F473" s="16" t="n">
        <x:v>46248.727868483795</x:v>
      </x:c>
      <x:c r="G473" s="15" t="str">
        <x:v>other</x:v>
      </x:c>
      <x:c r="H473" s="15" t="str">
        <x:v>other:2000 1 wlr 377</x:v>
      </x:c>
      <x:c r="I473" s="15" t="str">
        <x:v>[2000] 1 WLR 377</x:v>
      </x:c>
      <x:c r="J473" s="15" t="str">
        <x:v>[2000] 1 WLR 377</x:v>
      </x:c>
      <x:c r="K473" s="15" t="str"/>
      <x:c r="L473" s="15" t="str"/>
      <x:c r="M473" s="15" t="n">
        <x:v>1</x:v>
      </x:c>
      <x:c r="N473" s="15" t="str">
        <x:v>legalFramework.precedentCitations[1]</x:v>
      </x:c>
    </x:row>
    <x:row r="474">
      <x:c r="A474" s="1" t="str">
        <x:v>U0473</x:v>
      </x:c>
      <x:c r="B474" s="1" t="str">
        <x:v>cmst80ckg000h04i9rasplurj</x:v>
      </x:c>
      <x:c r="C474" s="1" t="str">
        <x:v>skeleton-args-ca2022004921-cb64a3102cee5019</x:v>
      </x:c>
      <x:c r="D474" s="1" t="str">
        <x:v>synthetic</x:v>
      </x:c>
      <x:c r="E474" s="15" t="str">
        <x:v>Thompson v Clearview Credit Services Ltd</x:v>
      </x:c>
      <x:c r="F474" s="16" t="n">
        <x:v>46248.727868483795</x:v>
      </x:c>
      <x:c r="G474" s="15" t="str">
        <x:v>other</x:v>
      </x:c>
      <x:c r="H474" s="15" t="str">
        <x:v>other:as established in relevant case law regarding emotional and financial distress claims</x:v>
      </x:c>
      <x:c r="I474" s="15" t="str">
        <x:v>As established in relevant case law regarding emotional and financial distress claims.</x:v>
      </x:c>
      <x:c r="J474" s="15" t="str">
        <x:v>As established in relevant case law regarding emotional and financial distress claims.</x:v>
      </x:c>
      <x:c r="K474" s="15" t="str"/>
      <x:c r="L474" s="15" t="str"/>
      <x:c r="M474" s="15" t="n">
        <x:v>1</x:v>
      </x:c>
      <x:c r="N474" s="15" t="str">
        <x:v>legalFramework.legalTestSummaries[1].sourceAuthority</x:v>
      </x:c>
    </x:row>
  </x:sheetData>
  <x:pageMargins left="0.7" right="0.7" top="0.75" bottom="0.75" header="0.3" footer="0.3"/>
  <x:tableParts count="1">
    <x:tablePart xmlns:r="http://schemas.openxmlformats.org/officeDocument/2006/relationships" r:id="Rc392c36e36f94b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439998626708984" hidden="0" customWidth="1"/>
    <x:col min="2" max="2" width="10" hidden="0" customWidth="1"/>
    <x:col min="3" max="3" width="35.560001373291016" hidden="0" customWidth="1"/>
    <x:col min="4" max="4" width="35.560001373291016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3.890000343322754" hidden="0" customWidth="1"/>
    <x:col min="9" max="9" width="55.560001373291016" hidden="0" customWidth="1"/>
  </x:cols>
  <x:sheetData>
    <x:row r="1">
      <x:c r="A1" s="5" t="str">
        <x:v>authority_key</x:v>
      </x:c>
      <x:c r="B1" s="5" t="str">
        <x:v>authority_type</x:v>
      </x:c>
      <x:c r="C1" s="5" t="str">
        <x:v>representative_name</x:v>
      </x:c>
      <x:c r="D1" s="5" t="str">
        <x:v>representative_citation</x:v>
      </x:c>
      <x:c r="E1" s="5" t="str">
        <x:v>cited_in_drafts</x:v>
      </x:c>
      <x:c r="F1" s="5" t="str">
        <x:v>total_occurrences</x:v>
      </x:c>
      <x:c r="G1" s="5" t="str">
        <x:v>real_input_drafts</x:v>
      </x:c>
      <x:c r="H1" s="5" t="str">
        <x:v>synthetic_input_drafts</x:v>
      </x:c>
      <x:c r="I1" s="5" t="str">
        <x:v>draft_ids</x:v>
      </x:c>
    </x:row>
    <x:row r="2">
      <x:c r="A2" s="1" t="str">
        <x:v>case:2015 uksc 11</x:v>
      </x:c>
      <x:c r="B2" s="1" t="str">
        <x:v>case</x:v>
      </x:c>
      <x:c r="C2" s="15" t="str">
        <x:v>[2015] UKSC 11</x:v>
      </x:c>
      <x:c r="D2" s="15" t="str">
        <x:v>[2015] UKSC 11</x:v>
      </x:c>
      <x:c r="E2" s="15" t="n">
        <x:f>COUNTIF('Unique per draft'!$H$2:$H$474,A2)</x:f>
        <x:v>1</x:v>
      </x:c>
      <x:c r="F2" s="15" t="n">
        <x:f>COUNTIF('Occurrences'!$I$2:$I$722,A2)</x:f>
        <x:v>1</x:v>
      </x:c>
      <x:c r="G2" s="15" t="n">
        <x:f>COUNTIFS('Unique per draft'!$H$2:$H$474,A2,'Unique per draft'!$D$2:$D$474,"real")</x:f>
        <x:v>0</x:v>
      </x:c>
      <x:c r="H2" s="15" t="n">
        <x:f>COUNTIFS('Unique per draft'!$H$2:$H$474,A2,'Unique per draft'!$D$2:$D$474,"synthetic")</x:f>
        <x:v>1</x:v>
      </x:c>
      <x:c r="I2" s="15" t="str">
        <x:v>cmm93eoww000904l4jttzk880</x:v>
      </x:c>
    </x:row>
    <x:row r="3">
      <x:c r="A3" s="1" t="str">
        <x:v>case:2015 uksc 5</x:v>
      </x:c>
      <x:c r="B3" s="1" t="str">
        <x:v>case</x:v>
      </x:c>
      <x:c r="C3" s="15" t="str">
        <x:v>[2015] UKSC 5</x:v>
      </x:c>
      <x:c r="D3" s="15" t="str">
        <x:v>[2015] UKSC 5</x:v>
      </x:c>
      <x:c r="E3" s="15" t="n">
        <x:f>COUNTIF('Unique per draft'!$H$2:$H$474,A3)</x:f>
        <x:v>1</x:v>
      </x:c>
      <x:c r="F3" s="15" t="n">
        <x:f>COUNTIF('Occurrences'!$I$2:$I$722,A3)</x:f>
        <x:v>1</x:v>
      </x:c>
      <x:c r="G3" s="15" t="n">
        <x:f>COUNTIFS('Unique per draft'!$H$2:$H$474,A3,'Unique per draft'!$D$2:$D$474,"real")</x:f>
        <x:v>0</x:v>
      </x:c>
      <x:c r="H3" s="15" t="n">
        <x:f>COUNTIFS('Unique per draft'!$H$2:$H$474,A3,'Unique per draft'!$D$2:$D$474,"synthetic")</x:f>
        <x:v>1</x:v>
      </x:c>
      <x:c r="I3" s="15" t="str">
        <x:v>cmlzrzxca000304l2qk1vevzx</x:v>
      </x:c>
    </x:row>
    <x:row r="4">
      <x:c r="A4" s="1" t="str">
        <x:v>case:2022 ewca civ 353</x:v>
      </x:c>
      <x:c r="B4" s="1" t="str">
        <x:v>case</x:v>
      </x:c>
      <x:c r="C4" s="15" t="str">
        <x:v>Allianz Global Investors GmbH &amp; Ors v Barclays Bank Plc &amp; Ors (Rev1)</x:v>
      </x:c>
      <x:c r="D4" s="15" t="str">
        <x:v>[2022] EWCA Civ 353</x:v>
      </x:c>
      <x:c r="E4" s="15" t="n">
        <x:f>COUNTIF('Unique per draft'!$H$2:$H$474,A4)</x:f>
        <x:v>1</x:v>
      </x:c>
      <x:c r="F4" s="15" t="n">
        <x:f>COUNTIF('Occurrences'!$I$2:$I$722,A4)</x:f>
        <x:v>1</x:v>
      </x:c>
      <x:c r="G4" s="15" t="n">
        <x:f>COUNTIFS('Unique per draft'!$H$2:$H$474,A4,'Unique per draft'!$D$2:$D$474,"real")</x:f>
        <x:v>0</x:v>
      </x:c>
      <x:c r="H4" s="15" t="n">
        <x:f>COUNTIFS('Unique per draft'!$H$2:$H$474,A4,'Unique per draft'!$D$2:$D$474,"synthetic")</x:f>
        <x:v>1</x:v>
      </x:c>
      <x:c r="I4" s="15" t="str">
        <x:v>cmst7uoeu00d804l5ayb3b9q8</x:v>
      </x:c>
    </x:row>
    <x:row r="5">
      <x:c r="A5" s="1" t="str">
        <x:v>case:2023 ewca civ 474</x:v>
      </x:c>
      <x:c r="B5" s="1" t="str">
        <x:v>case</x:v>
      </x:c>
      <x:c r="C5" s="15" t="str">
        <x:v>Altrad Services Ltd &amp; Anor v Commissioners for HMRC</x:v>
      </x:c>
      <x:c r="D5" s="15" t="str">
        <x:v>[2023] EWCA Civ 474</x:v>
      </x:c>
      <x:c r="E5" s="15" t="n">
        <x:f>COUNTIF('Unique per draft'!$H$2:$H$474,A5)</x:f>
        <x:v>1</x:v>
      </x:c>
      <x:c r="F5" s="15" t="n">
        <x:f>COUNTIF('Occurrences'!$I$2:$I$722,A5)</x:f>
        <x:v>2</x:v>
      </x:c>
      <x:c r="G5" s="15" t="n">
        <x:f>COUNTIFS('Unique per draft'!$H$2:$H$474,A5,'Unique per draft'!$D$2:$D$474,"real")</x:f>
        <x:v>0</x:v>
      </x:c>
      <x:c r="H5" s="15" t="n">
        <x:f>COUNTIFS('Unique per draft'!$H$2:$H$474,A5,'Unique per draft'!$D$2:$D$474,"synthetic")</x:f>
        <x:v>1</x:v>
      </x:c>
      <x:c r="I5" s="15" t="str">
        <x:v>cmlzpblc7000304jv62ixuvp8</x:v>
      </x:c>
    </x:row>
    <x:row r="6">
      <x:c r="A6" s="1" t="str">
        <x:v>case:armitage v nurse 1998 ch 241</x:v>
      </x:c>
      <x:c r="B6" s="1" t="str">
        <x:v>case</x:v>
      </x:c>
      <x:c r="C6" s="15" t="str">
        <x:v>Armitage v Nurse [1998] Ch 241</x:v>
      </x:c>
      <x:c r="D6" s="15" t="str">
        <x:v>Armitage v Nurse [1998] Ch 241</x:v>
      </x:c>
      <x:c r="E6" s="15" t="n">
        <x:f>COUNTIF('Unique per draft'!$H$2:$H$474,A6)</x:f>
        <x:v>4</x:v>
      </x:c>
      <x:c r="F6" s="15" t="n">
        <x:f>COUNTIF('Occurrences'!$I$2:$I$722,A6)</x:f>
        <x:v>4</x:v>
      </x:c>
      <x:c r="G6" s="15" t="n">
        <x:f>COUNTIFS('Unique per draft'!$H$2:$H$474,A6,'Unique per draft'!$D$2:$D$474,"real")</x:f>
        <x:v>0</x:v>
      </x:c>
      <x:c r="H6" s="15" t="n">
        <x:f>COUNTIFS('Unique per draft'!$H$2:$H$474,A6,'Unique per draft'!$D$2:$D$474,"synthetic")</x:f>
        <x:v>4</x:v>
      </x:c>
      <x:c r="I6" s="15" t="str">
        <x:v>cmm0ckscr000t04i312fc6edg | cmm0ct5sl001504i3x6g18pvd | cmm920v38000b04ib8ug7hazg | cmm927sxp000304jp8fpwf2ew</x:v>
      </x:c>
    </x:row>
    <x:row r="7">
      <x:c r="A7" s="1" t="str">
        <x:v>case:2022 ewca civ 1304</x:v>
      </x:c>
      <x:c r="B7" s="1" t="str">
        <x:v>case</x:v>
      </x:c>
      <x:c r="C7" s="15" t="str">
        <x:v>Arnold White Estates Ltd v The Forestry Commission</x:v>
      </x:c>
      <x:c r="D7" s="15" t="str">
        <x:v>[2022] EWCA Civ 1304</x:v>
      </x:c>
      <x:c r="E7" s="15" t="n">
        <x:f>COUNTIF('Unique per draft'!$H$2:$H$474,A7)</x:f>
        <x:v>1</x:v>
      </x:c>
      <x:c r="F7" s="15" t="n">
        <x:f>COUNTIF('Occurrences'!$I$2:$I$722,A7)</x:f>
        <x:v>2</x:v>
      </x:c>
      <x:c r="G7" s="15" t="n">
        <x:f>COUNTIFS('Unique per draft'!$H$2:$H$474,A7,'Unique per draft'!$D$2:$D$474,"real")</x:f>
        <x:v>1</x:v>
      </x:c>
      <x:c r="H7" s="15" t="n">
        <x:f>COUNTIFS('Unique per draft'!$H$2:$H$474,A7,'Unique per draft'!$D$2:$D$474,"synthetic")</x:f>
        <x:v>0</x:v>
      </x:c>
      <x:c r="I7" s="15" t="str">
        <x:v>cmsbr021t001104jndbjo02xo</x:v>
      </x:c>
    </x:row>
    <x:row r="8">
      <x:c r="A8" s="1" t="str">
        <x:v>case:2017 ewca civ 54</x:v>
      </x:c>
      <x:c r="B8" s="1" t="str">
        <x:v>case</x:v>
      </x:c>
      <x:c r="C8" s="15" t="str">
        <x:v>Associated Newspapers Ltd v HM Revenue &amp; Customs</x:v>
      </x:c>
      <x:c r="D8" s="15" t="str">
        <x:v>[2017] EWCA Civ 54</x:v>
      </x:c>
      <x:c r="E8" s="15" t="n">
        <x:f>COUNTIF('Unique per draft'!$H$2:$H$474,A8)</x:f>
        <x:v>1</x:v>
      </x:c>
      <x:c r="F8" s="15" t="n">
        <x:f>COUNTIF('Occurrences'!$I$2:$I$722,A8)</x:f>
        <x:v>1</x:v>
      </x:c>
      <x:c r="G8" s="15" t="n">
        <x:f>COUNTIFS('Unique per draft'!$H$2:$H$474,A8,'Unique per draft'!$D$2:$D$474,"real")</x:f>
        <x:v>1</x:v>
      </x:c>
      <x:c r="H8" s="15" t="n">
        <x:f>COUNTIFS('Unique per draft'!$H$2:$H$474,A8,'Unique per draft'!$D$2:$D$474,"synthetic")</x:f>
        <x:v>0</x:v>
      </x:c>
      <x:c r="I8" s="15" t="str">
        <x:v>cmsbr6p4p001704l4z7u6108h</x:v>
      </x:c>
    </x:row>
    <x:row r="9">
      <x:c r="A9" s="1" t="str">
        <x:v>case:2022 ewca civ 15</x:v>
      </x:c>
      <x:c r="B9" s="1" t="str">
        <x:v>case</x:v>
      </x:c>
      <x:c r="C9" s="15" t="str">
        <x:v>Aviva Insurance Limited and Swiss Reinsurance Company Limited v Secretary of State for Work and Pensions [2022] EWCA Civ 15</x:v>
      </x:c>
      <x:c r="D9" s="15" t="str">
        <x:v>Aviva Insurance Limited and Swiss Reinsurance Company Limited v Secretary of State for Work and Pensions [2022] EWCA Civ 15</x:v>
      </x:c>
      <x:c r="E9" s="15" t="n">
        <x:f>COUNTIF('Unique per draft'!$H$2:$H$474,A9)</x:f>
        <x:v>1</x:v>
      </x:c>
      <x:c r="F9" s="15" t="n">
        <x:f>COUNTIF('Occurrences'!$I$2:$I$722,A9)</x:f>
        <x:v>4</x:v>
      </x:c>
      <x:c r="G9" s="15" t="n">
        <x:f>COUNTIFS('Unique per draft'!$H$2:$H$474,A9,'Unique per draft'!$D$2:$D$474,"real")</x:f>
        <x:v>0</x:v>
      </x:c>
      <x:c r="H9" s="15" t="n">
        <x:f>COUNTIFS('Unique per draft'!$H$2:$H$474,A9,'Unique per draft'!$D$2:$D$474,"synthetic")</x:f>
        <x:v>1</x:v>
      </x:c>
      <x:c r="I9" s="15" t="str">
        <x:v>cmmcal70d000h04k3e11w997v</x:v>
      </x:c>
    </x:row>
    <x:row r="10">
      <x:c r="A10" s="1" t="str">
        <x:v>case:2022 ewca civ 1021</x:v>
      </x:c>
      <x:c r="B10" s="1" t="str">
        <x:v>case</x:v>
      </x:c>
      <x:c r="C10" s="15" t="str">
        <x:v>Bank of New York Mellon (International) Limited v Cine-UK Limited</x:v>
      </x:c>
      <x:c r="D10" s="15" t="str">
        <x:v>[2022] EWCA Civ 1021</x:v>
      </x:c>
      <x:c r="E10" s="15" t="n">
        <x:f>COUNTIF('Unique per draft'!$H$2:$H$474,A10)</x:f>
        <x:v>1</x:v>
      </x:c>
      <x:c r="F10" s="15" t="n">
        <x:f>COUNTIF('Occurrences'!$I$2:$I$722,A10)</x:f>
        <x:v>1</x:v>
      </x:c>
      <x:c r="G10" s="15" t="n">
        <x:f>COUNTIFS('Unique per draft'!$H$2:$H$474,A10,'Unique per draft'!$D$2:$D$474,"real")</x:f>
        <x:v>0</x:v>
      </x:c>
      <x:c r="H10" s="15" t="n">
        <x:f>COUNTIFS('Unique per draft'!$H$2:$H$474,A10,'Unique per draft'!$D$2:$D$474,"synthetic")</x:f>
        <x:v>1</x:v>
      </x:c>
      <x:c r="I10" s="15" t="str">
        <x:v>cmmdkjytd000304jl24cdxqvp</x:v>
      </x:c>
    </x:row>
    <x:row r="11">
      <x:c r="A11" s="1" t="str">
        <x:v>case:bank of new york mellon international limited v cine uk limited</x:v>
      </x:c>
      <x:c r="B11" s="1" t="str">
        <x:v>case</x:v>
      </x:c>
      <x:c r="C11" s="15" t="str">
        <x:v>Bank of New York Mellon (International) Limited v Cine-UK Limited</x:v>
      </x:c>
      <x:c r="D11" s="15" t="str">
        <x:v>N/A</x:v>
      </x:c>
      <x:c r="E11" s="15" t="n">
        <x:f>COUNTIF('Unique per draft'!$H$2:$H$474,A11)</x:f>
        <x:v>1</x:v>
      </x:c>
      <x:c r="F11" s="15" t="n">
        <x:f>COUNTIF('Occurrences'!$I$2:$I$722,A11)</x:f>
        <x:v>1</x:v>
      </x:c>
      <x:c r="G11" s="15" t="n">
        <x:f>COUNTIFS('Unique per draft'!$H$2:$H$474,A11,'Unique per draft'!$D$2:$D$474,"real")</x:f>
        <x:v>0</x:v>
      </x:c>
      <x:c r="H11" s="15" t="n">
        <x:f>COUNTIFS('Unique per draft'!$H$2:$H$474,A11,'Unique per draft'!$D$2:$D$474,"synthetic")</x:f>
        <x:v>1</x:v>
      </x:c>
      <x:c r="I11" s="15" t="str">
        <x:v>cmmls2r93000304jme0bpsul9</x:v>
      </x:c>
    </x:row>
    <x:row r="12">
      <x:c r="A12" s="1" t="str">
        <x:v>case:beatt v croydon health services nhs trust</x:v>
      </x:c>
      <x:c r="B12" s="1" t="str">
        <x:v>case</x:v>
      </x:c>
      <x:c r="C12" s="15" t="str">
        <x:v>Beatt v Croydon Health Services NHS Trust</x:v>
      </x:c>
      <x:c r="D12" s="15" t="str">
        <x:v>Beatt v Croydon Health Services NHS Trust</x:v>
      </x:c>
      <x:c r="E12" s="15" t="n">
        <x:f>COUNTIF('Unique per draft'!$H$2:$H$474,A12)</x:f>
        <x:v>1</x:v>
      </x:c>
      <x:c r="F12" s="15" t="n">
        <x:f>COUNTIF('Occurrences'!$I$2:$I$722,A12)</x:f>
        <x:v>4</x:v>
      </x:c>
      <x:c r="G12" s="15" t="n">
        <x:f>COUNTIFS('Unique per draft'!$H$2:$H$474,A12,'Unique per draft'!$D$2:$D$474,"real")</x:f>
        <x:v>0</x:v>
      </x:c>
      <x:c r="H12" s="15" t="n">
        <x:f>COUNTIFS('Unique per draft'!$H$2:$H$474,A12,'Unique per draft'!$D$2:$D$474,"synthetic")</x:f>
        <x:v>1</x:v>
      </x:c>
      <x:c r="I12" s="15" t="str">
        <x:v>cmst4fdgx001l04l7p4wrw7w7</x:v>
      </x:c>
    </x:row>
    <x:row r="13">
      <x:c r="A13" s="1" t="str">
        <x:v>case:2014 ewca civ 1394</x:v>
      </x:c>
      <x:c r="B13" s="1" t="str">
        <x:v>case</x:v>
      </x:c>
      <x:c r="C13" s="15" t="str">
        <x:v>Belhaj &amp; Anor v Straw &amp; Ors</x:v>
      </x:c>
      <x:c r="D13" s="15" t="str">
        <x:v>[2014] EWCA Civ 1394</x:v>
      </x:c>
      <x:c r="E13" s="15" t="n">
        <x:f>COUNTIF('Unique per draft'!$H$2:$H$474,A13)</x:f>
        <x:v>1</x:v>
      </x:c>
      <x:c r="F13" s="15" t="n">
        <x:f>COUNTIF('Occurrences'!$I$2:$I$722,A13)</x:f>
        <x:v>3</x:v>
      </x:c>
      <x:c r="G13" s="15" t="n">
        <x:f>COUNTIFS('Unique per draft'!$H$2:$H$474,A13,'Unique per draft'!$D$2:$D$474,"real")</x:f>
        <x:v>1</x:v>
      </x:c>
      <x:c r="H13" s="15" t="n">
        <x:f>COUNTIFS('Unique per draft'!$H$2:$H$474,A13,'Unique per draft'!$D$2:$D$474,"synthetic")</x:f>
        <x:v>0</x:v>
      </x:c>
      <x:c r="I13" s="15" t="str">
        <x:v>cmsbsp3em001104ji2u62id7q</x:v>
      </x:c>
    </x:row>
    <x:row r="14">
      <x:c r="A14" s="1" t="str">
        <x:v>case:benkharbouche &amp; anor v embassy of the republic of sudan</x:v>
      </x:c>
      <x:c r="B14" s="1" t="str">
        <x:v>case</x:v>
      </x:c>
      <x:c r="C14" s="15" t="str">
        <x:v>Benkharbouche &amp; Anor v Embassy of the Republic of Sudan</x:v>
      </x:c>
      <x:c r="D14" s="15" t="str">
        <x:v>N/A</x:v>
      </x:c>
      <x:c r="E14" s="15" t="n">
        <x:f>COUNTIF('Unique per draft'!$H$2:$H$474,A14)</x:f>
        <x:v>1</x:v>
      </x:c>
      <x:c r="F14" s="15" t="n">
        <x:f>COUNTIF('Occurrences'!$I$2:$I$722,A14)</x:f>
        <x:v>4</x:v>
      </x:c>
      <x:c r="G14" s="15" t="n">
        <x:f>COUNTIFS('Unique per draft'!$H$2:$H$474,A14,'Unique per draft'!$D$2:$D$474,"real")</x:f>
        <x:v>1</x:v>
      </x:c>
      <x:c r="H14" s="15" t="n">
        <x:f>COUNTIFS('Unique per draft'!$H$2:$H$474,A14,'Unique per draft'!$D$2:$D$474,"synthetic")</x:f>
        <x:v>0</x:v>
      </x:c>
      <x:c r="I14" s="15" t="str">
        <x:v>cmsbsp3em001104ji2u62id7q</x:v>
      </x:c>
    </x:row>
    <x:row r="15">
      <x:c r="A15" s="1" t="str">
        <x:v>case:benkharbouche v embassy of the republic of sudan</x:v>
      </x:c>
      <x:c r="B15" s="1" t="str">
        <x:v>case</x:v>
      </x:c>
      <x:c r="C15" s="15" t="str">
        <x:v>Benkharbouche v Embassy of the Republic of Sudan</x:v>
      </x:c>
      <x:c r="D15" s="15" t="str">
        <x:v>Benkharbouche v Embassy of the Republic of Sudan</x:v>
      </x:c>
      <x:c r="E15" s="15" t="n">
        <x:f>COUNTIF('Unique per draft'!$H$2:$H$474,A15)</x:f>
        <x:v>1</x:v>
      </x:c>
      <x:c r="F15" s="15" t="n">
        <x:f>COUNTIF('Occurrences'!$I$2:$I$722,A15)</x:f>
        <x:v>1</x:v>
      </x:c>
      <x:c r="G15" s="15" t="n">
        <x:f>COUNTIFS('Unique per draft'!$H$2:$H$474,A15,'Unique per draft'!$D$2:$D$474,"real")</x:f>
        <x:v>1</x:v>
      </x:c>
      <x:c r="H15" s="15" t="n">
        <x:f>COUNTIFS('Unique per draft'!$H$2:$H$474,A15,'Unique per draft'!$D$2:$D$474,"synthetic")</x:f>
        <x:v>0</x:v>
      </x:c>
      <x:c r="I15" s="15" t="str">
        <x:v>cmsbsqcqm001d04ji3ses9ih9</x:v>
      </x:c>
    </x:row>
    <x:row r="16">
      <x:c r="A16" s="1" t="str">
        <x:v>case:benkharbouche v embassy of the republic of sudan 2017 icr 1327</x:v>
      </x:c>
      <x:c r="B16" s="1" t="str">
        <x:v>case</x:v>
      </x:c>
      <x:c r="C16" s="15" t="str">
        <x:v>Benkharbouche v Embassy of the Republic of Sudan [2017] ICR 1327</x:v>
      </x:c>
      <x:c r="D16" s="15" t="str">
        <x:v>Benkharbouche v Embassy of the Republic of Sudan [2017] ICR 1327</x:v>
      </x:c>
      <x:c r="E16" s="15" t="n">
        <x:f>COUNTIF('Unique per draft'!$H$2:$H$474,A16)</x:f>
        <x:v>1</x:v>
      </x:c>
      <x:c r="F16" s="15" t="n">
        <x:f>COUNTIF('Occurrences'!$I$2:$I$722,A16)</x:f>
        <x:v>1</x:v>
      </x:c>
      <x:c r="G16" s="15" t="n">
        <x:f>COUNTIFS('Unique per draft'!$H$2:$H$474,A16,'Unique per draft'!$D$2:$D$474,"real")</x:f>
        <x:v>1</x:v>
      </x:c>
      <x:c r="H16" s="15" t="n">
        <x:f>COUNTIFS('Unique per draft'!$H$2:$H$474,A16,'Unique per draft'!$D$2:$D$474,"synthetic")</x:f>
        <x:v>0</x:v>
      </x:c>
      <x:c r="I16" s="15" t="str">
        <x:v>cmsbsqcqm001d04ji3ses9ih9</x:v>
      </x:c>
    </x:row>
    <x:row r="17">
      <x:c r="A17" s="1" t="str">
        <x:v>case:2016 ewca civ 1099</x:v>
      </x:c>
      <x:c r="B17" s="1" t="str">
        <x:v>case</x:v>
      </x:c>
      <x:c r="C17" s="15" t="str">
        <x:v>Bestfort Developments LLP &amp; Ors v Ras Al Khaimah Investment Authority &amp; Ors</x:v>
      </x:c>
      <x:c r="D17" s="15" t="str">
        <x:v>[2016] EWCA Civ 1099</x:v>
      </x:c>
      <x:c r="E17" s="15" t="n">
        <x:f>COUNTIF('Unique per draft'!$H$2:$H$474,A17)</x:f>
        <x:v>1</x:v>
      </x:c>
      <x:c r="F17" s="15" t="n">
        <x:f>COUNTIF('Occurrences'!$I$2:$I$722,A17)</x:f>
        <x:v>1</x:v>
      </x:c>
      <x:c r="G17" s="15" t="n">
        <x:f>COUNTIFS('Unique per draft'!$H$2:$H$474,A17,'Unique per draft'!$D$2:$D$474,"real")</x:f>
        <x:v>1</x:v>
      </x:c>
      <x:c r="H17" s="15" t="n">
        <x:f>COUNTIFS('Unique per draft'!$H$2:$H$474,A17,'Unique per draft'!$D$2:$D$474,"synthetic")</x:f>
        <x:v>0</x:v>
      </x:c>
      <x:c r="I17" s="15" t="str">
        <x:v>cmsbsqcqm001d04ji3ses9ih9</x:v>
      </x:c>
    </x:row>
    <x:row r="18">
      <x:c r="A18" s="1" t="str">
        <x:v>case:bishop v chhokar</x:v>
      </x:c>
      <x:c r="B18" s="1" t="str">
        <x:v>case</x:v>
      </x:c>
      <x:c r="C18" s="15" t="str">
        <x:v>Bishop v Chhokar</x:v>
      </x:c>
      <x:c r="D18" s="15" t="str">
        <x:v>N/A</x:v>
      </x:c>
      <x:c r="E18" s="15" t="n">
        <x:f>COUNTIF('Unique per draft'!$H$2:$H$474,A18)</x:f>
        <x:v>1</x:v>
      </x:c>
      <x:c r="F18" s="15" t="n">
        <x:f>COUNTIF('Occurrences'!$I$2:$I$722,A18)</x:f>
        <x:v>1</x:v>
      </x:c>
      <x:c r="G18" s="15" t="n">
        <x:f>COUNTIFS('Unique per draft'!$H$2:$H$474,A18,'Unique per draft'!$D$2:$D$474,"real")</x:f>
        <x:v>0</x:v>
      </x:c>
      <x:c r="H18" s="15" t="n">
        <x:f>COUNTIFS('Unique per draft'!$H$2:$H$474,A18,'Unique per draft'!$D$2:$D$474,"synthetic")</x:f>
        <x:v>1</x:v>
      </x:c>
      <x:c r="I18" s="15" t="str">
        <x:v>cmmls2r93000304jme0bpsul9</x:v>
      </x:c>
    </x:row>
    <x:row r="19">
      <x:c r="A19" s="1" t="str">
        <x:v>case:2015 ewca civ 1259</x:v>
      </x:c>
      <x:c r="B19" s="1" t="str">
        <x:v>case</x:v>
      </x:c>
      <x:c r="C19" s="15" t="str">
        <x:v>BK &amp; Anor v The Secretary of State for Justice</x:v>
      </x:c>
      <x:c r="D19" s="15" t="str">
        <x:v>[2015] EWCA Civ 1259</x:v>
      </x:c>
      <x:c r="E19" s="15" t="n">
        <x:f>COUNTIF('Unique per draft'!$H$2:$H$474,A19)</x:f>
        <x:v>1</x:v>
      </x:c>
      <x:c r="F19" s="15" t="n">
        <x:f>COUNTIF('Occurrences'!$I$2:$I$722,A19)</x:f>
        <x:v>2</x:v>
      </x:c>
      <x:c r="G19" s="15" t="n">
        <x:f>COUNTIFS('Unique per draft'!$H$2:$H$474,A19,'Unique per draft'!$D$2:$D$474,"real")</x:f>
        <x:v>1</x:v>
      </x:c>
      <x:c r="H19" s="15" t="n">
        <x:f>COUNTIFS('Unique per draft'!$H$2:$H$474,A19,'Unique per draft'!$D$2:$D$474,"synthetic")</x:f>
        <x:v>0</x:v>
      </x:c>
      <x:c r="I19" s="15" t="str">
        <x:v>cmsbqvqsj000h04jnb8tn656h</x:v>
      </x:c>
    </x:row>
    <x:row r="20">
      <x:c r="A20" s="1" t="str">
        <x:v>case:bolam v friern hospital management committee 1957</x:v>
      </x:c>
      <x:c r="B20" s="1" t="str">
        <x:v>case</x:v>
      </x:c>
      <x:c r="C20" s="15" t="str">
        <x:v>Bolam v Friern Hospital Management Committee [1957]</x:v>
      </x:c>
      <x:c r="D20" s="15" t="str">
        <x:v>Bolam v Friern Hospital Management Committee [1957]</x:v>
      </x:c>
      <x:c r="E20" s="15" t="n">
        <x:f>COUNTIF('Unique per draft'!$H$2:$H$474,A20)</x:f>
        <x:v>1</x:v>
      </x:c>
      <x:c r="F20" s="15" t="n">
        <x:f>COUNTIF('Occurrences'!$I$2:$I$722,A20)</x:f>
        <x:v>1</x:v>
      </x:c>
      <x:c r="G20" s="15" t="n">
        <x:f>COUNTIFS('Unique per draft'!$H$2:$H$474,A20,'Unique per draft'!$D$2:$D$474,"real")</x:f>
        <x:v>0</x:v>
      </x:c>
      <x:c r="H20" s="15" t="n">
        <x:f>COUNTIFS('Unique per draft'!$H$2:$H$474,A20,'Unique per draft'!$D$2:$D$474,"synthetic")</x:f>
        <x:v>1</x:v>
      </x:c>
      <x:c r="I20" s="15" t="str">
        <x:v>cmst7uoeu00d804l5ayb3b9q8</x:v>
      </x:c>
    </x:row>
    <x:row r="21">
      <x:c r="A21" s="1" t="str">
        <x:v>case:2016 ewca civ 121</x:v>
      </x:c>
      <x:c r="B21" s="1" t="str">
        <x:v>case</x:v>
      </x:c>
      <x:c r="C21" s="15" t="str">
        <x:v>BPP Holdings v Revenue And Customs</x:v>
      </x:c>
      <x:c r="D21" s="15" t="str">
        <x:v>[2016] EWCA Civ 121</x:v>
      </x:c>
      <x:c r="E21" s="15" t="n">
        <x:f>COUNTIF('Unique per draft'!$H$2:$H$474,A21)</x:f>
        <x:v>1</x:v>
      </x:c>
      <x:c r="F21" s="15" t="n">
        <x:f>COUNTIF('Occurrences'!$I$2:$I$722,A21)</x:f>
        <x:v>1</x:v>
      </x:c>
      <x:c r="G21" s="15" t="n">
        <x:f>COUNTIFS('Unique per draft'!$H$2:$H$474,A21,'Unique per draft'!$D$2:$D$474,"real")</x:f>
        <x:v>0</x:v>
      </x:c>
      <x:c r="H21" s="15" t="n">
        <x:f>COUNTIFS('Unique per draft'!$H$2:$H$474,A21,'Unique per draft'!$D$2:$D$474,"synthetic")</x:f>
        <x:v>1</x:v>
      </x:c>
      <x:c r="I21" s="15" t="str">
        <x:v>cmlzpblc7000304jv62ixuvp8</x:v>
      </x:c>
    </x:row>
    <x:row r="22">
      <x:c r="A22" s="1" t="str">
        <x:v>case:bright &amp; anor v the secretary of state for justice</x:v>
      </x:c>
      <x:c r="B22" s="1" t="str">
        <x:v>case</x:v>
      </x:c>
      <x:c r="C22" s="15" t="str">
        <x:v>Bright &amp; Anor v The Secretary of State for Justice</x:v>
      </x:c>
      <x:c r="D22" s="15" t="str">
        <x:v>N/A</x:v>
      </x:c>
      <x:c r="E22" s="15" t="n">
        <x:f>COUNTIF('Unique per draft'!$H$2:$H$474,A22)</x:f>
        <x:v>1</x:v>
      </x:c>
      <x:c r="F22" s="15" t="n">
        <x:f>COUNTIF('Occurrences'!$I$2:$I$722,A22)</x:f>
        <x:v>4</x:v>
      </x:c>
      <x:c r="G22" s="15" t="n">
        <x:f>COUNTIFS('Unique per draft'!$H$2:$H$474,A22,'Unique per draft'!$D$2:$D$474,"real")</x:f>
        <x:v>1</x:v>
      </x:c>
      <x:c r="H22" s="15" t="n">
        <x:f>COUNTIFS('Unique per draft'!$H$2:$H$474,A22,'Unique per draft'!$D$2:$D$474,"synthetic")</x:f>
        <x:v>0</x:v>
      </x:c>
      <x:c r="I22" s="15" t="str">
        <x:v>cmmrr64va000h04jvzuquhz2y</x:v>
      </x:c>
    </x:row>
    <x:row r="23">
      <x:c r="A23" s="1" t="str">
        <x:v>case:2015 ewca civ 1170</x:v>
      </x:c>
      <x:c r="B23" s="1" t="str">
        <x:v>case</x:v>
      </x:c>
      <x:c r="C23" s="15" t="str">
        <x:v>Bristow v The Secretary of State for Justice &amp; Anor</x:v>
      </x:c>
      <x:c r="D23" s="15" t="str">
        <x:v>[2015] EWCA Civ 1170</x:v>
      </x:c>
      <x:c r="E23" s="15" t="n">
        <x:f>COUNTIF('Unique per draft'!$H$2:$H$474,A23)</x:f>
        <x:v>2</x:v>
      </x:c>
      <x:c r="F23" s="15" t="n">
        <x:f>COUNTIF('Occurrences'!$I$2:$I$722,A23)</x:f>
        <x:v>4</x:v>
      </x:c>
      <x:c r="G23" s="15" t="n">
        <x:f>COUNTIFS('Unique per draft'!$H$2:$H$474,A23,'Unique per draft'!$D$2:$D$474,"real")</x:f>
        <x:v>1</x:v>
      </x:c>
      <x:c r="H23" s="15" t="n">
        <x:f>COUNTIFS('Unique per draft'!$H$2:$H$474,A23,'Unique per draft'!$D$2:$D$474,"synthetic")</x:f>
        <x:v>1</x:v>
      </x:c>
      <x:c r="I23" s="15" t="str">
        <x:v>cmmafut12000904l4kjskwky4 | cmmc4a8zu000h04jx2w3r0hzo</x:v>
      </x:c>
    </x:row>
    <x:row r="24">
      <x:c r="A24" s="1" t="str">
        <x:v>case:bristow v the secretary of state for justice &amp; anor</x:v>
      </x:c>
      <x:c r="B24" s="1" t="str">
        <x:v>case</x:v>
      </x:c>
      <x:c r="C24" s="15" t="str">
        <x:v>Bristow v The Secretary of State for Justice &amp; Anor</x:v>
      </x:c>
      <x:c r="D24" s="15" t="str">
        <x:v>N/A</x:v>
      </x:c>
      <x:c r="E24" s="15" t="n">
        <x:f>COUNTIF('Unique per draft'!$H$2:$H$474,A24)</x:f>
        <x:v>1</x:v>
      </x:c>
      <x:c r="F24" s="15" t="n">
        <x:f>COUNTIF('Occurrences'!$I$2:$I$722,A24)</x:f>
        <x:v>4</x:v>
      </x:c>
      <x:c r="G24" s="15" t="n">
        <x:f>COUNTIFS('Unique per draft'!$H$2:$H$474,A24,'Unique per draft'!$D$2:$D$474,"real")</x:f>
        <x:v>1</x:v>
      </x:c>
      <x:c r="H24" s="15" t="n">
        <x:f>COUNTIFS('Unique per draft'!$H$2:$H$474,A24,'Unique per draft'!$D$2:$D$474,"synthetic")</x:f>
        <x:v>0</x:v>
      </x:c>
      <x:c r="I24" s="15" t="str">
        <x:v>cmmrr64va000h04jvzuquhz2y</x:v>
      </x:c>
    </x:row>
    <x:row r="25">
      <x:c r="A25" s="1" t="str">
        <x:v>case:2016 ewca civ 1033</x:v>
      </x:c>
      <x:c r="B25" s="1" t="str">
        <x:v>case</x:v>
      </x:c>
      <x:c r="C25" s="15" t="str">
        <x:v>Brooks, R (on the application of) v The Independent Adjudicator &amp; Anor</x:v>
      </x:c>
      <x:c r="D25" s="15" t="str">
        <x:v>[2016] EWCA Civ 1033</x:v>
      </x:c>
      <x:c r="E25" s="15" t="n">
        <x:f>COUNTIF('Unique per draft'!$H$2:$H$474,A25)</x:f>
        <x:v>1</x:v>
      </x:c>
      <x:c r="F25" s="15" t="n">
        <x:f>COUNTIF('Occurrences'!$I$2:$I$722,A25)</x:f>
        <x:v>1</x:v>
      </x:c>
      <x:c r="G25" s="15" t="n">
        <x:f>COUNTIFS('Unique per draft'!$H$2:$H$474,A25,'Unique per draft'!$D$2:$D$474,"real")</x:f>
        <x:v>0</x:v>
      </x:c>
      <x:c r="H25" s="15" t="n">
        <x:f>COUNTIFS('Unique per draft'!$H$2:$H$474,A25,'Unique per draft'!$D$2:$D$474,"synthetic")</x:f>
        <x:v>1</x:v>
      </x:c>
      <x:c r="I25" s="15" t="str">
        <x:v>cmm3b1g6j000j04jt8w2u9z6w</x:v>
      </x:c>
    </x:row>
    <x:row r="26">
      <x:c r="A26" s="1" t="str">
        <x:v>case:brown &amp; ors v south west lakes trust &amp; ors</x:v>
      </x:c>
      <x:c r="B26" s="1" t="str">
        <x:v>case</x:v>
      </x:c>
      <x:c r="C26" s="15" t="str">
        <x:v>Brown &amp; Ors v South West Lakes Trust &amp; Ors</x:v>
      </x:c>
      <x:c r="D26" s="15" t="str">
        <x:v>N/A</x:v>
      </x:c>
      <x:c r="E26" s="15" t="n">
        <x:f>COUNTIF('Unique per draft'!$H$2:$H$474,A26)</x:f>
        <x:v>1</x:v>
      </x:c>
      <x:c r="F26" s="15" t="n">
        <x:f>COUNTIF('Occurrences'!$I$2:$I$722,A26)</x:f>
        <x:v>4</x:v>
      </x:c>
      <x:c r="G26" s="15" t="n">
        <x:f>COUNTIFS('Unique per draft'!$H$2:$H$474,A26,'Unique per draft'!$D$2:$D$474,"real")</x:f>
        <x:v>0</x:v>
      </x:c>
      <x:c r="H26" s="15" t="n">
        <x:f>COUNTIFS('Unique per draft'!$H$2:$H$474,A26,'Unique per draft'!$D$2:$D$474,"synthetic")</x:f>
        <x:v>1</x:v>
      </x:c>
      <x:c r="I26" s="15" t="str">
        <x:v>cmlzrzxca000304l2qk1vevzx</x:v>
      </x:c>
    </x:row>
    <x:row r="27">
      <x:c r="A27" s="1" t="str">
        <x:v>case:2022 ewca civ 18</x:v>
      </x:c>
      <x:c r="B27" s="1" t="str">
        <x:v>case</x:v>
      </x:c>
      <x:c r="C27" s="15" t="str">
        <x:v>Brown &amp; Ors v South West Lakes Trust &amp; Ors</x:v>
      </x:c>
      <x:c r="D27" s="15" t="str">
        <x:v>[2022] EWCA Civ 18</x:v>
      </x:c>
      <x:c r="E27" s="15" t="n">
        <x:f>COUNTIF('Unique per draft'!$H$2:$H$474,A27)</x:f>
        <x:v>2</x:v>
      </x:c>
      <x:c r="F27" s="15" t="n">
        <x:f>COUNTIF('Occurrences'!$I$2:$I$722,A27)</x:f>
        <x:v>5</x:v>
      </x:c>
      <x:c r="G27" s="15" t="n">
        <x:f>COUNTIFS('Unique per draft'!$H$2:$H$474,A27,'Unique per draft'!$D$2:$D$474,"real")</x:f>
        <x:v>2</x:v>
      </x:c>
      <x:c r="H27" s="15" t="n">
        <x:f>COUNTIFS('Unique per draft'!$H$2:$H$474,A27,'Unique per draft'!$D$2:$D$474,"synthetic")</x:f>
        <x:v>0</x:v>
      </x:c>
      <x:c r="I27" s="15" t="str">
        <x:v>cmmxgyd9z000h04kttryogau2 | cmmxktfx8000904johoqmmfkm</x:v>
      </x:c>
    </x:row>
    <x:row r="28">
      <x:c r="A28" s="1" t="str">
        <x:v>case:2023 ewca civ 265</x:v>
      </x:c>
      <x:c r="B28" s="1" t="str">
        <x:v>case</x:v>
      </x:c>
      <x:c r="C28" s="15" t="str">
        <x:v>C7 v Secretary of State for the Home Department</x:v>
      </x:c>
      <x:c r="D28" s="15" t="str">
        <x:v>[2023] EWCA Civ 265</x:v>
      </x:c>
      <x:c r="E28" s="15" t="n">
        <x:f>COUNTIF('Unique per draft'!$H$2:$H$474,A28)</x:f>
        <x:v>1</x:v>
      </x:c>
      <x:c r="F28" s="15" t="n">
        <x:f>COUNTIF('Occurrences'!$I$2:$I$722,A28)</x:f>
        <x:v>1</x:v>
      </x:c>
      <x:c r="G28" s="15" t="n">
        <x:f>COUNTIFS('Unique per draft'!$H$2:$H$474,A28,'Unique per draft'!$D$2:$D$474,"real")</x:f>
        <x:v>1</x:v>
      </x:c>
      <x:c r="H28" s="15" t="n">
        <x:f>COUNTIFS('Unique per draft'!$H$2:$H$474,A28,'Unique per draft'!$D$2:$D$474,"synthetic")</x:f>
        <x:v>0</x:v>
      </x:c>
      <x:c r="I28" s="15" t="str">
        <x:v>cms1u865i000904jxu5huyjg5</x:v>
      </x:c>
    </x:row>
    <x:row r="29">
      <x:c r="A29" s="1" t="str">
        <x:v>case:caparo industries plc v dickman</x:v>
      </x:c>
      <x:c r="B29" s="1" t="str">
        <x:v>case</x:v>
      </x:c>
      <x:c r="C29" s="15" t="str">
        <x:v>Caparo Industries Plc v Dickman</x:v>
      </x:c>
      <x:c r="D29" s="15" t="str">
        <x:v>Caparo Industries Plc v Dickman</x:v>
      </x:c>
      <x:c r="E29" s="15" t="n">
        <x:f>COUNTIF('Unique per draft'!$H$2:$H$474,A29)</x:f>
        <x:v>1</x:v>
      </x:c>
      <x:c r="F29" s="15" t="n">
        <x:f>COUNTIF('Occurrences'!$I$2:$I$722,A29)</x:f>
        <x:v>1</x:v>
      </x:c>
      <x:c r="G29" s="15" t="n">
        <x:f>COUNTIFS('Unique per draft'!$H$2:$H$474,A29,'Unique per draft'!$D$2:$D$474,"real")</x:f>
        <x:v>0</x:v>
      </x:c>
      <x:c r="H29" s="15" t="n">
        <x:f>COUNTIFS('Unique per draft'!$H$2:$H$474,A29,'Unique per draft'!$D$2:$D$474,"synthetic")</x:f>
        <x:v>1</x:v>
      </x:c>
      <x:c r="I29" s="15" t="str">
        <x:v>cmmmudwct000304kzc6d15a3r</x:v>
      </x:c>
    </x:row>
    <x:row r="30">
      <x:c r="A30" s="1" t="str">
        <x:v>case:1990 2 ac 605</x:v>
      </x:c>
      <x:c r="B30" s="1" t="str">
        <x:v>case</x:v>
      </x:c>
      <x:c r="C30" s="15" t="str">
        <x:v>Caparo Industries Plc v Dickman [1990] 2 AC 605</x:v>
      </x:c>
      <x:c r="D30" s="15" t="str">
        <x:v>Caparo Industries Plc v Dickman [1990] 2 AC 605</x:v>
      </x:c>
      <x:c r="E30" s="15" t="n">
        <x:f>COUNTIF('Unique per draft'!$H$2:$H$474,A30)</x:f>
        <x:v>1</x:v>
      </x:c>
      <x:c r="F30" s="15" t="n">
        <x:f>COUNTIF('Occurrences'!$I$2:$I$722,A30)</x:f>
        <x:v>1</x:v>
      </x:c>
      <x:c r="G30" s="15" t="n">
        <x:f>COUNTIFS('Unique per draft'!$H$2:$H$474,A30,'Unique per draft'!$D$2:$D$474,"real")</x:f>
        <x:v>0</x:v>
      </x:c>
      <x:c r="H30" s="15" t="n">
        <x:f>COUNTIFS('Unique per draft'!$H$2:$H$474,A30,'Unique per draft'!$D$2:$D$474,"synthetic")</x:f>
        <x:v>1</x:v>
      </x:c>
      <x:c r="I30" s="15" t="str">
        <x:v>cmmmudwct000304kzc6d15a3r</x:v>
      </x:c>
    </x:row>
    <x:row r="31">
      <x:c r="A31" s="1" t="str">
        <x:v>case:catan and others v moldova and russia</x:v>
      </x:c>
      <x:c r="B31" s="1" t="str">
        <x:v>case</x:v>
      </x:c>
      <x:c r="C31" s="15" t="str">
        <x:v>Catan and Others v. Moldova and Russia</x:v>
      </x:c>
      <x:c r="D31" s="15" t="str">
        <x:v>N/A</x:v>
      </x:c>
      <x:c r="E31" s="15" t="n">
        <x:f>COUNTIF('Unique per draft'!$H$2:$H$474,A31)</x:f>
        <x:v>1</x:v>
      </x:c>
      <x:c r="F31" s="15" t="n">
        <x:f>COUNTIF('Occurrences'!$I$2:$I$722,A31)</x:f>
        <x:v>1</x:v>
      </x:c>
      <x:c r="G31" s="15" t="n">
        <x:f>COUNTIFS('Unique per draft'!$H$2:$H$474,A31,'Unique per draft'!$D$2:$D$474,"real")</x:f>
        <x:v>1</x:v>
      </x:c>
      <x:c r="H31" s="15" t="n">
        <x:f>COUNTIFS('Unique per draft'!$H$2:$H$474,A31,'Unique per draft'!$D$2:$D$474,"synthetic")</x:f>
        <x:v>0</x:v>
      </x:c>
      <x:c r="I31" s="15" t="str">
        <x:v>cmmjsmua2000q04jstd4i8p7c</x:v>
      </x:c>
    </x:row>
    <x:row r="32">
      <x:c r="A32" s="1" t="str">
        <x:v>case:2023 ewhc 1290 kb</x:v>
      </x:c>
      <x:c r="B32" s="1" t="str">
        <x:v>case</x:v>
      </x:c>
      <x:c r="C32" s="15" t="str">
        <x:v>Chapman v. Mid and South Sussex NHS Foundation Trust [2023] EWHC 1290 (KB)</x:v>
      </x:c>
      <x:c r="D32" s="15" t="str">
        <x:v>Chapman v. Mid and South Sussex NHS Foundation Trust [2023] EWHC 1290 (KB)</x:v>
      </x:c>
      <x:c r="E32" s="15" t="n">
        <x:f>COUNTIF('Unique per draft'!$H$2:$H$474,A32)</x:f>
        <x:v>1</x:v>
      </x:c>
      <x:c r="F32" s="15" t="n">
        <x:f>COUNTIF('Occurrences'!$I$2:$I$722,A32)</x:f>
        <x:v>1</x:v>
      </x:c>
      <x:c r="G32" s="15" t="n">
        <x:f>COUNTIFS('Unique per draft'!$H$2:$H$474,A32,'Unique per draft'!$D$2:$D$474,"real")</x:f>
        <x:v>1</x:v>
      </x:c>
      <x:c r="H32" s="15" t="n">
        <x:f>COUNTIFS('Unique per draft'!$H$2:$H$474,A32,'Unique per draft'!$D$2:$D$474,"synthetic")</x:f>
        <x:v>0</x:v>
      </x:c>
      <x:c r="I32" s="15" t="str">
        <x:v>cmmsiews2000304lgc3ooyg67</x:v>
      </x:c>
    </x:row>
    <x:row r="33">
      <x:c r="A33" s="1" t="str">
        <x:v>case:2009 ukhl 38</x:v>
      </x:c>
      <x:c r="B33" s="1" t="str">
        <x:v>case</x:v>
      </x:c>
      <x:c r="C33" s="15" t="str">
        <x:v>Chartbrook Ltd v Persimmon Homes Ltd [2009] UKHL 38</x:v>
      </x:c>
      <x:c r="D33" s="15" t="str">
        <x:v>Chartbrook Ltd v Persimmon Homes Ltd [2009] UKHL 38</x:v>
      </x:c>
      <x:c r="E33" s="15" t="n">
        <x:f>COUNTIF('Unique per draft'!$H$2:$H$474,A33)</x:f>
        <x:v>1</x:v>
      </x:c>
      <x:c r="F33" s="15" t="n">
        <x:f>COUNTIF('Occurrences'!$I$2:$I$722,A33)</x:f>
        <x:v>6</x:v>
      </x:c>
      <x:c r="G33" s="15" t="n">
        <x:f>COUNTIFS('Unique per draft'!$H$2:$H$474,A33,'Unique per draft'!$D$2:$D$474,"real")</x:f>
        <x:v>1</x:v>
      </x:c>
      <x:c r="H33" s="15" t="n">
        <x:f>COUNTIFS('Unique per draft'!$H$2:$H$474,A33,'Unique per draft'!$D$2:$D$474,"synthetic")</x:f>
        <x:v>0</x:v>
      </x:c>
      <x:c r="I33" s="15" t="str">
        <x:v>cmmxi2xkc000t04l8hsscxyvl</x:v>
      </x:c>
    </x:row>
    <x:row r="34">
      <x:c r="A34" s="1" t="str">
        <x:v>case:cherkley campaign ltd r on the application of v mole valley district council &amp; anor</x:v>
      </x:c>
      <x:c r="B34" s="1" t="str">
        <x:v>case</x:v>
      </x:c>
      <x:c r="C34" s="15" t="str">
        <x:v>Cherkley Campaign Ltd, R (on the application of) v Mole Valley District Council &amp; Anor</x:v>
      </x:c>
      <x:c r="D34" s="15" t="str">
        <x:v>N/A</x:v>
      </x:c>
      <x:c r="E34" s="15" t="n">
        <x:f>COUNTIF('Unique per draft'!$H$2:$H$474,A34)</x:f>
        <x:v>1</x:v>
      </x:c>
      <x:c r="F34" s="15" t="n">
        <x:f>COUNTIF('Occurrences'!$I$2:$I$722,A34)</x:f>
        <x:v>4</x:v>
      </x:c>
      <x:c r="G34" s="15" t="n">
        <x:f>COUNTIFS('Unique per draft'!$H$2:$H$474,A34,'Unique per draft'!$D$2:$D$474,"real")</x:f>
        <x:v>1</x:v>
      </x:c>
      <x:c r="H34" s="15" t="n">
        <x:f>COUNTIFS('Unique per draft'!$H$2:$H$474,A34,'Unique per draft'!$D$2:$D$474,"synthetic")</x:f>
        <x:v>0</x:v>
      </x:c>
      <x:c r="I34" s="15" t="str">
        <x:v>cmmxtzd4o000904jrjc2hdwrx</x:v>
      </x:c>
    </x:row>
    <x:row r="35">
      <x:c r="A35" s="1" t="str">
        <x:v>case:2022 ewca civ 305</x:v>
      </x:c>
      <x:c r="B35" s="1" t="str">
        <x:v>case</x:v>
      </x:c>
      <x:c r="C35" s="15" t="str">
        <x:v>Cheshire Cavity Storage 1 Limited v HM Revenue &amp; Customs</x:v>
      </x:c>
      <x:c r="D35" s="15" t="str">
        <x:v>[2022] EWCA Civ 305</x:v>
      </x:c>
      <x:c r="E35" s="15" t="n">
        <x:f>COUNTIF('Unique per draft'!$H$2:$H$474,A35)</x:f>
        <x:v>1</x:v>
      </x:c>
      <x:c r="F35" s="15" t="n">
        <x:f>COUNTIF('Occurrences'!$I$2:$I$722,A35)</x:f>
        <x:v>2</x:v>
      </x:c>
      <x:c r="G35" s="15" t="n">
        <x:f>COUNTIFS('Unique per draft'!$H$2:$H$474,A35,'Unique per draft'!$D$2:$D$474,"real")</x:f>
        <x:v>0</x:v>
      </x:c>
      <x:c r="H35" s="15" t="n">
        <x:f>COUNTIFS('Unique per draft'!$H$2:$H$474,A35,'Unique per draft'!$D$2:$D$474,"synthetic")</x:f>
        <x:v>1</x:v>
      </x:c>
      <x:c r="I35" s="15" t="str">
        <x:v>cmmf22axa000h04jxcpnnecs0</x:v>
      </x:c>
    </x:row>
    <x:row r="36">
      <x:c r="A36" s="1" t="str">
        <x:v>case:chesterton global ltd v nurmohamed</x:v>
      </x:c>
      <x:c r="B36" s="1" t="str">
        <x:v>case</x:v>
      </x:c>
      <x:c r="C36" s="15" t="str">
        <x:v>Chesterton Global Ltd v Nurmohamed</x:v>
      </x:c>
      <x:c r="D36" s="15" t="str"/>
      <x:c r="E36" s="15" t="n">
        <x:f>COUNTIF('Unique per draft'!$H$2:$H$474,A36)</x:f>
        <x:v>1</x:v>
      </x:c>
      <x:c r="F36" s="15" t="n">
        <x:f>COUNTIF('Occurrences'!$I$2:$I$722,A36)</x:f>
        <x:v>3</x:v>
      </x:c>
      <x:c r="G36" s="15" t="n">
        <x:f>COUNTIFS('Unique per draft'!$H$2:$H$474,A36,'Unique per draft'!$D$2:$D$474,"real")</x:f>
        <x:v>0</x:v>
      </x:c>
      <x:c r="H36" s="15" t="n">
        <x:f>COUNTIFS('Unique per draft'!$H$2:$H$474,A36,'Unique per draft'!$D$2:$D$474,"synthetic")</x:f>
        <x:v>1</x:v>
      </x:c>
      <x:c r="I36" s="15" t="str">
        <x:v>cmst4fdgx001l04l7p4wrw7w7</x:v>
      </x:c>
    </x:row>
    <x:row r="37">
      <x:c r="A37" s="1" t="str">
        <x:v>case:2017 ewca civ 1050</x:v>
      </x:c>
      <x:c r="B37" s="1" t="str">
        <x:v>case</x:v>
      </x:c>
      <x:c r="C37" s="15" t="str">
        <x:v>Chesterton Global Ltd v Nurmohamed (2017) EWCA Civ 1050</x:v>
      </x:c>
      <x:c r="D37" s="15" t="str">
        <x:v>Chesterton Global Ltd v Nurmohamed (2017) EWCA Civ 1050</x:v>
      </x:c>
      <x:c r="E37" s="15" t="n">
        <x:f>COUNTIF('Unique per draft'!$H$2:$H$474,A37)</x:f>
        <x:v>1</x:v>
      </x:c>
      <x:c r="F37" s="15" t="n">
        <x:f>COUNTIF('Occurrences'!$I$2:$I$722,A37)</x:f>
        <x:v>1</x:v>
      </x:c>
      <x:c r="G37" s="15" t="n">
        <x:f>COUNTIFS('Unique per draft'!$H$2:$H$474,A37,'Unique per draft'!$D$2:$D$474,"real")</x:f>
        <x:v>0</x:v>
      </x:c>
      <x:c r="H37" s="15" t="n">
        <x:f>COUNTIFS('Unique per draft'!$H$2:$H$474,A37,'Unique per draft'!$D$2:$D$474,"synthetic")</x:f>
        <x:v>1</x:v>
      </x:c>
      <x:c r="I37" s="15" t="str">
        <x:v>cmst4fdgx001l04l7p4wrw7w7</x:v>
      </x:c>
    </x:row>
    <x:row r="38">
      <x:c r="A38" s="1" t="str">
        <x:v>case:2014 ewca civ 658</x:v>
      </x:c>
      <x:c r="B38" s="1" t="str">
        <x:v>case</x:v>
      </x:c>
      <x:c r="C38" s="15" t="str">
        <x:v>Co-Operative Group Ltd v Baddeley</x:v>
      </x:c>
      <x:c r="D38" s="15" t="str">
        <x:v>[2014] EWCA Civ 658</x:v>
      </x:c>
      <x:c r="E38" s="15" t="n">
        <x:f>COUNTIF('Unique per draft'!$H$2:$H$474,A38)</x:f>
        <x:v>1</x:v>
      </x:c>
      <x:c r="F38" s="15" t="n">
        <x:f>COUNTIF('Occurrences'!$I$2:$I$722,A38)</x:f>
        <x:v>1</x:v>
      </x:c>
      <x:c r="G38" s="15" t="n">
        <x:f>COUNTIFS('Unique per draft'!$H$2:$H$474,A38,'Unique per draft'!$D$2:$D$474,"real")</x:f>
        <x:v>0</x:v>
      </x:c>
      <x:c r="H38" s="15" t="n">
        <x:f>COUNTIFS('Unique per draft'!$H$2:$H$474,A38,'Unique per draft'!$D$2:$D$474,"synthetic")</x:f>
        <x:v>1</x:v>
      </x:c>
      <x:c r="I38" s="15" t="str">
        <x:v>cmst4fdgx001l04l7p4wrw7w7</x:v>
      </x:c>
    </x:row>
    <x:row r="39">
      <x:c r="A39" s="1" t="str">
        <x:v>case:2022 ewca civ 1422</x:v>
      </x:c>
      <x:c r="B39" s="1" t="str">
        <x:v>case</x:v>
      </x:c>
      <x:c r="C39" s="15" t="str">
        <x:v>Cobalt Data Centre 2 LLP &amp; Anor v HM Revenue &amp; Customs</x:v>
      </x:c>
      <x:c r="D39" s="15" t="str">
        <x:v>[2022] EWCA Civ 1422</x:v>
      </x:c>
      <x:c r="E39" s="15" t="n">
        <x:f>COUNTIF('Unique per draft'!$H$2:$H$474,A39)</x:f>
        <x:v>1</x:v>
      </x:c>
      <x:c r="F39" s="15" t="n">
        <x:f>COUNTIF('Occurrences'!$I$2:$I$722,A39)</x:f>
        <x:v>4</x:v>
      </x:c>
      <x:c r="G39" s="15" t="n">
        <x:f>COUNTIFS('Unique per draft'!$H$2:$H$474,A39,'Unique per draft'!$D$2:$D$474,"real")</x:f>
        <x:v>0</x:v>
      </x:c>
      <x:c r="H39" s="15" t="n">
        <x:f>COUNTIFS('Unique per draft'!$H$2:$H$474,A39,'Unique per draft'!$D$2:$D$474,"synthetic")</x:f>
        <x:v>1</x:v>
      </x:c>
      <x:c r="I39" s="15" t="str">
        <x:v>cmmc2zaji000h04l23a3cp61p</x:v>
      </x:c>
    </x:row>
    <x:row r="40">
      <x:c r="A40" s="1" t="str">
        <x:v>case:2016 ewca civ 41</x:v>
      </x:c>
      <x:c r="B40" s="1" t="str">
        <x:v>case</x:v>
      </x:c>
      <x:c r="C40" s="15" t="str">
        <x:v>Comic Enterprises Ltd v Twentieth Century Fox Film Corporation</x:v>
      </x:c>
      <x:c r="D40" s="15" t="str">
        <x:v>[2016] EWCA Civ 41</x:v>
      </x:c>
      <x:c r="E40" s="15" t="n">
        <x:f>COUNTIF('Unique per draft'!$H$2:$H$474,A40)</x:f>
        <x:v>1</x:v>
      </x:c>
      <x:c r="F40" s="15" t="n">
        <x:f>COUNTIF('Occurrences'!$I$2:$I$722,A40)</x:f>
        <x:v>3</x:v>
      </x:c>
      <x:c r="G40" s="15" t="n">
        <x:f>COUNTIFS('Unique per draft'!$H$2:$H$474,A40,'Unique per draft'!$D$2:$D$474,"real")</x:f>
        <x:v>0</x:v>
      </x:c>
      <x:c r="H40" s="15" t="n">
        <x:f>COUNTIFS('Unique per draft'!$H$2:$H$474,A40,'Unique per draft'!$D$2:$D$474,"synthetic")</x:f>
        <x:v>1</x:v>
      </x:c>
      <x:c r="I40" s="15" t="str">
        <x:v>cmst4kl1t000h04js7g8j67zy</x:v>
      </x:c>
    </x:row>
    <x:row r="41">
      <x:c r="A41" s="1" t="str">
        <x:v>case:cornelius v dubai islamic bank pjsc</x:v>
      </x:c>
      <x:c r="B41" s="1" t="str">
        <x:v>case</x:v>
      </x:c>
      <x:c r="C41" s="15" t="str">
        <x:v>Cornelius v Dubai Islamic Bank PJSC</x:v>
      </x:c>
      <x:c r="D41" s="15" t="str"/>
      <x:c r="E41" s="15" t="n">
        <x:f>COUNTIF('Unique per draft'!$H$2:$H$474,A41)</x:f>
        <x:v>1</x:v>
      </x:c>
      <x:c r="F41" s="15" t="n">
        <x:f>COUNTIF('Occurrences'!$I$2:$I$722,A41)</x:f>
        <x:v>1</x:v>
      </x:c>
      <x:c r="G41" s="15" t="n">
        <x:f>COUNTIFS('Unique per draft'!$H$2:$H$474,A41,'Unique per draft'!$D$2:$D$474,"real")</x:f>
        <x:v>1</x:v>
      </x:c>
      <x:c r="H41" s="15" t="n">
        <x:f>COUNTIFS('Unique per draft'!$H$2:$H$474,A41,'Unique per draft'!$D$2:$D$474,"synthetic")</x:f>
        <x:v>0</x:v>
      </x:c>
      <x:c r="I41" s="15" t="str">
        <x:v>cmmxi2xkc000t04l8hsscxyvl</x:v>
      </x:c>
    </x:row>
    <x:row r="42">
      <x:c r="A42" s="1" t="str">
        <x:v>case:2016 ewca civ 1004</x:v>
      </x:c>
      <x:c r="B42" s="1" t="str">
        <x:v>case</x:v>
      </x:c>
      <x:c r="C42" s="15" t="str">
        <x:v>Creggy v Barnett &amp; Anor</x:v>
      </x:c>
      <x:c r="D42" s="15" t="str">
        <x:v>[2016] EWCA Civ 1004</x:v>
      </x:c>
      <x:c r="E42" s="15" t="n">
        <x:f>COUNTIF('Unique per draft'!$H$2:$H$474,A42)</x:f>
        <x:v>3</x:v>
      </x:c>
      <x:c r="F42" s="15" t="n">
        <x:f>COUNTIF('Occurrences'!$I$2:$I$722,A42)</x:f>
        <x:v>16</x:v>
      </x:c>
      <x:c r="G42" s="15" t="n">
        <x:f>COUNTIFS('Unique per draft'!$H$2:$H$474,A42,'Unique per draft'!$D$2:$D$474,"real")</x:f>
        <x:v>0</x:v>
      </x:c>
      <x:c r="H42" s="15" t="n">
        <x:f>COUNTIFS('Unique per draft'!$H$2:$H$474,A42,'Unique per draft'!$D$2:$D$474,"synthetic")</x:f>
        <x:v>3</x:v>
      </x:c>
      <x:c r="I42" s="15" t="str">
        <x:v>cmm0ckscr000t04i312fc6edg | cmm0ct5sl001504i3x6g18pvd | cmm927sxp000304jp8fpwf2ew</x:v>
      </x:c>
    </x:row>
    <x:row r="43">
      <x:c r="A43" s="1" t="str">
        <x:v>case:creggy v barnett &amp; anor</x:v>
      </x:c>
      <x:c r="B43" s="1" t="str">
        <x:v>case</x:v>
      </x:c>
      <x:c r="C43" s="15" t="str">
        <x:v>Creggy v Barnett &amp; Anor</x:v>
      </x:c>
      <x:c r="D43" s="15" t="str">
        <x:v>Creggy v Barnett &amp; Anor</x:v>
      </x:c>
      <x:c r="E43" s="15" t="n">
        <x:f>COUNTIF('Unique per draft'!$H$2:$H$474,A43)</x:f>
        <x:v>2</x:v>
      </x:c>
      <x:c r="F43" s="15" t="n">
        <x:f>COUNTIF('Occurrences'!$I$2:$I$722,A43)</x:f>
        <x:v>4</x:v>
      </x:c>
      <x:c r="G43" s="15" t="n">
        <x:f>COUNTIFS('Unique per draft'!$H$2:$H$474,A43,'Unique per draft'!$D$2:$D$474,"real")</x:f>
        <x:v>0</x:v>
      </x:c>
      <x:c r="H43" s="15" t="n">
        <x:f>COUNTIFS('Unique per draft'!$H$2:$H$474,A43,'Unique per draft'!$D$2:$D$474,"synthetic")</x:f>
        <x:v>2</x:v>
      </x:c>
      <x:c r="I43" s="15" t="str">
        <x:v>cmm920v38000b04ib8ug7hazg | cmm927sxp000304jp8fpwf2ew</x:v>
      </x:c>
    </x:row>
    <x:row r="44">
      <x:c r="A44" s="1" t="str">
        <x:v>case:2015 ewca civ 986</x:v>
      </x:c>
      <x:c r="B44" s="1" t="str">
        <x:v>case</x:v>
      </x:c>
      <x:c r="C44" s="15" t="str">
        <x:v>Crestsign Ltd v National Westminster Bank Plc &amp; Anor</x:v>
      </x:c>
      <x:c r="D44" s="15" t="str">
        <x:v>[2015] EWCA Civ 986</x:v>
      </x:c>
      <x:c r="E44" s="15" t="n">
        <x:f>COUNTIF('Unique per draft'!$H$2:$H$474,A44)</x:f>
        <x:v>1</x:v>
      </x:c>
      <x:c r="F44" s="15" t="n">
        <x:f>COUNTIF('Occurrences'!$I$2:$I$722,A44)</x:f>
        <x:v>3</x:v>
      </x:c>
      <x:c r="G44" s="15" t="n">
        <x:f>COUNTIFS('Unique per draft'!$H$2:$H$474,A44,'Unique per draft'!$D$2:$D$474,"real")</x:f>
        <x:v>0</x:v>
      </x:c>
      <x:c r="H44" s="15" t="n">
        <x:f>COUNTIFS('Unique per draft'!$H$2:$H$474,A44,'Unique per draft'!$D$2:$D$474,"synthetic")</x:f>
        <x:v>1</x:v>
      </x:c>
      <x:c r="I44" s="15" t="str">
        <x:v>cmst45vlc000h04l7f6nlqawg</x:v>
      </x:c>
    </x:row>
    <x:row r="45">
      <x:c r="A45" s="1" t="str">
        <x:v>case:crestsign ltd v national westminster bank plc &amp; anor</x:v>
      </x:c>
      <x:c r="B45" s="1" t="str">
        <x:v>case</x:v>
      </x:c>
      <x:c r="C45" s="15" t="str">
        <x:v>Crestsign Ltd v National Westminster Bank Plc &amp; Anor</x:v>
      </x:c>
      <x:c r="D45" s="15" t="str">
        <x:v>Crestsign Ltd v National Westminster Bank Plc &amp; Anor</x:v>
      </x:c>
      <x:c r="E45" s="15" t="n">
        <x:f>COUNTIF('Unique per draft'!$H$2:$H$474,A45)</x:f>
        <x:v>1</x:v>
      </x:c>
      <x:c r="F45" s="15" t="n">
        <x:f>COUNTIF('Occurrences'!$I$2:$I$722,A45)</x:f>
        <x:v>1</x:v>
      </x:c>
      <x:c r="G45" s="15" t="n">
        <x:f>COUNTIFS('Unique per draft'!$H$2:$H$474,A45,'Unique per draft'!$D$2:$D$474,"real")</x:f>
        <x:v>0</x:v>
      </x:c>
      <x:c r="H45" s="15" t="n">
        <x:f>COUNTIFS('Unique per draft'!$H$2:$H$474,A45,'Unique per draft'!$D$2:$D$474,"synthetic")</x:f>
        <x:v>1</x:v>
      </x:c>
      <x:c r="I45" s="15" t="str">
        <x:v>cmst45vlc000h04l7f6nlqawg</x:v>
      </x:c>
    </x:row>
    <x:row r="46">
      <x:c r="A46" s="1" t="str">
        <x:v>case:2016 ewca civ 119</x:v>
      </x:c>
      <x:c r="B46" s="1" t="str">
        <x:v>case</x:v>
      </x:c>
      <x:c r="C46" s="15" t="str">
        <x:v>Deutsche Bank AG v Unitech Global Limited &amp; Ors</x:v>
      </x:c>
      <x:c r="D46" s="15" t="str">
        <x:v>[2016] EWCA Civ 119</x:v>
      </x:c>
      <x:c r="E46" s="15" t="n">
        <x:f>COUNTIF('Unique per draft'!$H$2:$H$474,A46)</x:f>
        <x:v>1</x:v>
      </x:c>
      <x:c r="F46" s="15" t="n">
        <x:f>COUNTIF('Occurrences'!$I$2:$I$722,A46)</x:f>
        <x:v>6</x:v>
      </x:c>
      <x:c r="G46" s="15" t="n">
        <x:f>COUNTIFS('Unique per draft'!$H$2:$H$474,A46,'Unique per draft'!$D$2:$D$474,"real")</x:f>
        <x:v>0</x:v>
      </x:c>
      <x:c r="H46" s="15" t="n">
        <x:f>COUNTIFS('Unique per draft'!$H$2:$H$474,A46,'Unique per draft'!$D$2:$D$474,"synthetic")</x:f>
        <x:v>1</x:v>
      </x:c>
      <x:c r="I46" s="15" t="str">
        <x:v>cmst45vlc000h04l7f6nlqawg</x:v>
      </x:c>
    </x:row>
    <x:row r="47">
      <x:c r="A47" s="1" t="str">
        <x:v>case:dixon &amp; anor v blindley heath investments ltd &amp; anor</x:v>
      </x:c>
      <x:c r="B47" s="1" t="str">
        <x:v>case</x:v>
      </x:c>
      <x:c r="C47" s="15" t="str">
        <x:v>Dixon &amp; Anor v Blindley Heath Investments Ltd &amp; Anor</x:v>
      </x:c>
      <x:c r="D47" s="15" t="str">
        <x:v>N/A</x:v>
      </x:c>
      <x:c r="E47" s="15" t="n">
        <x:f>COUNTIF('Unique per draft'!$H$2:$H$474,A47)</x:f>
        <x:v>1</x:v>
      </x:c>
      <x:c r="F47" s="15" t="n">
        <x:f>COUNTIF('Occurrences'!$I$2:$I$722,A47)</x:f>
        <x:v>1</x:v>
      </x:c>
      <x:c r="G47" s="15" t="n">
        <x:f>COUNTIFS('Unique per draft'!$H$2:$H$474,A47,'Unique per draft'!$D$2:$D$474,"real")</x:f>
        <x:v>1</x:v>
      </x:c>
      <x:c r="H47" s="15" t="n">
        <x:f>COUNTIFS('Unique per draft'!$H$2:$H$474,A47,'Unique per draft'!$D$2:$D$474,"synthetic")</x:f>
        <x:v>0</x:v>
      </x:c>
      <x:c r="I47" s="15" t="str">
        <x:v>cmsbrqmhv000j04jp78i2n3gf</x:v>
      </x:c>
    </x:row>
    <x:row r="48">
      <x:c r="A48" s="1" t="str">
        <x:v>case:dowling v griffin</x:v>
      </x:c>
      <x:c r="B48" s="1" t="str">
        <x:v>case</x:v>
      </x:c>
      <x:c r="C48" s="15" t="str">
        <x:v>Dowling v Griffin</x:v>
      </x:c>
      <x:c r="D48" s="15" t="str">
        <x:v>N/A</x:v>
      </x:c>
      <x:c r="E48" s="15" t="n">
        <x:f>COUNTIF('Unique per draft'!$H$2:$H$474,A48)</x:f>
        <x:v>1</x:v>
      </x:c>
      <x:c r="F48" s="15" t="n">
        <x:f>COUNTIF('Occurrences'!$I$2:$I$722,A48)</x:f>
        <x:v>3</x:v>
      </x:c>
      <x:c r="G48" s="15" t="n">
        <x:f>COUNTIFS('Unique per draft'!$H$2:$H$474,A48,'Unique per draft'!$D$2:$D$474,"real")</x:f>
        <x:v>0</x:v>
      </x:c>
      <x:c r="H48" s="15" t="n">
        <x:f>COUNTIFS('Unique per draft'!$H$2:$H$474,A48,'Unique per draft'!$D$2:$D$474,"synthetic")</x:f>
        <x:v>1</x:v>
      </x:c>
      <x:c r="I48" s="15" t="str">
        <x:v>cmmmudwct000304kzc6d15a3r</x:v>
      </x:c>
    </x:row>
    <x:row r="49">
      <x:c r="A49" s="1" t="str">
        <x:v>case:2023 ewca civ 359</x:v>
      </x:c>
      <x:c r="B49" s="1" t="str">
        <x:v>case</x:v>
      </x:c>
      <x:c r="C49" s="15" t="str">
        <x:v>East Quayside 12 LLP v The Council of the City of Newcastle upon Tyne</x:v>
      </x:c>
      <x:c r="D49" s="15" t="str">
        <x:v>[2023] EWCA Civ 359</x:v>
      </x:c>
      <x:c r="E49" s="15" t="n">
        <x:f>COUNTIF('Unique per draft'!$H$2:$H$474,A49)</x:f>
        <x:v>1</x:v>
      </x:c>
      <x:c r="F49" s="15" t="n">
        <x:f>COUNTIF('Occurrences'!$I$2:$I$722,A49)</x:f>
        <x:v>1</x:v>
      </x:c>
      <x:c r="G49" s="15" t="n">
        <x:f>COUNTIFS('Unique per draft'!$H$2:$H$474,A49,'Unique per draft'!$D$2:$D$474,"real")</x:f>
        <x:v>1</x:v>
      </x:c>
      <x:c r="H49" s="15" t="n">
        <x:f>COUNTIFS('Unique per draft'!$H$2:$H$474,A49,'Unique per draft'!$D$2:$D$474,"synthetic")</x:f>
        <x:v>0</x:v>
      </x:c>
      <x:c r="I49" s="15" t="str">
        <x:v>cmsbr021t001104jndbjo02xo</x:v>
      </x:c>
    </x:row>
    <x:row r="50">
      <x:c r="A50" s="1" t="str">
        <x:v>case:2002 ewca civ 605</x:v>
      </x:c>
      <x:c r="B50" s="1" t="str">
        <x:v>case</x:v>
      </x:c>
      <x:c r="C50" s="15" t="str">
        <x:v>English v Emery Reimbold &amp; Strick Ltd [2002] EWCA Civ 605</x:v>
      </x:c>
      <x:c r="D50" s="15" t="str">
        <x:v>English v Emery Reimbold &amp; Strick Ltd [2002] EWCA Civ 605</x:v>
      </x:c>
      <x:c r="E50" s="15" t="n">
        <x:f>COUNTIF('Unique per draft'!$H$2:$H$474,A50)</x:f>
        <x:v>35</x:v>
      </x:c>
      <x:c r="F50" s="15" t="n">
        <x:f>COUNTIF('Occurrences'!$I$2:$I$722,A50)</x:f>
        <x:v>36</x:v>
      </x:c>
      <x:c r="G50" s="15" t="n">
        <x:f>COUNTIFS('Unique per draft'!$H$2:$H$474,A50,'Unique per draft'!$D$2:$D$474,"real")</x:f>
        <x:v>20</x:v>
      </x:c>
      <x:c r="H50" s="15" t="n">
        <x:f>COUNTIFS('Unique per draft'!$H$2:$H$474,A50,'Unique per draft'!$D$2:$D$474,"synthetic")</x:f>
        <x:v>15</x:v>
      </x:c>
      <x:c r="I50" s="15" t="str">
        <x:v>cmlzpblc7000304jv62ixuvp8 | cmlzy9ss300fz04i80p2yfbg1 | cmm0bebet000404jvmcxyqo4x | cmm0k3nj8000h04l412ruhfxj | cmm3b1g6j000j04jt8w2u9z6w | cmm93eoww000904l4jttzk880 | cmmafut12000904l4kjskwky4 | cmmc2zaji000h04l23a3cp61p | cmmcal70d000h04k3e11w997v | cmmdjqxh3000304kvs37yorn3 | cmmdkjytd000304jl24cdxqvp | cmmf22axa000h04jxcpnnecs0 | cmmjsmua2000q04jstd4i8p7c | cmmjtnsdx000904l4vhap8xwc | cmmls2r93000304jme0bpsul9 | cmmrr64va000h04jvzuquhz2y | cmmsi1xqb000h04jsef3v6skf | cmmxgyd9z000h04kttryogau2 | cmmxktfx8000904johoqmmfkm | cmmxpdot1000h04i8q3aleh7a | cms1ps00j000j04jsbxrn9wrj | cms1u865i000904jxu5huyjg5 | cmsbj40n7000h04jwpx41ia5n | cmsbqvqsj000h04jnb8tn656h | cmsbr021t001104jndbjo02xo | cmsbr4fhb000v04l4mgwtz5x1 | cmsbrqmhv000j04jp78i2n3gf | cmsbrvtc4001304jp5e4691on | cmsbsp3em001104ji2u62id7q | cmsbsvvmu001x04jittsrlhz0 | cmsbszs77002304ji6ldkbjce | cmsbt3hfa002904ji8k6b026n | cmsbtbxft002t04jic4baeo3l | cmst49zw4001104l7neqlaa0v | cmst80ckg000h04i9rasplurj</x:v>
      </x:c>
    </x:row>
    <x:row r="51">
      <x:c r="A51" s="1" t="str">
        <x:v>case:2021 uksc 1</x:v>
      </x:c>
      <x:c r="B51" s="1" t="str">
        <x:v>case</x:v>
      </x:c>
      <x:c r="C51" s="15" t="str">
        <x:v>FCA v Arch Insurance (UK) Ltd [2021] UKSC 1</x:v>
      </x:c>
      <x:c r="D51" s="15" t="str">
        <x:v>FCA v Arch Insurance (UK) Ltd [2021] UKSC 1</x:v>
      </x:c>
      <x:c r="E51" s="15" t="n">
        <x:f>COUNTIF('Unique per draft'!$H$2:$H$474,A51)</x:f>
        <x:v>1</x:v>
      </x:c>
      <x:c r="F51" s="15" t="n">
        <x:f>COUNTIF('Occurrences'!$I$2:$I$722,A51)</x:f>
        <x:v>1</x:v>
      </x:c>
      <x:c r="G51" s="15" t="n">
        <x:f>COUNTIFS('Unique per draft'!$H$2:$H$474,A51,'Unique per draft'!$D$2:$D$474,"real")</x:f>
        <x:v>0</x:v>
      </x:c>
      <x:c r="H51" s="15" t="n">
        <x:f>COUNTIFS('Unique per draft'!$H$2:$H$474,A51,'Unique per draft'!$D$2:$D$474,"synthetic")</x:f>
        <x:v>1</x:v>
      </x:c>
      <x:c r="I51" s="15" t="str">
        <x:v>cmmcal70d000h04k3e11w997v</x:v>
      </x:c>
    </x:row>
    <x:row r="52">
      <x:c r="A52" s="1" t="str">
        <x:v>case:2022 ewca civ 187</x:v>
      </x:c>
      <x:c r="B52" s="1" t="str">
        <x:v>case</x:v>
      </x:c>
      <x:c r="C52" s="15" t="str">
        <x:v>Finch On Behalf of the Weald Action Group, R (On the Application Of) v Surrey County Council &amp; Ors</x:v>
      </x:c>
      <x:c r="D52" s="15" t="str">
        <x:v>[2022] EWCA Civ 187</x:v>
      </x:c>
      <x:c r="E52" s="15" t="n">
        <x:f>COUNTIF('Unique per draft'!$H$2:$H$474,A52)</x:f>
        <x:v>2</x:v>
      </x:c>
      <x:c r="F52" s="15" t="n">
        <x:f>COUNTIF('Occurrences'!$I$2:$I$722,A52)</x:f>
        <x:v>4</x:v>
      </x:c>
      <x:c r="G52" s="15" t="n">
        <x:f>COUNTIFS('Unique per draft'!$H$2:$H$474,A52,'Unique per draft'!$D$2:$D$474,"real")</x:f>
        <x:v>0</x:v>
      </x:c>
      <x:c r="H52" s="15" t="n">
        <x:f>COUNTIFS('Unique per draft'!$H$2:$H$474,A52,'Unique per draft'!$D$2:$D$474,"synthetic")</x:f>
        <x:v>2</x:v>
      </x:c>
      <x:c r="I52" s="15" t="str">
        <x:v>cmlzy9ss300fz04i80p2yfbg1 | cmm0k3nj8000h04l412ruhfxj</x:v>
      </x:c>
    </x:row>
    <x:row r="53">
      <x:c r="A53" s="1" t="str">
        <x:v>case:flannery v halifax estate agencies ltd</x:v>
      </x:c>
      <x:c r="B53" s="1" t="str">
        <x:v>case</x:v>
      </x:c>
      <x:c r="C53" s="15" t="str">
        <x:v>Flannery v Halifax Estate Agencies Ltd</x:v>
      </x:c>
      <x:c r="D53" s="15" t="str">
        <x:v>Flannery v Halifax Estate Agencies Ltd</x:v>
      </x:c>
      <x:c r="E53" s="15" t="n">
        <x:f>COUNTIF('Unique per draft'!$H$2:$H$474,A53)</x:f>
        <x:v>3</x:v>
      </x:c>
      <x:c r="F53" s="15" t="n">
        <x:f>COUNTIF('Occurrences'!$I$2:$I$722,A53)</x:f>
        <x:v>3</x:v>
      </x:c>
      <x:c r="G53" s="15" t="n">
        <x:f>COUNTIFS('Unique per draft'!$H$2:$H$474,A53,'Unique per draft'!$D$2:$D$474,"real")</x:f>
        <x:v>2</x:v>
      </x:c>
      <x:c r="H53" s="15" t="n">
        <x:f>COUNTIFS('Unique per draft'!$H$2:$H$474,A53,'Unique per draft'!$D$2:$D$474,"synthetic")</x:f>
        <x:v>1</x:v>
      </x:c>
      <x:c r="I53" s="15" t="str">
        <x:v>cmmc4a8zu000h04jx2w3r0hzo | cmsbr021t001104jndbjo02xo | cmst4kl1t000h04js7g8j67zy</x:v>
      </x:c>
    </x:row>
    <x:row r="54">
      <x:c r="A54" s="1" t="str">
        <x:v>case:2000 1 wlr 377</x:v>
      </x:c>
      <x:c r="B54" s="1" t="str">
        <x:v>case</x:v>
      </x:c>
      <x:c r="C54" s="15" t="str">
        <x:v>Flannery v Halifax Estate Agencies Ltd [2000] 1 WLR 377</x:v>
      </x:c>
      <x:c r="D54" s="15" t="str">
        <x:v>Flannery v Halifax Estate Agencies Ltd [2000] 1 WLR 377</x:v>
      </x:c>
      <x:c r="E54" s="15" t="n">
        <x:f>COUNTIF('Unique per draft'!$H$2:$H$474,A54)</x:f>
        <x:v>22</x:v>
      </x:c>
      <x:c r="F54" s="15" t="n">
        <x:f>COUNTIF('Occurrences'!$I$2:$I$722,A54)</x:f>
        <x:v>22</x:v>
      </x:c>
      <x:c r="G54" s="15" t="n">
        <x:f>COUNTIFS('Unique per draft'!$H$2:$H$474,A54,'Unique per draft'!$D$2:$D$474,"real")</x:f>
        <x:v>14</x:v>
      </x:c>
      <x:c r="H54" s="15" t="n">
        <x:f>COUNTIFS('Unique per draft'!$H$2:$H$474,A54,'Unique per draft'!$D$2:$D$474,"synthetic")</x:f>
        <x:v>8</x:v>
      </x:c>
      <x:c r="I54" s="15" t="str">
        <x:v>cmlzpblc7000304jv62ixuvp8 | cmlzy9ss300fz04i80p2yfbg1 | cmm3b1g6j000j04jt8w2u9z6w | cmm927sxp000304jp8fpwf2ew | cmmc2zaji000h04l23a3cp61p | cmmdjqxh3000304kvs37yorn3 | cmmdkjytd000304jl24cdxqvp | cmmjtnsdx000904l4vhap8xwc | cmmsi1xqb000h04jsef3v6skf | cmmsiews2000304lgc3ooyg67 | cmmxktfx8000904johoqmmfkm | cmomnx9nj000304jkyxxg2b0k | cms1ps00j000j04jsbxrn9wrj | cmsbj40n7000h04jwpx41ia5n | cmsbqvqsj000h04jnb8tn656h | cmsbr3045000j04l4tkps7ymp | cmsbrc37v001x04l4t7r77h89 | cmsbrqmhv000j04jp78i2n3gf | cmsbrvtc4001304jp5e4691on | cmsbszs77002304ji6ldkbjce | cmsbt3hfa002904ji8k6b026n | cmst7uoeu00d804l5ayb3b9q8</x:v>
      </x:c>
    </x:row>
    <x:row r="55">
      <x:c r="A55" s="1" t="str">
        <x:v>case:2023 ewca civ 440</x:v>
      </x:c>
      <x:c r="B55" s="1" t="str">
        <x:v>case</x:v>
      </x:c>
      <x:c r="C55" s="15" t="str">
        <x:v>Floreat Investment Management Ltd v Churchill &amp; Ors</x:v>
      </x:c>
      <x:c r="D55" s="15" t="str">
        <x:v>[2023] EWCA Civ 440</x:v>
      </x:c>
      <x:c r="E55" s="15" t="n">
        <x:f>COUNTIF('Unique per draft'!$H$2:$H$474,A55)</x:f>
        <x:v>3</x:v>
      </x:c>
      <x:c r="F55" s="15" t="n">
        <x:f>COUNTIF('Occurrences'!$I$2:$I$722,A55)</x:f>
        <x:v>9</x:v>
      </x:c>
      <x:c r="G55" s="15" t="n">
        <x:f>COUNTIFS('Unique per draft'!$H$2:$H$474,A55,'Unique per draft'!$D$2:$D$474,"real")</x:f>
        <x:v>0</x:v>
      </x:c>
      <x:c r="H55" s="15" t="n">
        <x:f>COUNTIFS('Unique per draft'!$H$2:$H$474,A55,'Unique per draft'!$D$2:$D$474,"synthetic")</x:f>
        <x:v>3</x:v>
      </x:c>
      <x:c r="I55" s="15" t="str">
        <x:v>cmm0ct5sl001504i3x6g18pvd | cmm927sxp000304jp8fpwf2ew | cmst7uoeu00d804l5ayb3b9q8</x:v>
      </x:c>
    </x:row>
    <x:row r="56">
      <x:c r="A56" s="1" t="str">
        <x:v>case:floreat investment management ltd v churchill &amp; ors</x:v>
      </x:c>
      <x:c r="B56" s="1" t="str">
        <x:v>case</x:v>
      </x:c>
      <x:c r="C56" s="15" t="str">
        <x:v>Floreat Investment Management Ltd v Churchill &amp; Ors</x:v>
      </x:c>
      <x:c r="D56" s="15" t="str"/>
      <x:c r="E56" s="15" t="n">
        <x:f>COUNTIF('Unique per draft'!$H$2:$H$474,A56)</x:f>
        <x:v>1</x:v>
      </x:c>
      <x:c r="F56" s="15" t="n">
        <x:f>COUNTIF('Occurrences'!$I$2:$I$722,A56)</x:f>
        <x:v>3</x:v>
      </x:c>
      <x:c r="G56" s="15" t="n">
        <x:f>COUNTIFS('Unique per draft'!$H$2:$H$474,A56,'Unique per draft'!$D$2:$D$474,"real")</x:f>
        <x:v>0</x:v>
      </x:c>
      <x:c r="H56" s="15" t="n">
        <x:f>COUNTIFS('Unique per draft'!$H$2:$H$474,A56,'Unique per draft'!$D$2:$D$474,"synthetic")</x:f>
        <x:v>1</x:v>
      </x:c>
      <x:c r="I56" s="15" t="str">
        <x:v>cmm920v38000b04ib8ug7hazg</x:v>
      </x:c>
    </x:row>
    <x:row r="57">
      <x:c r="A57" s="1" t="str">
        <x:v>case:2015 ewca civ 806</x:v>
      </x:c>
      <x:c r="B57" s="1" t="str">
        <x:v>case</x:v>
      </x:c>
      <x:c r="C57" s="15" t="str">
        <x:v>Freifeld &amp; Anor v West Kensington Court Ltd</x:v>
      </x:c>
      <x:c r="D57" s="15" t="str">
        <x:v>[2015] EWCA Civ 806</x:v>
      </x:c>
      <x:c r="E57" s="15" t="n">
        <x:f>COUNTIF('Unique per draft'!$H$2:$H$474,A57)</x:f>
        <x:v>1</x:v>
      </x:c>
      <x:c r="F57" s="15" t="n">
        <x:f>COUNTIF('Occurrences'!$I$2:$I$722,A57)</x:f>
        <x:v>2</x:v>
      </x:c>
      <x:c r="G57" s="15" t="n">
        <x:f>COUNTIFS('Unique per draft'!$H$2:$H$474,A57,'Unique per draft'!$D$2:$D$474,"real")</x:f>
        <x:v>0</x:v>
      </x:c>
      <x:c r="H57" s="15" t="n">
        <x:f>COUNTIFS('Unique per draft'!$H$2:$H$474,A57,'Unique per draft'!$D$2:$D$474,"synthetic")</x:f>
        <x:v>1</x:v>
      </x:c>
      <x:c r="I57" s="15" t="str">
        <x:v>cmmdjqxh3000304kvs37yorn3</x:v>
      </x:c>
    </x:row>
    <x:row r="58">
      <x:c r="A58" s="1" t="str">
        <x:v>case:freifeld &amp; anor v west kensington court ltd</x:v>
      </x:c>
      <x:c r="B58" s="1" t="str">
        <x:v>case</x:v>
      </x:c>
      <x:c r="C58" s="15" t="str">
        <x:v>Freifeld &amp; Anor v West Kensington Court Ltd</x:v>
      </x:c>
      <x:c r="D58" s="15" t="str">
        <x:v>N/A</x:v>
      </x:c>
      <x:c r="E58" s="15" t="n">
        <x:f>COUNTIF('Unique per draft'!$H$2:$H$474,A58)</x:f>
        <x:v>2</x:v>
      </x:c>
      <x:c r="F58" s="15" t="n">
        <x:f>COUNTIF('Occurrences'!$I$2:$I$722,A58)</x:f>
        <x:v>3</x:v>
      </x:c>
      <x:c r="G58" s="15" t="n">
        <x:f>COUNTIFS('Unique per draft'!$H$2:$H$474,A58,'Unique per draft'!$D$2:$D$474,"real")</x:f>
        <x:v>0</x:v>
      </x:c>
      <x:c r="H58" s="15" t="n">
        <x:f>COUNTIFS('Unique per draft'!$H$2:$H$474,A58,'Unique per draft'!$D$2:$D$474,"synthetic")</x:f>
        <x:v>2</x:v>
      </x:c>
      <x:c r="I58" s="15" t="str">
        <x:v>cmmdkjytd000304jl24cdxqvp | cmmls2r93000304jme0bpsul9</x:v>
      </x:c>
    </x:row>
    <x:row r="59">
      <x:c r="A59" s="1" t="str">
        <x:v>case:2023 ewca civ 14</x:v>
      </x:c>
      <x:c r="B59" s="1" t="str">
        <x:v>case</x:v>
      </x:c>
      <x:c r="C59" s="15" t="str">
        <x:v>Friends of the Earth Limited v Secretary of State for International Trade/UK Export Finance (UKEF) &amp; Anor (Rev1)</x:v>
      </x:c>
      <x:c r="D59" s="15" t="str">
        <x:v>[2023] EWCA Civ 14</x:v>
      </x:c>
      <x:c r="E59" s="15" t="n">
        <x:f>COUNTIF('Unique per draft'!$H$2:$H$474,A59)</x:f>
        <x:v>1</x:v>
      </x:c>
      <x:c r="F59" s="15" t="n">
        <x:f>COUNTIF('Occurrences'!$I$2:$I$722,A59)</x:f>
        <x:v>1</x:v>
      </x:c>
      <x:c r="G59" s="15" t="n">
        <x:f>COUNTIFS('Unique per draft'!$H$2:$H$474,A59,'Unique per draft'!$D$2:$D$474,"real")</x:f>
        <x:v>0</x:v>
      </x:c>
      <x:c r="H59" s="15" t="n">
        <x:f>COUNTIFS('Unique per draft'!$H$2:$H$474,A59,'Unique per draft'!$D$2:$D$474,"synthetic")</x:f>
        <x:v>1</x:v>
      </x:c>
      <x:c r="I59" s="15" t="str">
        <x:v>cmm0k3nj8000h04l412ruhfxj</x:v>
      </x:c>
    </x:row>
    <x:row r="60">
      <x:c r="A60" s="1" t="str">
        <x:v>case:2014 ewca civ 1213</x:v>
      </x:c>
      <x:c r="B60" s="1" t="str">
        <x:v>case</x:v>
      </x:c>
      <x:c r="C60" s="15" t="str">
        <x:v>Gaurilcikiene v Tesco Stores Ltd</x:v>
      </x:c>
      <x:c r="D60" s="15" t="str">
        <x:v>[2014] EWCA Civ 1213</x:v>
      </x:c>
      <x:c r="E60" s="15" t="n">
        <x:f>COUNTIF('Unique per draft'!$H$2:$H$474,A60)</x:f>
        <x:v>1</x:v>
      </x:c>
      <x:c r="F60" s="15" t="n">
        <x:f>COUNTIF('Occurrences'!$I$2:$I$722,A60)</x:f>
        <x:v>3</x:v>
      </x:c>
      <x:c r="G60" s="15" t="n">
        <x:f>COUNTIFS('Unique per draft'!$H$2:$H$474,A60,'Unique per draft'!$D$2:$D$474,"real")</x:f>
        <x:v>0</x:v>
      </x:c>
      <x:c r="H60" s="15" t="n">
        <x:f>COUNTIFS('Unique per draft'!$H$2:$H$474,A60,'Unique per draft'!$D$2:$D$474,"synthetic")</x:f>
        <x:v>1</x:v>
      </x:c>
      <x:c r="I60" s="15" t="str">
        <x:v>cmst419ew000k04ladhs06s0r</x:v>
      </x:c>
    </x:row>
    <x:row r="61">
      <x:c r="A61" s="1" t="str">
        <x:v>case:2004 ewhc 779 admin</x:v>
      </x:c>
      <x:c r="B61" s="1" t="str">
        <x:v>case</x:v>
      </x:c>
      <x:c r="C61" s="15" t="str">
        <x:v>Georgiou v London Borough of Enfield &amp; Ors</x:v>
      </x:c>
      <x:c r="D61" s="15" t="str">
        <x:v>[2004] EWHC 779 (Admin)</x:v>
      </x:c>
      <x:c r="E61" s="15" t="n">
        <x:f>COUNTIF('Unique per draft'!$H$2:$H$474,A61)</x:f>
        <x:v>2</x:v>
      </x:c>
      <x:c r="F61" s="15" t="n">
        <x:f>COUNTIF('Occurrences'!$I$2:$I$722,A61)</x:f>
        <x:v>5</x:v>
      </x:c>
      <x:c r="G61" s="15" t="n">
        <x:f>COUNTIFS('Unique per draft'!$H$2:$H$474,A61,'Unique per draft'!$D$2:$D$474,"real")</x:f>
        <x:v>2</x:v>
      </x:c>
      <x:c r="H61" s="15" t="n">
        <x:f>COUNTIFS('Unique per draft'!$H$2:$H$474,A61,'Unique per draft'!$D$2:$D$474,"synthetic")</x:f>
        <x:v>0</x:v>
      </x:c>
      <x:c r="I61" s="15" t="str">
        <x:v>cmmxsk5kn000h04ldd570wr09 | cmomnx9nj000304jkyxxg2b0k</x:v>
      </x:c>
    </x:row>
    <x:row r="62">
      <x:c r="A62" s="1" t="str">
        <x:v>case:goldsmith williams solicitors v e surv ltd</x:v>
      </x:c>
      <x:c r="B62" s="1" t="str">
        <x:v>case</x:v>
      </x:c>
      <x:c r="C62" s="15" t="str">
        <x:v>Goldsmith Williams Solicitors v E.Surv Ltd</x:v>
      </x:c>
      <x:c r="D62" s="15" t="str"/>
      <x:c r="E62" s="15" t="n">
        <x:f>COUNTIF('Unique per draft'!$H$2:$H$474,A62)</x:f>
        <x:v>1</x:v>
      </x:c>
      <x:c r="F62" s="15" t="n">
        <x:f>COUNTIF('Occurrences'!$I$2:$I$722,A62)</x:f>
        <x:v>3</x:v>
      </x:c>
      <x:c r="G62" s="15" t="n">
        <x:f>COUNTIFS('Unique per draft'!$H$2:$H$474,A62,'Unique per draft'!$D$2:$D$474,"real")</x:f>
        <x:v>0</x:v>
      </x:c>
      <x:c r="H62" s="15" t="n">
        <x:f>COUNTIFS('Unique per draft'!$H$2:$H$474,A62,'Unique per draft'!$D$2:$D$474,"synthetic")</x:f>
        <x:v>1</x:v>
      </x:c>
      <x:c r="I62" s="15" t="str">
        <x:v>cmst49zw4001104l7neqlaa0v</x:v>
      </x:c>
    </x:row>
    <x:row r="63">
      <x:c r="A63" s="1" t="str">
        <x:v>case:2015 ewca civ 311</x:v>
      </x:c>
      <x:c r="B63" s="1" t="str">
        <x:v>case</x:v>
      </x:c>
      <x:c r="C63" s="15" t="str">
        <x:v>Google Inc v Vidal-Hall &amp; Ors</x:v>
      </x:c>
      <x:c r="D63" s="15" t="str">
        <x:v>[2015] EWCA Civ 311</x:v>
      </x:c>
      <x:c r="E63" s="15" t="n">
        <x:f>COUNTIF('Unique per draft'!$H$2:$H$474,A63)</x:f>
        <x:v>1</x:v>
      </x:c>
      <x:c r="F63" s="15" t="n">
        <x:f>COUNTIF('Occurrences'!$I$2:$I$722,A63)</x:f>
        <x:v>3</x:v>
      </x:c>
      <x:c r="G63" s="15" t="n">
        <x:f>COUNTIFS('Unique per draft'!$H$2:$H$474,A63,'Unique per draft'!$D$2:$D$474,"real")</x:f>
        <x:v>0</x:v>
      </x:c>
      <x:c r="H63" s="15" t="n">
        <x:f>COUNTIFS('Unique per draft'!$H$2:$H$474,A63,'Unique per draft'!$D$2:$D$474,"synthetic")</x:f>
        <x:v>1</x:v>
      </x:c>
      <x:c r="I63" s="15" t="str">
        <x:v>cmst80ckg000h04i9rasplurj</x:v>
      </x:c>
    </x:row>
    <x:row r="64">
      <x:c r="A64" s="1" t="str">
        <x:v>case:gorringe v calderdale metropolitan borough council</x:v>
      </x:c>
      <x:c r="B64" s="1" t="str">
        <x:v>case</x:v>
      </x:c>
      <x:c r="C64" s="15" t="str">
        <x:v>Gorringe v. Calderdale Metropolitan Borough Council</x:v>
      </x:c>
      <x:c r="D64" s="15" t="str">
        <x:v>N/A</x:v>
      </x:c>
      <x:c r="E64" s="15" t="n">
        <x:f>COUNTIF('Unique per draft'!$H$2:$H$474,A64)</x:f>
        <x:v>6</x:v>
      </x:c>
      <x:c r="F64" s="15" t="n">
        <x:f>COUNTIF('Occurrences'!$I$2:$I$722,A64)</x:f>
        <x:v>21</x:v>
      </x:c>
      <x:c r="G64" s="15" t="n">
        <x:f>COUNTIFS('Unique per draft'!$H$2:$H$474,A64,'Unique per draft'!$D$2:$D$474,"real")</x:f>
        <x:v>6</x:v>
      </x:c>
      <x:c r="H64" s="15" t="n">
        <x:f>COUNTIFS('Unique per draft'!$H$2:$H$474,A64,'Unique per draft'!$D$2:$D$474,"synthetic")</x:f>
        <x:v>0</x:v>
      </x:c>
      <x:c r="I64" s="15" t="str">
        <x:v>cmmsi1xqb000h04jsef3v6skf | cmmxgyd9z000h04kttryogau2 | cmmxktfx8000904johoqmmfkm | cmmxpdot1000h04i8q3aleh7a | cmsbracw1001r04l4az8ukhd1 | cmsbrc37v001x04l4t7r77h89</x:v>
      </x:c>
    </x:row>
    <x:row r="65">
      <x:c r="A65" s="1" t="str">
        <x:v>case:2004 1 wlr 1057</x:v>
      </x:c>
      <x:c r="B65" s="1" t="str">
        <x:v>case</x:v>
      </x:c>
      <x:c r="C65" s="15" t="str">
        <x:v>Gorringe v. Calderdale Metropolitan Borough Council [2004] 1 WLR 1057</x:v>
      </x:c>
      <x:c r="D65" s="15" t="str">
        <x:v>Gorringe v. Calderdale Metropolitan Borough Council [2004] 1 WLR 1057</x:v>
      </x:c>
      <x:c r="E65" s="15" t="n">
        <x:f>COUNTIF('Unique per draft'!$H$2:$H$474,A65)</x:f>
        <x:v>1</x:v>
      </x:c>
      <x:c r="F65" s="15" t="n">
        <x:f>COUNTIF('Occurrences'!$I$2:$I$722,A65)</x:f>
        <x:v>1</x:v>
      </x:c>
      <x:c r="G65" s="15" t="n">
        <x:f>COUNTIFS('Unique per draft'!$H$2:$H$474,A65,'Unique per draft'!$D$2:$D$474,"real")</x:f>
        <x:v>1</x:v>
      </x:c>
      <x:c r="H65" s="15" t="n">
        <x:f>COUNTIFS('Unique per draft'!$H$2:$H$474,A65,'Unique per draft'!$D$2:$D$474,"synthetic")</x:f>
        <x:v>0</x:v>
      </x:c>
      <x:c r="I65" s="15" t="str">
        <x:v>cmsbrc37v001x04l4t7r77h89</x:v>
      </x:c>
    </x:row>
    <x:row r="66">
      <x:c r="A66" s="1" t="str">
        <x:v>case:2014 ewca civ 1413</x:v>
      </x:c>
      <x:c r="B66" s="1" t="str">
        <x:v>case</x:v>
      </x:c>
      <x:c r="C66" s="15" t="str">
        <x:v>Grace &amp; Anor v Black Horse Ltd</x:v>
      </x:c>
      <x:c r="D66" s="15" t="str">
        <x:v>[2014] EWCA Civ 1413</x:v>
      </x:c>
      <x:c r="E66" s="15" t="n">
        <x:f>COUNTIF('Unique per draft'!$H$2:$H$474,A66)</x:f>
        <x:v>1</x:v>
      </x:c>
      <x:c r="F66" s="15" t="n">
        <x:f>COUNTIF('Occurrences'!$I$2:$I$722,A66)</x:f>
        <x:v>3</x:v>
      </x:c>
      <x:c r="G66" s="15" t="n">
        <x:f>COUNTIFS('Unique per draft'!$H$2:$H$474,A66,'Unique per draft'!$D$2:$D$474,"real")</x:f>
        <x:v>0</x:v>
      </x:c>
      <x:c r="H66" s="15" t="n">
        <x:f>COUNTIFS('Unique per draft'!$H$2:$H$474,A66,'Unique per draft'!$D$2:$D$474,"synthetic")</x:f>
        <x:v>1</x:v>
      </x:c>
      <x:c r="I66" s="15" t="str">
        <x:v>cmst80ckg000h04i9rasplurj</x:v>
      </x:c>
    </x:row>
    <x:row r="67">
      <x:c r="A67" s="1" t="str">
        <x:v>case:2016 ewca civ 1003</x:v>
      </x:c>
      <x:c r="B67" s="1" t="str">
        <x:v>case</x:v>
      </x:c>
      <x:c r="C67" s="15" t="str">
        <x:v>Great Lakes Reinsurance (UK) SE v Western Trading Ltd</x:v>
      </x:c>
      <x:c r="D67" s="15" t="str">
        <x:v>[2016] EWCA Civ 1003</x:v>
      </x:c>
      <x:c r="E67" s="15" t="n">
        <x:f>COUNTIF('Unique per draft'!$H$2:$H$474,A67)</x:f>
        <x:v>1</x:v>
      </x:c>
      <x:c r="F67" s="15" t="n">
        <x:f>COUNTIF('Occurrences'!$I$2:$I$722,A67)</x:f>
        <x:v>4</x:v>
      </x:c>
      <x:c r="G67" s="15" t="n">
        <x:f>COUNTIFS('Unique per draft'!$H$2:$H$474,A67,'Unique per draft'!$D$2:$D$474,"real")</x:f>
        <x:v>0</x:v>
      </x:c>
      <x:c r="H67" s="15" t="n">
        <x:f>COUNTIFS('Unique per draft'!$H$2:$H$474,A67,'Unique per draft'!$D$2:$D$474,"synthetic")</x:f>
        <x:v>1</x:v>
      </x:c>
      <x:c r="I67" s="15" t="str">
        <x:v>cmm0bebet000404jvmcxyqo4x</x:v>
      </x:c>
    </x:row>
    <x:row r="68">
      <x:c r="A68" s="1" t="str">
        <x:v>case:2016 ewca civ 782</x:v>
      </x:c>
      <x:c r="B68" s="1" t="str">
        <x:v>case</x:v>
      </x:c>
      <x:c r="C68" s="15" t="str">
        <x:v>Greene King plc &amp; Anor v Revenue and Customs</x:v>
      </x:c>
      <x:c r="D68" s="15" t="str">
        <x:v>[2016] EWCA Civ 782</x:v>
      </x:c>
      <x:c r="E68" s="15" t="n">
        <x:f>COUNTIF('Unique per draft'!$H$2:$H$474,A68)</x:f>
        <x:v>1</x:v>
      </x:c>
      <x:c r="F68" s="15" t="n">
        <x:f>COUNTIF('Occurrences'!$I$2:$I$722,A68)</x:f>
        <x:v>1</x:v>
      </x:c>
      <x:c r="G68" s="15" t="n">
        <x:f>COUNTIFS('Unique per draft'!$H$2:$H$474,A68,'Unique per draft'!$D$2:$D$474,"real")</x:f>
        <x:v>0</x:v>
      </x:c>
      <x:c r="H68" s="15" t="n">
        <x:f>COUNTIFS('Unique per draft'!$H$2:$H$474,A68,'Unique per draft'!$D$2:$D$474,"synthetic")</x:f>
        <x:v>1</x:v>
      </x:c>
      <x:c r="I68" s="15" t="str">
        <x:v>cmmf22axa000h04jxcpnnecs0</x:v>
      </x:c>
    </x:row>
    <x:row r="69">
      <x:c r="A69" s="1" t="str">
        <x:v>case:griffiths v gwynedd county council</x:v>
      </x:c>
      <x:c r="B69" s="1" t="str">
        <x:v>case</x:v>
      </x:c>
      <x:c r="C69" s="15" t="str">
        <x:v>Griffiths v Gwynedd County Council</x:v>
      </x:c>
      <x:c r="D69" s="15" t="str">
        <x:v>N/A</x:v>
      </x:c>
      <x:c r="E69" s="15" t="n">
        <x:f>COUNTIF('Unique per draft'!$H$2:$H$474,A69)</x:f>
        <x:v>2</x:v>
      </x:c>
      <x:c r="F69" s="15" t="n">
        <x:f>COUNTIF('Occurrences'!$I$2:$I$722,A69)</x:f>
        <x:v>7</x:v>
      </x:c>
      <x:c r="G69" s="15" t="n">
        <x:f>COUNTIFS('Unique per draft'!$H$2:$H$474,A69,'Unique per draft'!$D$2:$D$474,"real")</x:f>
        <x:v>2</x:v>
      </x:c>
      <x:c r="H69" s="15" t="n">
        <x:f>COUNTIFS('Unique per draft'!$H$2:$H$474,A69,'Unique per draft'!$D$2:$D$474,"synthetic")</x:f>
        <x:v>0</x:v>
      </x:c>
      <x:c r="I69" s="15" t="str">
        <x:v>cmmsi1xqb000h04jsef3v6skf | cmmsiews2000304lgc3ooyg67</x:v>
      </x:c>
    </x:row>
    <x:row r="70">
      <x:c r="A70" s="1" t="str">
        <x:v>case:2015 ewca civ 1440</x:v>
      </x:c>
      <x:c r="B70" s="1" t="str">
        <x:v>case</x:v>
      </x:c>
      <x:c r="C70" s="15" t="str">
        <x:v>Griffiths v Gwynedd County Council</x:v>
      </x:c>
      <x:c r="D70" s="15" t="str">
        <x:v>[2015] EWCA Civ 1440</x:v>
      </x:c>
      <x:c r="E70" s="15" t="n">
        <x:f>COUNTIF('Unique per draft'!$H$2:$H$474,A70)</x:f>
        <x:v>1</x:v>
      </x:c>
      <x:c r="F70" s="15" t="n">
        <x:f>COUNTIF('Occurrences'!$I$2:$I$722,A70)</x:f>
        <x:v>3</x:v>
      </x:c>
      <x:c r="G70" s="15" t="n">
        <x:f>COUNTIFS('Unique per draft'!$H$2:$H$474,A70,'Unique per draft'!$D$2:$D$474,"real")</x:f>
        <x:v>1</x:v>
      </x:c>
      <x:c r="H70" s="15" t="n">
        <x:f>COUNTIFS('Unique per draft'!$H$2:$H$474,A70,'Unique per draft'!$D$2:$D$474,"synthetic")</x:f>
        <x:v>0</x:v>
      </x:c>
      <x:c r="I70" s="15" t="str">
        <x:v>cmmxktfx8000904johoqmmfkm</x:v>
      </x:c>
    </x:row>
    <x:row r="71">
      <x:c r="A71" s="1" t="str">
        <x:v>case:2023 ewca civ 549</x:v>
      </x:c>
      <x:c r="B71" s="1" t="str">
        <x:v>case</x:v>
      </x:c>
      <x:c r="C71" s="15" t="str">
        <x:v>Healey v Fraine &amp; Ors</x:v>
      </x:c>
      <x:c r="D71" s="15" t="str">
        <x:v>[2023] EWCA Civ 549</x:v>
      </x:c>
      <x:c r="E71" s="15" t="n">
        <x:f>COUNTIF('Unique per draft'!$H$2:$H$474,A71)</x:f>
        <x:v>1</x:v>
      </x:c>
      <x:c r="F71" s="15" t="n">
        <x:f>COUNTIF('Occurrences'!$I$2:$I$722,A71)</x:f>
        <x:v>1</x:v>
      </x:c>
      <x:c r="G71" s="15" t="n">
        <x:f>COUNTIFS('Unique per draft'!$H$2:$H$474,A71,'Unique per draft'!$D$2:$D$474,"real")</x:f>
        <x:v>0</x:v>
      </x:c>
      <x:c r="H71" s="15" t="n">
        <x:f>COUNTIFS('Unique per draft'!$H$2:$H$474,A71,'Unique per draft'!$D$2:$D$474,"synthetic")</x:f>
        <x:v>1</x:v>
      </x:c>
      <x:c r="I71" s="15" t="str">
        <x:v>cmlzphr57000h04jtqrwbfiyf</x:v>
      </x:c>
    </x:row>
    <x:row r="72">
      <x:c r="A72" s="1" t="str">
        <x:v>case:2016 ewca civ 689</x:v>
      </x:c>
      <x:c r="B72" s="1" t="str">
        <x:v>case</x:v>
      </x:c>
      <x:c r="C72" s="15" t="str">
        <x:v>Heaney v Kirkby</x:v>
      </x:c>
      <x:c r="D72" s="15" t="str">
        <x:v>[2016] EWCA Civ 689</x:v>
      </x:c>
      <x:c r="E72" s="15" t="n">
        <x:f>COUNTIF('Unique per draft'!$H$2:$H$474,A72)</x:f>
        <x:v>1</x:v>
      </x:c>
      <x:c r="F72" s="15" t="n">
        <x:f>COUNTIF('Occurrences'!$I$2:$I$722,A72)</x:f>
        <x:v>2</x:v>
      </x:c>
      <x:c r="G72" s="15" t="n">
        <x:f>COUNTIFS('Unique per draft'!$H$2:$H$474,A72,'Unique per draft'!$D$2:$D$474,"real")</x:f>
        <x:v>0</x:v>
      </x:c>
      <x:c r="H72" s="15" t="n">
        <x:f>COUNTIFS('Unique per draft'!$H$2:$H$474,A72,'Unique per draft'!$D$2:$D$474,"synthetic")</x:f>
        <x:v>1</x:v>
      </x:c>
      <x:c r="I72" s="15" t="str">
        <x:v>cmlzphr57000h04jtqrwbfiyf</x:v>
      </x:c>
    </x:row>
    <x:row r="73">
      <x:c r="A73" s="1" t="str">
        <x:v>case:hedley byrne &amp; co ltd v heller &amp; partners ltd 1964</x:v>
      </x:c>
      <x:c r="B73" s="1" t="str">
        <x:v>case</x:v>
      </x:c>
      <x:c r="C73" s="15" t="str">
        <x:v>Hedley Byrne &amp; Co Ltd v Heller &amp; Partners Ltd [1964]</x:v>
      </x:c>
      <x:c r="D73" s="15" t="str">
        <x:v>Hedley Byrne &amp; Co Ltd v Heller &amp; Partners Ltd [1964]</x:v>
      </x:c>
      <x:c r="E73" s="15" t="n">
        <x:f>COUNTIF('Unique per draft'!$H$2:$H$474,A73)</x:f>
        <x:v>1</x:v>
      </x:c>
      <x:c r="F73" s="15" t="n">
        <x:f>COUNTIF('Occurrences'!$I$2:$I$722,A73)</x:f>
        <x:v>1</x:v>
      </x:c>
      <x:c r="G73" s="15" t="n">
        <x:f>COUNTIFS('Unique per draft'!$H$2:$H$474,A73,'Unique per draft'!$D$2:$D$474,"real")</x:f>
        <x:v>0</x:v>
      </x:c>
      <x:c r="H73" s="15" t="n">
        <x:f>COUNTIFS('Unique per draft'!$H$2:$H$474,A73,'Unique per draft'!$D$2:$D$474,"synthetic")</x:f>
        <x:v>1</x:v>
      </x:c>
      <x:c r="I73" s="15" t="str">
        <x:v>cmst7uoeu00d804l5ayb3b9q8</x:v>
      </x:c>
    </x:row>
    <x:row r="74">
      <x:c r="A74" s="1" t="str">
        <x:v>case:henderson v merrett syndicates ltd 1995</x:v>
      </x:c>
      <x:c r="B74" s="1" t="str">
        <x:v>case</x:v>
      </x:c>
      <x:c r="C74" s="15" t="str">
        <x:v>Henderson v Merrett Syndicates Ltd [1995]</x:v>
      </x:c>
      <x:c r="D74" s="15" t="str">
        <x:v>Henderson v Merrett Syndicates Ltd [1995]</x:v>
      </x:c>
      <x:c r="E74" s="15" t="n">
        <x:f>COUNTIF('Unique per draft'!$H$2:$H$474,A74)</x:f>
        <x:v>1</x:v>
      </x:c>
      <x:c r="F74" s="15" t="n">
        <x:f>COUNTIF('Occurrences'!$I$2:$I$722,A74)</x:f>
        <x:v>1</x:v>
      </x:c>
      <x:c r="G74" s="15" t="n">
        <x:f>COUNTIFS('Unique per draft'!$H$2:$H$474,A74,'Unique per draft'!$D$2:$D$474,"real")</x:f>
        <x:v>0</x:v>
      </x:c>
      <x:c r="H74" s="15" t="n">
        <x:f>COUNTIFS('Unique per draft'!$H$2:$H$474,A74,'Unique per draft'!$D$2:$D$474,"synthetic")</x:f>
        <x:v>1</x:v>
      </x:c>
      <x:c r="I74" s="15" t="str">
        <x:v>cmst7uoeu00d804l5ayb3b9q8</x:v>
      </x:c>
    </x:row>
    <x:row r="75">
      <x:c r="A75" s="1" t="str">
        <x:v>case:hmrc v volkswagen financial services</x:v>
      </x:c>
      <x:c r="B75" s="1" t="str">
        <x:v>case</x:v>
      </x:c>
      <x:c r="C75" s="15" t="str">
        <x:v>HMRC v Volkswagen Financial Services</x:v>
      </x:c>
      <x:c r="D75" s="15" t="str">
        <x:v>HMRC v Volkswagen Financial Services</x:v>
      </x:c>
      <x:c r="E75" s="15" t="n">
        <x:f>COUNTIF('Unique per draft'!$H$2:$H$474,A75)</x:f>
        <x:v>1</x:v>
      </x:c>
      <x:c r="F75" s="15" t="n">
        <x:f>COUNTIF('Occurrences'!$I$2:$I$722,A75)</x:f>
        <x:v>1</x:v>
      </x:c>
      <x:c r="G75" s="15" t="n">
        <x:f>COUNTIFS('Unique per draft'!$H$2:$H$474,A75,'Unique per draft'!$D$2:$D$474,"real")</x:f>
        <x:v>1</x:v>
      </x:c>
      <x:c r="H75" s="15" t="n">
        <x:f>COUNTIFS('Unique per draft'!$H$2:$H$474,A75,'Unique per draft'!$D$2:$D$474,"synthetic")</x:f>
        <x:v>0</x:v>
      </x:c>
      <x:c r="I75" s="15" t="str">
        <x:v>cmsbr6p4p001704l4z7u6108h</x:v>
      </x:c>
    </x:row>
    <x:row r="76">
      <x:c r="A76" s="1" t="str">
        <x:v>case:hmrc v volkswagen financial services case c 153 17</x:v>
      </x:c>
      <x:c r="B76" s="1" t="str">
        <x:v>case</x:v>
      </x:c>
      <x:c r="C76" s="15" t="str">
        <x:v>HMRC v Volkswagen Financial Services (Case C-153/17)</x:v>
      </x:c>
      <x:c r="D76" s="15" t="str">
        <x:v>HMRC v Volkswagen Financial Services (Case C-153/17)</x:v>
      </x:c>
      <x:c r="E76" s="15" t="n">
        <x:f>COUNTIF('Unique per draft'!$H$2:$H$474,A76)</x:f>
        <x:v>1</x:v>
      </x:c>
      <x:c r="F76" s="15" t="n">
        <x:f>COUNTIF('Occurrences'!$I$2:$I$722,A76)</x:f>
        <x:v>1</x:v>
      </x:c>
      <x:c r="G76" s="15" t="n">
        <x:f>COUNTIFS('Unique per draft'!$H$2:$H$474,A76,'Unique per draft'!$D$2:$D$474,"real")</x:f>
        <x:v>1</x:v>
      </x:c>
      <x:c r="H76" s="15" t="n">
        <x:f>COUNTIFS('Unique per draft'!$H$2:$H$474,A76,'Unique per draft'!$D$2:$D$474,"synthetic")</x:f>
        <x:v>0</x:v>
      </x:c>
      <x:c r="I76" s="15" t="str">
        <x:v>cmsbr3045000j04l4tkps7ymp</x:v>
      </x:c>
    </x:row>
    <x:row r="77">
      <x:c r="A77" s="1" t="str">
        <x:v>case:hospira uk ltd v genentech inc</x:v>
      </x:c>
      <x:c r="B77" s="1" t="str">
        <x:v>case</x:v>
      </x:c>
      <x:c r="C77" s="15" t="str">
        <x:v>Hospira (UK) Ltd v Genentech, Inc.</x:v>
      </x:c>
      <x:c r="D77" s="15" t="str">
        <x:v>N/A</x:v>
      </x:c>
      <x:c r="E77" s="15" t="n">
        <x:f>COUNTIF('Unique per draft'!$H$2:$H$474,A77)</x:f>
        <x:v>1</x:v>
      </x:c>
      <x:c r="F77" s="15" t="n">
        <x:f>COUNTIF('Occurrences'!$I$2:$I$722,A77)</x:f>
        <x:v>1</x:v>
      </x:c>
      <x:c r="G77" s="15" t="n">
        <x:f>COUNTIFS('Unique per draft'!$H$2:$H$474,A77,'Unique per draft'!$D$2:$D$474,"real")</x:f>
        <x:v>1</x:v>
      </x:c>
      <x:c r="H77" s="15" t="n">
        <x:f>COUNTIFS('Unique per draft'!$H$2:$H$474,A77,'Unique per draft'!$D$2:$D$474,"synthetic")</x:f>
        <x:v>0</x:v>
      </x:c>
      <x:c r="I77" s="15" t="str">
        <x:v>cmsbtbxft002t04jic4baeo3l</x:v>
      </x:c>
    </x:row>
    <x:row r="78">
      <x:c r="A78" s="1" t="str">
        <x:v>case:2016 ewca civ 1185</x:v>
      </x:c>
      <x:c r="B78" s="1" t="str">
        <x:v>case</x:v>
      </x:c>
      <x:c r="C78" s="15" t="str">
        <x:v>Hospira UK Limited v Genentech, Inc.</x:v>
      </x:c>
      <x:c r="D78" s="15" t="str">
        <x:v>[2016] EWCA Civ 1185</x:v>
      </x:c>
      <x:c r="E78" s="15" t="n">
        <x:f>COUNTIF('Unique per draft'!$H$2:$H$474,A78)</x:f>
        <x:v>1</x:v>
      </x:c>
      <x:c r="F78" s="15" t="n">
        <x:f>COUNTIF('Occurrences'!$I$2:$I$722,A78)</x:f>
        <x:v>1</x:v>
      </x:c>
      <x:c r="G78" s="15" t="n">
        <x:f>COUNTIFS('Unique per draft'!$H$2:$H$474,A78,'Unique per draft'!$D$2:$D$474,"real")</x:f>
        <x:v>1</x:v>
      </x:c>
      <x:c r="H78" s="15" t="n">
        <x:f>COUNTIFS('Unique per draft'!$H$2:$H$474,A78,'Unique per draft'!$D$2:$D$474,"synthetic")</x:f>
        <x:v>0</x:v>
      </x:c>
      <x:c r="I78" s="15" t="str">
        <x:v>cmsbsvvmu001x04jittsrlhz0</x:v>
      </x:c>
    </x:row>
    <x:row r="79">
      <x:c r="A79" s="1" t="str">
        <x:v>case:hough v greathall ltd</x:v>
      </x:c>
      <x:c r="B79" s="1" t="str">
        <x:v>case</x:v>
      </x:c>
      <x:c r="C79" s="15" t="str">
        <x:v>Hough v Greathall Ltd</x:v>
      </x:c>
      <x:c r="D79" s="15" t="str">
        <x:v>N/A</x:v>
      </x:c>
      <x:c r="E79" s="15" t="n">
        <x:f>COUNTIF('Unique per draft'!$H$2:$H$474,A79)</x:f>
        <x:v>1</x:v>
      </x:c>
      <x:c r="F79" s="15" t="n">
        <x:f>COUNTIF('Occurrences'!$I$2:$I$722,A79)</x:f>
        <x:v>1</x:v>
      </x:c>
      <x:c r="G79" s="15" t="n">
        <x:f>COUNTIFS('Unique per draft'!$H$2:$H$474,A79,'Unique per draft'!$D$2:$D$474,"real")</x:f>
        <x:v>0</x:v>
      </x:c>
      <x:c r="H79" s="15" t="n">
        <x:f>COUNTIFS('Unique per draft'!$H$2:$H$474,A79,'Unique per draft'!$D$2:$D$474,"synthetic")</x:f>
        <x:v>1</x:v>
      </x:c>
      <x:c r="I79" s="15" t="str">
        <x:v>cmmls2r93000304jme0bpsul9</x:v>
      </x:c>
    </x:row>
    <x:row r="80">
      <x:c r="A80" s="1" t="str">
        <x:v>case:hrh prince abdul aziz bin fahd bin abdul aziz v harb</x:v>
      </x:c>
      <x:c r="B80" s="1" t="str">
        <x:v>case</x:v>
      </x:c>
      <x:c r="C80" s="15" t="str">
        <x:v>HRH Prince Abdul Aziz Bin Fahd Bin Abdul Aziz v Harb</x:v>
      </x:c>
      <x:c r="D80" s="15" t="str">
        <x:v>N/A</x:v>
      </x:c>
      <x:c r="E80" s="15" t="n">
        <x:f>COUNTIF('Unique per draft'!$H$2:$H$474,A80)</x:f>
        <x:v>1</x:v>
      </x:c>
      <x:c r="F80" s="15" t="n">
        <x:f>COUNTIF('Occurrences'!$I$2:$I$722,A80)</x:f>
        <x:v>3</x:v>
      </x:c>
      <x:c r="G80" s="15" t="n">
        <x:f>COUNTIFS('Unique per draft'!$H$2:$H$474,A80,'Unique per draft'!$D$2:$D$474,"real")</x:f>
        <x:v>1</x:v>
      </x:c>
      <x:c r="H80" s="15" t="n">
        <x:f>COUNTIFS('Unique per draft'!$H$2:$H$474,A80,'Unique per draft'!$D$2:$D$474,"synthetic")</x:f>
        <x:v>0</x:v>
      </x:c>
      <x:c r="I80" s="15" t="str">
        <x:v>cmsbsqcqm001d04ji3ses9ih9</x:v>
      </x:c>
    </x:row>
    <x:row r="81">
      <x:c r="A81" s="1" t="str">
        <x:v>case:humphrey v aegis defence services ltd &amp; anor</x:v>
      </x:c>
      <x:c r="B81" s="1" t="str">
        <x:v>case</x:v>
      </x:c>
      <x:c r="C81" s="15" t="str">
        <x:v>Humphrey v Aegis Defence Services Ltd &amp; Anor</x:v>
      </x:c>
      <x:c r="D81" s="15" t="str">
        <x:v>N/A</x:v>
      </x:c>
      <x:c r="E81" s="15" t="n">
        <x:f>COUNTIF('Unique per draft'!$H$2:$H$474,A81)</x:f>
        <x:v>1</x:v>
      </x:c>
      <x:c r="F81" s="15" t="n">
        <x:f>COUNTIF('Occurrences'!$I$2:$I$722,A81)</x:f>
        <x:v>5</x:v>
      </x:c>
      <x:c r="G81" s="15" t="n">
        <x:f>COUNTIFS('Unique per draft'!$H$2:$H$474,A81,'Unique per draft'!$D$2:$D$474,"real")</x:f>
        <x:v>0</x:v>
      </x:c>
      <x:c r="H81" s="15" t="n">
        <x:f>COUNTIFS('Unique per draft'!$H$2:$H$474,A81,'Unique per draft'!$D$2:$D$474,"synthetic")</x:f>
        <x:v>1</x:v>
      </x:c>
      <x:c r="I81" s="15" t="str">
        <x:v>cmlzrzxca000304l2qk1vevzx</x:v>
      </x:c>
    </x:row>
    <x:row r="82">
      <x:c r="A82" s="1" t="str">
        <x:v>case:2016 ewca civ 1089</x:v>
      </x:c>
      <x:c r="B82" s="1" t="str">
        <x:v>case</x:v>
      </x:c>
      <x:c r="C82" s="15" t="str">
        <x:v>Idenix Pharmaceuticals Inc v Gilead Sciences Inc &amp; Ors</x:v>
      </x:c>
      <x:c r="D82" s="15" t="str">
        <x:v>[2016] EWCA Civ 1089</x:v>
      </x:c>
      <x:c r="E82" s="15" t="n">
        <x:f>COUNTIF('Unique per draft'!$H$2:$H$474,A82)</x:f>
        <x:v>1</x:v>
      </x:c>
      <x:c r="F82" s="15" t="n">
        <x:f>COUNTIF('Occurrences'!$I$2:$I$722,A82)</x:f>
        <x:v>3</x:v>
      </x:c>
      <x:c r="G82" s="15" t="n">
        <x:f>COUNTIFS('Unique per draft'!$H$2:$H$474,A82,'Unique per draft'!$D$2:$D$474,"real")</x:f>
        <x:v>1</x:v>
      </x:c>
      <x:c r="H82" s="15" t="n">
        <x:f>COUNTIFS('Unique per draft'!$H$2:$H$474,A82,'Unique per draft'!$D$2:$D$474,"synthetic")</x:f>
        <x:v>0</x:v>
      </x:c>
      <x:c r="I82" s="15" t="str">
        <x:v>cmsbsvvmu001x04jittsrlhz0</x:v>
      </x:c>
    </x:row>
    <x:row r="83">
      <x:c r="A83" s="1" t="str">
        <x:v>case:2015 ewca civ 1187</x:v>
      </x:c>
      <x:c r="B83" s="1" t="str">
        <x:v>case</x:v>
      </x:c>
      <x:c r="C83" s="15" t="str">
        <x:v>Idira, R (On the Application Of) v The Secretary of State for the Home Department (Rev 1)</x:v>
      </x:c>
      <x:c r="D83" s="15" t="str">
        <x:v>[2015] EWCA Civ 1187</x:v>
      </x:c>
      <x:c r="E83" s="15" t="n">
        <x:f>COUNTIF('Unique per draft'!$H$2:$H$474,A83)</x:f>
        <x:v>1</x:v>
      </x:c>
      <x:c r="F83" s="15" t="n">
        <x:f>COUNTIF('Occurrences'!$I$2:$I$722,A83)</x:f>
        <x:v>1</x:v>
      </x:c>
      <x:c r="G83" s="15" t="n">
        <x:f>COUNTIFS('Unique per draft'!$H$2:$H$474,A83,'Unique per draft'!$D$2:$D$474,"real")</x:f>
        <x:v>1</x:v>
      </x:c>
      <x:c r="H83" s="15" t="n">
        <x:f>COUNTIFS('Unique per draft'!$H$2:$H$474,A83,'Unique per draft'!$D$2:$D$474,"synthetic")</x:f>
        <x:v>0</x:v>
      </x:c>
      <x:c r="I83" s="15" t="str">
        <x:v>cmmjtnsdx000904l4vhap8xwc</x:v>
      </x:c>
    </x:row>
    <x:row r="84">
      <x:c r="A84" s="1" t="str">
        <x:v>case:igen ltd v wong</x:v>
      </x:c>
      <x:c r="B84" s="1" t="str">
        <x:v>case</x:v>
      </x:c>
      <x:c r="C84" s="15" t="str">
        <x:v>Igen Ltd v Wong</x:v>
      </x:c>
      <x:c r="D84" s="15" t="str">
        <x:v>Igen Ltd v Wong</x:v>
      </x:c>
      <x:c r="E84" s="15" t="n">
        <x:f>COUNTIF('Unique per draft'!$H$2:$H$474,A84)</x:f>
        <x:v>1</x:v>
      </x:c>
      <x:c r="F84" s="15" t="n">
        <x:f>COUNTIF('Occurrences'!$I$2:$I$722,A84)</x:f>
        <x:v>1</x:v>
      </x:c>
      <x:c r="G84" s="15" t="n">
        <x:f>COUNTIFS('Unique per draft'!$H$2:$H$474,A84,'Unique per draft'!$D$2:$D$474,"real")</x:f>
        <x:v>0</x:v>
      </x:c>
      <x:c r="H84" s="15" t="n">
        <x:f>COUNTIFS('Unique per draft'!$H$2:$H$474,A84,'Unique per draft'!$D$2:$D$474,"synthetic")</x:f>
        <x:v>1</x:v>
      </x:c>
      <x:c r="I84" s="15" t="str">
        <x:v>cmst419ew000k04ladhs06s0r</x:v>
      </x:c>
    </x:row>
    <x:row r="85">
      <x:c r="A85" s="1" t="str">
        <x:v>case:2017 ewca civ 2111</x:v>
      </x:c>
      <x:c r="B85" s="1" t="str">
        <x:v>case</x:v>
      </x:c>
      <x:c r="C85" s="15" t="str">
        <x:v>ING Intermediate Holdings Ltd v HM Revenue and Customs</x:v>
      </x:c>
      <x:c r="D85" s="15" t="str">
        <x:v>[2017] EWCA Civ 2111</x:v>
      </x:c>
      <x:c r="E85" s="15" t="n">
        <x:f>COUNTIF('Unique per draft'!$H$2:$H$474,A85)</x:f>
        <x:v>1</x:v>
      </x:c>
      <x:c r="F85" s="15" t="n">
        <x:f>COUNTIF('Occurrences'!$I$2:$I$722,A85)</x:f>
        <x:v>2</x:v>
      </x:c>
      <x:c r="G85" s="15" t="n">
        <x:f>COUNTIFS('Unique per draft'!$H$2:$H$474,A85,'Unique per draft'!$D$2:$D$474,"real")</x:f>
        <x:v>1</x:v>
      </x:c>
      <x:c r="H85" s="15" t="n">
        <x:f>COUNTIFS('Unique per draft'!$H$2:$H$474,A85,'Unique per draft'!$D$2:$D$474,"synthetic")</x:f>
        <x:v>0</x:v>
      </x:c>
      <x:c r="I85" s="15" t="str">
        <x:v>cmsbr4fhb000v04l4mgwtz5x1</x:v>
      </x:c>
    </x:row>
    <x:row r="86">
      <x:c r="A86" s="1" t="str">
        <x:v>case:2002 ukhl 30</x:v>
      </x:c>
      <x:c r="B86" s="1" t="str">
        <x:v>case</x:v>
      </x:c>
      <x:c r="C86" s="15" t="str">
        <x:v>J A Pye (Oxford) Ltd v. Graham [2002] UKHL 30</x:v>
      </x:c>
      <x:c r="D86" s="15" t="str">
        <x:v>J A Pye (Oxford) Ltd v. Graham [2002] UKHL 30</x:v>
      </x:c>
      <x:c r="E86" s="15" t="n">
        <x:f>COUNTIF('Unique per draft'!$H$2:$H$474,A86)</x:f>
        <x:v>1</x:v>
      </x:c>
      <x:c r="F86" s="15" t="n">
        <x:f>COUNTIF('Occurrences'!$I$2:$I$722,A86)</x:f>
        <x:v>1</x:v>
      </x:c>
      <x:c r="G86" s="15" t="n">
        <x:f>COUNTIFS('Unique per draft'!$H$2:$H$474,A86,'Unique per draft'!$D$2:$D$474,"real")</x:f>
        <x:v>0</x:v>
      </x:c>
      <x:c r="H86" s="15" t="n">
        <x:f>COUNTIFS('Unique per draft'!$H$2:$H$474,A86,'Unique per draft'!$D$2:$D$474,"synthetic")</x:f>
        <x:v>1</x:v>
      </x:c>
      <x:c r="I86" s="15" t="str">
        <x:v>cmlzphr57000h04jtqrwbfiyf</x:v>
      </x:c>
    </x:row>
    <x:row r="87">
      <x:c r="A87" s="1" t="str">
        <x:v>case:james v greenwich bc 2008 irlr 302</x:v>
      </x:c>
      <x:c r="B87" s="1" t="str">
        <x:v>case</x:v>
      </x:c>
      <x:c r="C87" s="15" t="str">
        <x:v>James v Greenwich BC [2008] IRLR 302</x:v>
      </x:c>
      <x:c r="D87" s="15" t="str">
        <x:v>James v Greenwich BC [2008] IRLR 302</x:v>
      </x:c>
      <x:c r="E87" s="15" t="n">
        <x:f>COUNTIF('Unique per draft'!$H$2:$H$474,A87)</x:f>
        <x:v>1</x:v>
      </x:c>
      <x:c r="F87" s="15" t="n">
        <x:f>COUNTIF('Occurrences'!$I$2:$I$722,A87)</x:f>
        <x:v>1</x:v>
      </x:c>
      <x:c r="G87" s="15" t="n">
        <x:f>COUNTIFS('Unique per draft'!$H$2:$H$474,A87,'Unique per draft'!$D$2:$D$474,"real")</x:f>
        <x:v>1</x:v>
      </x:c>
      <x:c r="H87" s="15" t="n">
        <x:f>COUNTIFS('Unique per draft'!$H$2:$H$474,A87,'Unique per draft'!$D$2:$D$474,"synthetic")</x:f>
        <x:v>0</x:v>
      </x:c>
      <x:c r="I87" s="15" t="str">
        <x:v>cmsbskr86000h04ji5a4thcht</x:v>
      </x:c>
    </x:row>
    <x:row r="88">
      <x:c r="A88" s="1" t="str">
        <x:v>case:james v hm prison birmingham judicial review on committal for civil contempt</x:v>
      </x:c>
      <x:c r="B88" s="1" t="str">
        <x:v>case</x:v>
      </x:c>
      <x:c r="C88" s="15" t="str">
        <x:v>James v HM Prison Birmingham: Judicial Review on Committal for Civil Contempt</x:v>
      </x:c>
      <x:c r="D88" s="15" t="str">
        <x:v>N/A</x:v>
      </x:c>
      <x:c r="E88" s="15" t="n">
        <x:f>COUNTIF('Unique per draft'!$H$2:$H$474,A88)</x:f>
        <x:v>1</x:v>
      </x:c>
      <x:c r="F88" s="15" t="n">
        <x:f>COUNTIF('Occurrences'!$I$2:$I$722,A88)</x:f>
        <x:v>1</x:v>
      </x:c>
      <x:c r="G88" s="15" t="n">
        <x:f>COUNTIFS('Unique per draft'!$H$2:$H$474,A88,'Unique per draft'!$D$2:$D$474,"real")</x:f>
        <x:v>0</x:v>
      </x:c>
      <x:c r="H88" s="15" t="n">
        <x:f>COUNTIFS('Unique per draft'!$H$2:$H$474,A88,'Unique per draft'!$D$2:$D$474,"synthetic")</x:f>
        <x:v>1</x:v>
      </x:c>
      <x:c r="I88" s="15" t="str">
        <x:v>cmmafut12000904l4kjskwky4</x:v>
      </x:c>
    </x:row>
    <x:row r="89">
      <x:c r="A89" s="1" t="str">
        <x:v>case:kalda v estonia</x:v>
      </x:c>
      <x:c r="B89" s="1" t="str">
        <x:v>case</x:v>
      </x:c>
      <x:c r="C89" s="15" t="str">
        <x:v>Kalda v. Estonia</x:v>
      </x:c>
      <x:c r="D89" s="15" t="str">
        <x:v>Kalda v. Estonia</x:v>
      </x:c>
      <x:c r="E89" s="15" t="n">
        <x:f>COUNTIF('Unique per draft'!$H$2:$H$474,A89)</x:f>
        <x:v>1</x:v>
      </x:c>
      <x:c r="F89" s="15" t="n">
        <x:f>COUNTIF('Occurrences'!$I$2:$I$722,A89)</x:f>
        <x:v>1</x:v>
      </x:c>
      <x:c r="G89" s="15" t="n">
        <x:f>COUNTIFS('Unique per draft'!$H$2:$H$474,A89,'Unique per draft'!$D$2:$D$474,"real")</x:f>
        <x:v>1</x:v>
      </x:c>
      <x:c r="H89" s="15" t="n">
        <x:f>COUNTIFS('Unique per draft'!$H$2:$H$474,A89,'Unique per draft'!$D$2:$D$474,"synthetic")</x:f>
        <x:v>0</x:v>
      </x:c>
      <x:c r="I89" s="15" t="str">
        <x:v>cmmjsmua2000q04jstd4i8p7c</x:v>
      </x:c>
    </x:row>
    <x:row r="90">
      <x:c r="A90" s="1" t="str">
        <x:v>case:kalda v estonia access to information rights for prisoners</x:v>
      </x:c>
      <x:c r="B90" s="1" t="str">
        <x:v>case</x:v>
      </x:c>
      <x:c r="C90" s="15" t="str">
        <x:v>Kalda v. Estonia - Access to Information Rights for Prisoners</x:v>
      </x:c>
      <x:c r="D90" s="15" t="str">
        <x:v>N/A</x:v>
      </x:c>
      <x:c r="E90" s="15" t="n">
        <x:f>COUNTIF('Unique per draft'!$H$2:$H$474,A90)</x:f>
        <x:v>1</x:v>
      </x:c>
      <x:c r="F90" s="15" t="n">
        <x:f>COUNTIF('Occurrences'!$I$2:$I$722,A90)</x:f>
        <x:v>3</x:v>
      </x:c>
      <x:c r="G90" s="15" t="n">
        <x:f>COUNTIFS('Unique per draft'!$H$2:$H$474,A90,'Unique per draft'!$D$2:$D$474,"real")</x:f>
        <x:v>1</x:v>
      </x:c>
      <x:c r="H90" s="15" t="n">
        <x:f>COUNTIFS('Unique per draft'!$H$2:$H$474,A90,'Unique per draft'!$D$2:$D$474,"synthetic")</x:f>
        <x:v>0</x:v>
      </x:c>
      <x:c r="I90" s="15" t="str">
        <x:v>cmmjsmua2000q04jstd4i8p7c</x:v>
      </x:c>
    </x:row>
    <x:row r="91">
      <x:c r="A91" s="1" t="str">
        <x:v>case:2015 ewca civ 897</x:v>
      </x:c>
      <x:c r="B91" s="1" t="str">
        <x:v>case</x:v>
      </x:c>
      <x:c r="C91" s="15" t="str">
        <x:v>Kalu v Brighton and Sussex University Hospitals NHS Trust &amp; Ors</x:v>
      </x:c>
      <x:c r="D91" s="15" t="str">
        <x:v>[2015] EWCA Civ 897</x:v>
      </x:c>
      <x:c r="E91" s="15" t="n">
        <x:f>COUNTIF('Unique per draft'!$H$2:$H$474,A91)</x:f>
        <x:v>1</x:v>
      </x:c>
      <x:c r="F91" s="15" t="n">
        <x:f>COUNTIF('Occurrences'!$I$2:$I$722,A91)</x:f>
        <x:v>3</x:v>
      </x:c>
      <x:c r="G91" s="15" t="n">
        <x:f>COUNTIFS('Unique per draft'!$H$2:$H$474,A91,'Unique per draft'!$D$2:$D$474,"real")</x:f>
        <x:v>0</x:v>
      </x:c>
      <x:c r="H91" s="15" t="n">
        <x:f>COUNTIFS('Unique per draft'!$H$2:$H$474,A91,'Unique per draft'!$D$2:$D$474,"synthetic")</x:f>
        <x:v>1</x:v>
      </x:c>
      <x:c r="I91" s="15" t="str">
        <x:v>cmst419ew000k04ladhs06s0r</x:v>
      </x:c>
    </x:row>
    <x:row r="92">
      <x:c r="A92" s="1" t="str">
        <x:v>case:2016 ewhc 1767 qb</x:v>
      </x:c>
      <x:c r="B92" s="1" t="str">
        <x:v>case</x:v>
      </x:c>
      <x:c r="C92" s="15" t="str">
        <x:v>King Lifting Ltd v Oxfordshire County Council</x:v>
      </x:c>
      <x:c r="D92" s="15" t="str">
        <x:v>[2016] EWHC 1767 (QB)</x:v>
      </x:c>
      <x:c r="E92" s="15" t="n">
        <x:f>COUNTIF('Unique per draft'!$H$2:$H$474,A92)</x:f>
        <x:v>5</x:v>
      </x:c>
      <x:c r="F92" s="15" t="n">
        <x:f>COUNTIF('Occurrences'!$I$2:$I$722,A92)</x:f>
        <x:v>7</x:v>
      </x:c>
      <x:c r="G92" s="15" t="n">
        <x:f>COUNTIFS('Unique per draft'!$H$2:$H$474,A92,'Unique per draft'!$D$2:$D$474,"real")</x:f>
        <x:v>5</x:v>
      </x:c>
      <x:c r="H92" s="15" t="n">
        <x:f>COUNTIFS('Unique per draft'!$H$2:$H$474,A92,'Unique per draft'!$D$2:$D$474,"synthetic")</x:f>
        <x:v>0</x:v>
      </x:c>
      <x:c r="I92" s="15" t="str">
        <x:v>cmmsi1xqb000h04jsef3v6skf | cmmxktfx8000904johoqmmfkm | cmmxpdot1000h04i8q3aleh7a | cmsbracw1001r04l4az8ukhd1 | cmsbrc37v001x04l4t7r77h89</x:v>
      </x:c>
    </x:row>
    <x:row r="93">
      <x:c r="A93" s="1" t="str">
        <x:v>case:king lifting ltd v oxfordshire county council</x:v>
      </x:c>
      <x:c r="B93" s="1" t="str">
        <x:v>case</x:v>
      </x:c>
      <x:c r="C93" s="15" t="str">
        <x:v>King Lifting Ltd v Oxfordshire County Council</x:v>
      </x:c>
      <x:c r="D93" s="15" t="str">
        <x:v>[2016] EWHC 1767</x:v>
      </x:c>
      <x:c r="E93" s="15" t="n">
        <x:f>COUNTIF('Unique per draft'!$H$2:$H$474,A93)</x:f>
        <x:v>1</x:v>
      </x:c>
      <x:c r="F93" s="15" t="n">
        <x:f>COUNTIF('Occurrences'!$I$2:$I$722,A93)</x:f>
        <x:v>1</x:v>
      </x:c>
      <x:c r="G93" s="15" t="n">
        <x:f>COUNTIFS('Unique per draft'!$H$2:$H$474,A93,'Unique per draft'!$D$2:$D$474,"real")</x:f>
        <x:v>1</x:v>
      </x:c>
      <x:c r="H93" s="15" t="n">
        <x:f>COUNTIFS('Unique per draft'!$H$2:$H$474,A93,'Unique per draft'!$D$2:$D$474,"synthetic")</x:f>
        <x:v>0</x:v>
      </x:c>
      <x:c r="I93" s="15" t="str">
        <x:v>cmmxgyd9z000h04kttryogau2</x:v>
      </x:c>
    </x:row>
    <x:row r="94">
      <x:c r="A94" s="1" t="str">
        <x:v>case:2022 ewca civ 189</x:v>
      </x:c>
      <x:c r="B94" s="1" t="str">
        <x:v>case</x:v>
      </x:c>
      <x:c r="C94" s="15" t="str">
        <x:v>Kocur v Angard Staffing Solutions Limited &amp; Anor</x:v>
      </x:c>
      <x:c r="D94" s="15" t="str">
        <x:v>[2022] EWCA Civ 189</x:v>
      </x:c>
      <x:c r="E94" s="15" t="n">
        <x:f>COUNTIF('Unique per draft'!$H$2:$H$474,A94)</x:f>
        <x:v>2</x:v>
      </x:c>
      <x:c r="F94" s="15" t="n">
        <x:f>COUNTIF('Occurrences'!$I$2:$I$722,A94)</x:f>
        <x:v>5</x:v>
      </x:c>
      <x:c r="G94" s="15" t="n">
        <x:f>COUNTIFS('Unique per draft'!$H$2:$H$474,A94,'Unique per draft'!$D$2:$D$474,"real")</x:f>
        <x:v>2</x:v>
      </x:c>
      <x:c r="H94" s="15" t="n">
        <x:f>COUNTIFS('Unique per draft'!$H$2:$H$474,A94,'Unique per draft'!$D$2:$D$474,"synthetic")</x:f>
        <x:v>0</x:v>
      </x:c>
      <x:c r="I94" s="15" t="str">
        <x:v>cmsbrvtc4001304jp5e4691on | cmsbskr86000h04ji5a4thcht</x:v>
      </x:c>
    </x:row>
    <x:row r="95">
      <x:c r="A95" s="1" t="str">
        <x:v>case:2015 ewca civ 1293</x:v>
      </x:c>
      <x:c r="B95" s="1" t="str">
        <x:v>case</x:v>
      </x:c>
      <x:c r="C95" s="15" t="str">
        <x:v>Leeds City Council v HM Revenue and Customs</x:v>
      </x:c>
      <x:c r="D95" s="15" t="str">
        <x:v>[2015] EWCA Civ 1293</x:v>
      </x:c>
      <x:c r="E95" s="15" t="n">
        <x:f>COUNTIF('Unique per draft'!$H$2:$H$474,A95)</x:f>
        <x:v>1</x:v>
      </x:c>
      <x:c r="F95" s="15" t="n">
        <x:f>COUNTIF('Occurrences'!$I$2:$I$722,A95)</x:f>
        <x:v>1</x:v>
      </x:c>
      <x:c r="G95" s="15" t="n">
        <x:f>COUNTIFS('Unique per draft'!$H$2:$H$474,A95,'Unique per draft'!$D$2:$D$474,"real")</x:f>
        <x:v>1</x:v>
      </x:c>
      <x:c r="H95" s="15" t="n">
        <x:f>COUNTIFS('Unique per draft'!$H$2:$H$474,A95,'Unique per draft'!$D$2:$D$474,"synthetic")</x:f>
        <x:v>0</x:v>
      </x:c>
      <x:c r="I95" s="15" t="str">
        <x:v>cmsbr3045000j04l4tkps7ymp</x:v>
      </x:c>
    </x:row>
    <x:row r="96">
      <x:c r="A96" s="1" t="str">
        <x:v>case:2022 ewca civ 1433</x:v>
      </x:c>
      <x:c r="B96" s="1" t="str">
        <x:v>case</x:v>
      </x:c>
      <x:c r="C96" s="15" t="str">
        <x:v>Lidl Great Britain Ltd &amp; Lidl Stiftung &amp; Co KG v Tesco Stores Ltd &amp; Tesco PLC</x:v>
      </x:c>
      <x:c r="D96" s="15" t="str">
        <x:v>[2022] EWCA Civ 1433</x:v>
      </x:c>
      <x:c r="E96" s="15" t="n">
        <x:f>COUNTIF('Unique per draft'!$H$2:$H$474,A96)</x:f>
        <x:v>1</x:v>
      </x:c>
      <x:c r="F96" s="15" t="n">
        <x:f>COUNTIF('Occurrences'!$I$2:$I$722,A96)</x:f>
        <x:v>3</x:v>
      </x:c>
      <x:c r="G96" s="15" t="n">
        <x:f>COUNTIFS('Unique per draft'!$H$2:$H$474,A96,'Unique per draft'!$D$2:$D$474,"real")</x:f>
        <x:v>0</x:v>
      </x:c>
      <x:c r="H96" s="15" t="n">
        <x:f>COUNTIFS('Unique per draft'!$H$2:$H$474,A96,'Unique per draft'!$D$2:$D$474,"synthetic")</x:f>
        <x:v>1</x:v>
      </x:c>
      <x:c r="I96" s="15" t="str">
        <x:v>cmst4kl1t000h04js7g8j67zy</x:v>
      </x:c>
    </x:row>
    <x:row r="97">
      <x:c r="A97" s="1" t="str">
        <x:v>case:2015 ewca civ 515</x:v>
      </x:c>
      <x:c r="B97" s="1" t="str">
        <x:v>case</x:v>
      </x:c>
      <x:c r="C97" s="15" t="str">
        <x:v>Littlewoods Ltd &amp; Ors v HM Revenue and Customs</x:v>
      </x:c>
      <x:c r="D97" s="15" t="str">
        <x:v>[2015] EWCA Civ 515</x:v>
      </x:c>
      <x:c r="E97" s="15" t="n">
        <x:f>COUNTIF('Unique per draft'!$H$2:$H$474,A97)</x:f>
        <x:v>1</x:v>
      </x:c>
      <x:c r="F97" s="15" t="n">
        <x:f>COUNTIF('Occurrences'!$I$2:$I$722,A97)</x:f>
        <x:v>1</x:v>
      </x:c>
      <x:c r="G97" s="15" t="n">
        <x:f>COUNTIFS('Unique per draft'!$H$2:$H$474,A97,'Unique per draft'!$D$2:$D$474,"real")</x:f>
        <x:v>1</x:v>
      </x:c>
      <x:c r="H97" s="15" t="n">
        <x:f>COUNTIFS('Unique per draft'!$H$2:$H$474,A97,'Unique per draft'!$D$2:$D$474,"synthetic")</x:f>
        <x:v>0</x:v>
      </x:c>
      <x:c r="I97" s="15" t="str">
        <x:v>cmsbr4fhb000v04l4mgwtz5x1</x:v>
      </x:c>
    </x:row>
    <x:row r="98">
      <x:c r="A98" s="1" t="str">
        <x:v>case:2016 ewca civ 480</x:v>
      </x:c>
      <x:c r="B98" s="1" t="str">
        <x:v>case</x:v>
      </x:c>
      <x:c r="C98" s="15" t="str">
        <x:v>London Borough of Enfield, R (on the application of) v Secretary of State for Transport &amp; Ors</x:v>
      </x:c>
      <x:c r="D98" s="15" t="str">
        <x:v>[2016] EWCA Civ 480</x:v>
      </x:c>
      <x:c r="E98" s="15" t="n">
        <x:f>COUNTIF('Unique per draft'!$H$2:$H$474,A98)</x:f>
        <x:v>2</x:v>
      </x:c>
      <x:c r="F98" s="15" t="n">
        <x:f>COUNTIF('Occurrences'!$I$2:$I$722,A98)</x:f>
        <x:v>4</x:v>
      </x:c>
      <x:c r="G98" s="15" t="n">
        <x:f>COUNTIFS('Unique per draft'!$H$2:$H$474,A98,'Unique per draft'!$D$2:$D$474,"real")</x:f>
        <x:v>1</x:v>
      </x:c>
      <x:c r="H98" s="15" t="n">
        <x:f>COUNTIFS('Unique per draft'!$H$2:$H$474,A98,'Unique per draft'!$D$2:$D$474,"synthetic")</x:f>
        <x:v>1</x:v>
      </x:c>
      <x:c r="I98" s="15" t="str">
        <x:v>cmlzy9ss300fz04i80p2yfbg1 | cms1u865i000904jxu5huyjg5</x:v>
      </x:c>
    </x:row>
    <x:row r="99">
      <x:c r="A99" s="1" t="str">
        <x:v>case:london borough of enfield r on the application of v secretary of state for transport &amp; ors</x:v>
      </x:c>
      <x:c r="B99" s="1" t="str">
        <x:v>case</x:v>
      </x:c>
      <x:c r="C99" s="15" t="str">
        <x:v>London Borough of Enfield, R (on the application of) v Secretary of State for Transport &amp; Ors</x:v>
      </x:c>
      <x:c r="D99" s="15" t="str">
        <x:v>N/A</x:v>
      </x:c>
      <x:c r="E99" s="15" t="n">
        <x:f>COUNTIF('Unique per draft'!$H$2:$H$474,A99)</x:f>
        <x:v>1</x:v>
      </x:c>
      <x:c r="F99" s="15" t="n">
        <x:f>COUNTIF('Occurrences'!$I$2:$I$722,A99)</x:f>
        <x:v>4</x:v>
      </x:c>
      <x:c r="G99" s="15" t="n">
        <x:f>COUNTIFS('Unique per draft'!$H$2:$H$474,A99,'Unique per draft'!$D$2:$D$474,"real")</x:f>
        <x:v>1</x:v>
      </x:c>
      <x:c r="H99" s="15" t="n">
        <x:f>COUNTIFS('Unique per draft'!$H$2:$H$474,A99,'Unique per draft'!$D$2:$D$474,"synthetic")</x:f>
        <x:v>0</x:v>
      </x:c>
      <x:c r="I99" s="15" t="str">
        <x:v>cms1ps00j000j04jsbxrn9wrj</x:v>
      </x:c>
    </x:row>
    <x:row r="100">
      <x:c r="A100" s="1" t="str">
        <x:v>case:london borough of southwark &amp; anor v transport for london</x:v>
      </x:c>
      <x:c r="B100" s="1" t="str">
        <x:v>case</x:v>
      </x:c>
      <x:c r="C100" s="15" t="str">
        <x:v>London Borough of Southwark &amp; Anor v Transport for London</x:v>
      </x:c>
      <x:c r="D100" s="15" t="str"/>
      <x:c r="E100" s="15" t="n">
        <x:f>COUNTIF('Unique per draft'!$H$2:$H$474,A100)</x:f>
        <x:v>1</x:v>
      </x:c>
      <x:c r="F100" s="15" t="n">
        <x:f>COUNTIF('Occurrences'!$I$2:$I$722,A100)</x:f>
        <x:v>1</x:v>
      </x:c>
      <x:c r="G100" s="15" t="n">
        <x:f>COUNTIFS('Unique per draft'!$H$2:$H$474,A100,'Unique per draft'!$D$2:$D$474,"real")</x:f>
        <x:v>1</x:v>
      </x:c>
      <x:c r="H100" s="15" t="n">
        <x:f>COUNTIFS('Unique per draft'!$H$2:$H$474,A100,'Unique per draft'!$D$2:$D$474,"synthetic")</x:f>
        <x:v>0</x:v>
      </x:c>
      <x:c r="I100" s="15" t="str">
        <x:v>cmsbracw1001r04l4az8ukhd1</x:v>
      </x:c>
    </x:row>
    <x:row r="101">
      <x:c r="A101" s="1" t="str">
        <x:v>case:2015 ewca civ 224</x:v>
      </x:c>
      <x:c r="B101" s="1" t="str">
        <x:v>case</x:v>
      </x:c>
      <x:c r="C101" s="15" t="str">
        <x:v>Magnic Ltd v Ul-Hassan &amp; Anor</x:v>
      </x:c>
      <x:c r="D101" s="15" t="str">
        <x:v>[2015] EWCA Civ 224</x:v>
      </x:c>
      <x:c r="E101" s="15" t="n">
        <x:f>COUNTIF('Unique per draft'!$H$2:$H$474,A101)</x:f>
        <x:v>1</x:v>
      </x:c>
      <x:c r="F101" s="15" t="n">
        <x:f>COUNTIF('Occurrences'!$I$2:$I$722,A101)</x:f>
        <x:v>2</x:v>
      </x:c>
      <x:c r="G101" s="15" t="n">
        <x:f>COUNTIFS('Unique per draft'!$H$2:$H$474,A101,'Unique per draft'!$D$2:$D$474,"real")</x:f>
        <x:v>0</x:v>
      </x:c>
      <x:c r="H101" s="15" t="n">
        <x:f>COUNTIFS('Unique per draft'!$H$2:$H$474,A101,'Unique per draft'!$D$2:$D$474,"synthetic")</x:f>
        <x:v>1</x:v>
      </x:c>
      <x:c r="I101" s="15" t="str">
        <x:v>cmmdjqxh3000304kvs37yorn3</x:v>
      </x:c>
    </x:row>
    <x:row r="102">
      <x:c r="A102" s="1" t="str">
        <x:v>case:main &amp; orsv v giambrone &amp; law 2017</x:v>
      </x:c>
      <x:c r="B102" s="1" t="str">
        <x:v>case</x:v>
      </x:c>
      <x:c r="C102" s="15" t="str">
        <x:v>Main &amp; Orsv v Giambrone &amp; Law (2017)</x:v>
      </x:c>
      <x:c r="D102" s="15" t="str"/>
      <x:c r="E102" s="15" t="n">
        <x:f>COUNTIF('Unique per draft'!$H$2:$H$474,A102)</x:f>
        <x:v>1</x:v>
      </x:c>
      <x:c r="F102" s="15" t="n">
        <x:f>COUNTIF('Occurrences'!$I$2:$I$722,A102)</x:f>
        <x:v>1</x:v>
      </x:c>
      <x:c r="G102" s="15" t="n">
        <x:f>COUNTIFS('Unique per draft'!$H$2:$H$474,A102,'Unique per draft'!$D$2:$D$474,"real")</x:f>
        <x:v>0</x:v>
      </x:c>
      <x:c r="H102" s="15" t="n">
        <x:f>COUNTIFS('Unique per draft'!$H$2:$H$474,A102,'Unique per draft'!$D$2:$D$474,"synthetic")</x:f>
        <x:v>1</x:v>
      </x:c>
      <x:c r="I102" s="15" t="str">
        <x:v>cmst49zw4001104l7neqlaa0v</x:v>
      </x:c>
    </x:row>
    <x:row r="103">
      <x:c r="A103" s="1" t="str">
        <x:v>case:2001 2 lloyd s rep 76</x:v>
      </x:c>
      <x:c r="B103" s="1" t="str">
        <x:v>case</x:v>
      </x:c>
      <x:c r="C103" s="15" t="str">
        <x:v>Mamidoil v Okta [2001] 2 Lloyd's Rep 76</x:v>
      </x:c>
      <x:c r="D103" s="15" t="str">
        <x:v>Mamidoil v Okta [2001] 2 Lloyd's Rep 76</x:v>
      </x:c>
      <x:c r="E103" s="15" t="n">
        <x:f>COUNTIF('Unique per draft'!$H$2:$H$474,A103)</x:f>
        <x:v>1</x:v>
      </x:c>
      <x:c r="F103" s="15" t="n">
        <x:f>COUNTIF('Occurrences'!$I$2:$I$722,A103)</x:f>
        <x:v>1</x:v>
      </x:c>
      <x:c r="G103" s="15" t="n">
        <x:f>COUNTIFS('Unique per draft'!$H$2:$H$474,A103,'Unique per draft'!$D$2:$D$474,"real")</x:f>
        <x:v>1</x:v>
      </x:c>
      <x:c r="H103" s="15" t="n">
        <x:f>COUNTIFS('Unique per draft'!$H$2:$H$474,A103,'Unique per draft'!$D$2:$D$474,"synthetic")</x:f>
        <x:v>0</x:v>
      </x:c>
      <x:c r="I103" s="15" t="str">
        <x:v>cmmxi2xkc000t04l8hsscxyvl</x:v>
      </x:c>
    </x:row>
    <x:row r="104">
      <x:c r="A104" s="1" t="str">
        <x:v>case:mehmet arslan and orhan bingol v turkey</x:v>
      </x:c>
      <x:c r="B104" s="1" t="str">
        <x:v>case</x:v>
      </x:c>
      <x:c r="C104" s="15" t="str">
        <x:v>Mehmet Arslan and Orhan Bingol v Turkey</x:v>
      </x:c>
      <x:c r="D104" s="15" t="str">
        <x:v>Mehmet Arslan and Orhan Bingol v Turkey</x:v>
      </x:c>
      <x:c r="E104" s="15" t="n">
        <x:f>COUNTIF('Unique per draft'!$H$2:$H$474,A104)</x:f>
        <x:v>1</x:v>
      </x:c>
      <x:c r="F104" s="15" t="n">
        <x:f>COUNTIF('Occurrences'!$I$2:$I$722,A104)</x:f>
        <x:v>1</x:v>
      </x:c>
      <x:c r="G104" s="15" t="n">
        <x:f>COUNTIFS('Unique per draft'!$H$2:$H$474,A104,'Unique per draft'!$D$2:$D$474,"real")</x:f>
        <x:v>1</x:v>
      </x:c>
      <x:c r="H104" s="15" t="n">
        <x:f>COUNTIFS('Unique per draft'!$H$2:$H$474,A104,'Unique per draft'!$D$2:$D$474,"synthetic")</x:f>
        <x:v>0</x:v>
      </x:c>
      <x:c r="I104" s="15" t="str">
        <x:v>cmmjsmua2000q04jstd4i8p7c</x:v>
      </x:c>
    </x:row>
    <x:row r="105">
      <x:c r="A105" s="1" t="str">
        <x:v>case:2009 ukhl 39</x:v>
      </x:c>
      <x:c r="B105" s="1" t="str">
        <x:v>case</x:v>
      </x:c>
      <x:c r="C105" s="15" t="str">
        <x:v>Moore Stephens (a firm) v Stone Rolls Ltd [2009] UKHL 39</x:v>
      </x:c>
      <x:c r="D105" s="15" t="str">
        <x:v>Moore Stephens (a firm) v Stone Rolls Ltd [2009] UKHL 39</x:v>
      </x:c>
      <x:c r="E105" s="15" t="n">
        <x:f>COUNTIF('Unique per draft'!$H$2:$H$474,A105)</x:f>
        <x:v>1</x:v>
      </x:c>
      <x:c r="F105" s="15" t="n">
        <x:f>COUNTIF('Occurrences'!$I$2:$I$722,A105)</x:f>
        <x:v>1</x:v>
      </x:c>
      <x:c r="G105" s="15" t="n">
        <x:f>COUNTIFS('Unique per draft'!$H$2:$H$474,A105,'Unique per draft'!$D$2:$D$474,"real")</x:f>
        <x:v>0</x:v>
      </x:c>
      <x:c r="H105" s="15" t="n">
        <x:f>COUNTIFS('Unique per draft'!$H$2:$H$474,A105,'Unique per draft'!$D$2:$D$474,"synthetic")</x:f>
        <x:v>1</x:v>
      </x:c>
      <x:c r="I105" s="15" t="str">
        <x:v>cmmmudwct000304kzc6d15a3r</x:v>
      </x:c>
    </x:row>
    <x:row r="106">
      <x:c r="A106" s="1" t="str">
        <x:v>case:national aids trust v national health service commissioning board nhs england &amp; ors</x:v>
      </x:c>
      <x:c r="B106" s="1" t="str">
        <x:v>case</x:v>
      </x:c>
      <x:c r="C106" s="15" t="str">
        <x:v>National AIDS Trust v National Health Service Commissioning Board (NHS England) &amp; Ors</x:v>
      </x:c>
      <x:c r="D106" s="15" t="str">
        <x:v>N/A</x:v>
      </x:c>
      <x:c r="E106" s="15" t="n">
        <x:f>COUNTIF('Unique per draft'!$H$2:$H$474,A106)</x:f>
        <x:v>1</x:v>
      </x:c>
      <x:c r="F106" s="15" t="n">
        <x:f>COUNTIF('Occurrences'!$I$2:$I$722,A106)</x:f>
        <x:v>1</x:v>
      </x:c>
      <x:c r="G106" s="15" t="n">
        <x:f>COUNTIFS('Unique per draft'!$H$2:$H$474,A106,'Unique per draft'!$D$2:$D$474,"real")</x:f>
        <x:v>1</x:v>
      </x:c>
      <x:c r="H106" s="15" t="n">
        <x:f>COUNTIFS('Unique per draft'!$H$2:$H$474,A106,'Unique per draft'!$D$2:$D$474,"synthetic")</x:f>
        <x:v>0</x:v>
      </x:c>
      <x:c r="I106" s="15" t="str">
        <x:v>cms1ps00j000j04jsbxrn9wrj</x:v>
      </x:c>
    </x:row>
    <x:row r="107">
      <x:c r="A107" s="1" t="str">
        <x:v>case:neilson v poole 1969 20 p&amp;cr 909</x:v>
      </x:c>
      <x:c r="B107" s="1" t="str">
        <x:v>case</x:v>
      </x:c>
      <x:c r="C107" s="15" t="str">
        <x:v>Neilson v. Poole [1969] 20 P&amp;CR 909</x:v>
      </x:c>
      <x:c r="D107" s="15" t="str">
        <x:v>Neilson v. Poole [1969] 20 P&amp;CR 909</x:v>
      </x:c>
      <x:c r="E107" s="15" t="n">
        <x:f>COUNTIF('Unique per draft'!$H$2:$H$474,A107)</x:f>
        <x:v>1</x:v>
      </x:c>
      <x:c r="F107" s="15" t="n">
        <x:f>COUNTIF('Occurrences'!$I$2:$I$722,A107)</x:f>
        <x:v>1</x:v>
      </x:c>
      <x:c r="G107" s="15" t="n">
        <x:f>COUNTIFS('Unique per draft'!$H$2:$H$474,A107,'Unique per draft'!$D$2:$D$474,"real")</x:f>
        <x:v>0</x:v>
      </x:c>
      <x:c r="H107" s="15" t="n">
        <x:f>COUNTIFS('Unique per draft'!$H$2:$H$474,A107,'Unique per draft'!$D$2:$D$474,"synthetic")</x:f>
        <x:v>1</x:v>
      </x:c>
      <x:c r="I107" s="15" t="str">
        <x:v>cmlzphr57000h04jtqrwbfiyf</x:v>
      </x:c>
    </x:row>
    <x:row r="108">
      <x:c r="A108" s="1" t="str">
        <x:v>case:2015 ewca civ 632</x:v>
      </x:c>
      <x:c r="B108" s="1" t="str">
        <x:v>case</x:v>
      </x:c>
      <x:c r="C108" s="15" t="str">
        <x:v>Nizami v Dezyanian</x:v>
      </x:c>
      <x:c r="D108" s="15" t="str">
        <x:v>[2015] EWCA Civ 632</x:v>
      </x:c>
      <x:c r="E108" s="15" t="n">
        <x:f>COUNTIF('Unique per draft'!$H$2:$H$474,A108)</x:f>
        <x:v>1</x:v>
      </x:c>
      <x:c r="F108" s="15" t="n">
        <x:f>COUNTIF('Occurrences'!$I$2:$I$722,A108)</x:f>
        <x:v>2</x:v>
      </x:c>
      <x:c r="G108" s="15" t="n">
        <x:f>COUNTIFS('Unique per draft'!$H$2:$H$474,A108,'Unique per draft'!$D$2:$D$474,"real")</x:f>
        <x:v>0</x:v>
      </x:c>
      <x:c r="H108" s="15" t="n">
        <x:f>COUNTIFS('Unique per draft'!$H$2:$H$474,A108,'Unique per draft'!$D$2:$D$474,"synthetic")</x:f>
        <x:v>1</x:v>
      </x:c>
      <x:c r="I108" s="15" t="str">
        <x:v>cmmdjqxh3000304kvs37yorn3</x:v>
      </x:c>
    </x:row>
    <x:row r="109">
      <x:c r="A109" s="1" t="str">
        <x:v>case:nizami v dezyanian</x:v>
      </x:c>
      <x:c r="B109" s="1" t="str">
        <x:v>case</x:v>
      </x:c>
      <x:c r="C109" s="15" t="str">
        <x:v>Nizami v Dezyanian</x:v>
      </x:c>
      <x:c r="D109" s="15" t="str">
        <x:v>N/A</x:v>
      </x:c>
      <x:c r="E109" s="15" t="n">
        <x:f>COUNTIF('Unique per draft'!$H$2:$H$474,A109)</x:f>
        <x:v>1</x:v>
      </x:c>
      <x:c r="F109" s="15" t="n">
        <x:f>COUNTIF('Occurrences'!$I$2:$I$722,A109)</x:f>
        <x:v>1</x:v>
      </x:c>
      <x:c r="G109" s="15" t="n">
        <x:f>COUNTIFS('Unique per draft'!$H$2:$H$474,A109,'Unique per draft'!$D$2:$D$474,"real")</x:f>
        <x:v>0</x:v>
      </x:c>
      <x:c r="H109" s="15" t="n">
        <x:f>COUNTIFS('Unique per draft'!$H$2:$H$474,A109,'Unique per draft'!$D$2:$D$474,"synthetic")</x:f>
        <x:v>1</x:v>
      </x:c>
      <x:c r="I109" s="15" t="str">
        <x:v>cmmls2r93000304jme0bpsul9</x:v>
      </x:c>
    </x:row>
    <x:row r="110">
      <x:c r="A110" s="1" t="str">
        <x:v>case:novartis ag and novartis pharmaceuticals uk limited v teva uk ltd &amp; ors</x:v>
      </x:c>
      <x:c r="B110" s="1" t="str">
        <x:v>case</x:v>
      </x:c>
      <x:c r="C110" s="15" t="str">
        <x:v>Novartis AG and Novartis Pharmaceuticals UK Limited v Teva UK Ltd &amp; Ors</x:v>
      </x:c>
      <x:c r="D110" s="15" t="str">
        <x:v>N/A</x:v>
      </x:c>
      <x:c r="E110" s="15" t="n">
        <x:f>COUNTIF('Unique per draft'!$H$2:$H$474,A110)</x:f>
        <x:v>1</x:v>
      </x:c>
      <x:c r="F110" s="15" t="n">
        <x:f>COUNTIF('Occurrences'!$I$2:$I$722,A110)</x:f>
        <x:v>1</x:v>
      </x:c>
      <x:c r="G110" s="15" t="n">
        <x:f>COUNTIFS('Unique per draft'!$H$2:$H$474,A110,'Unique per draft'!$D$2:$D$474,"real")</x:f>
        <x:v>1</x:v>
      </x:c>
      <x:c r="H110" s="15" t="n">
        <x:f>COUNTIFS('Unique per draft'!$H$2:$H$474,A110,'Unique per draft'!$D$2:$D$474,"synthetic")</x:f>
        <x:v>0</x:v>
      </x:c>
      <x:c r="I110" s="15" t="str">
        <x:v>cmsbtbxft002t04jic4baeo3l</x:v>
      </x:c>
    </x:row>
    <x:row r="111">
      <x:c r="A111" s="1" t="str">
        <x:v>case:2022 ewca civ 229</x:v>
      </x:c>
      <x:c r="B111" s="1" t="str">
        <x:v>case</x:v>
      </x:c>
      <x:c r="C111" s="15" t="str">
        <x:v>Nursing and Midwifery Council v Somerville</x:v>
      </x:c>
      <x:c r="D111" s="15" t="str">
        <x:v>[2022] EWCA Civ 229</x:v>
      </x:c>
      <x:c r="E111" s="15" t="n">
        <x:f>COUNTIF('Unique per draft'!$H$2:$H$474,A111)</x:f>
        <x:v>1</x:v>
      </x:c>
      <x:c r="F111" s="15" t="n">
        <x:f>COUNTIF('Occurrences'!$I$2:$I$722,A111)</x:f>
        <x:v>2</x:v>
      </x:c>
      <x:c r="G111" s="15" t="n">
        <x:f>COUNTIFS('Unique per draft'!$H$2:$H$474,A111,'Unique per draft'!$D$2:$D$474,"real")</x:f>
        <x:v>1</x:v>
      </x:c>
      <x:c r="H111" s="15" t="n">
        <x:f>COUNTIFS('Unique per draft'!$H$2:$H$474,A111,'Unique per draft'!$D$2:$D$474,"synthetic")</x:f>
        <x:v>0</x:v>
      </x:c>
      <x:c r="I111" s="15" t="str">
        <x:v>cmsbskr86000h04ji5a4thcht</x:v>
      </x:c>
    </x:row>
    <x:row r="112">
      <x:c r="A112" s="1" t="str">
        <x:v>case:parratt r on the application of v parole board</x:v>
      </x:c>
      <x:c r="B112" s="1" t="str">
        <x:v>case</x:v>
      </x:c>
      <x:c r="C112" s="15" t="str">
        <x:v>Parratt, R (on the application of) v Parole Board</x:v>
      </x:c>
      <x:c r="D112" s="15" t="str">
        <x:v>N/A</x:v>
      </x:c>
      <x:c r="E112" s="15" t="n">
        <x:f>COUNTIF('Unique per draft'!$H$2:$H$474,A112)</x:f>
        <x:v>1</x:v>
      </x:c>
      <x:c r="F112" s="15" t="n">
        <x:f>COUNTIF('Occurrences'!$I$2:$I$722,A112)</x:f>
        <x:v>2</x:v>
      </x:c>
      <x:c r="G112" s="15" t="n">
        <x:f>COUNTIFS('Unique per draft'!$H$2:$H$474,A112,'Unique per draft'!$D$2:$D$474,"real")</x:f>
        <x:v>1</x:v>
      </x:c>
      <x:c r="H112" s="15" t="n">
        <x:f>COUNTIFS('Unique per draft'!$H$2:$H$474,A112,'Unique per draft'!$D$2:$D$474,"synthetic")</x:f>
        <x:v>0</x:v>
      </x:c>
      <x:c r="I112" s="15" t="str">
        <x:v>cmsbqvqsj000h04jnb8tn656h</x:v>
      </x:c>
    </x:row>
    <x:row r="113">
      <x:c r="A113" s="1" t="str">
        <x:v>case:2022 ewca civ 4</x:v>
      </x:c>
      <x:c r="B113" s="1" t="str">
        <x:v>case</x:v>
      </x:c>
      <x:c r="C113" s="15" t="str">
        <x:v>Pearce, R (On the Application Of) v Parole Board of England and Wales &amp; Anor</x:v>
      </x:c>
      <x:c r="D113" s="15" t="str">
        <x:v>[2022] EWCA Civ 4</x:v>
      </x:c>
      <x:c r="E113" s="15" t="n">
        <x:f>COUNTIF('Unique per draft'!$H$2:$H$474,A113)</x:f>
        <x:v>1</x:v>
      </x:c>
      <x:c r="F113" s="15" t="n">
        <x:f>COUNTIF('Occurrences'!$I$2:$I$722,A113)</x:f>
        <x:v>1</x:v>
      </x:c>
      <x:c r="G113" s="15" t="n">
        <x:f>COUNTIFS('Unique per draft'!$H$2:$H$474,A113,'Unique per draft'!$D$2:$D$474,"real")</x:f>
        <x:v>1</x:v>
      </x:c>
      <x:c r="H113" s="15" t="n">
        <x:f>COUNTIFS('Unique per draft'!$H$2:$H$474,A113,'Unique per draft'!$D$2:$D$474,"synthetic")</x:f>
        <x:v>0</x:v>
      </x:c>
      <x:c r="I113" s="15" t="str">
        <x:v>cmmc4a8zu000h04jx2w3r0hzo</x:v>
      </x:c>
    </x:row>
    <x:row r="114">
      <x:c r="A114" s="1" t="str">
        <x:v>case:2022 ewca civ 1638</x:v>
      </x:c>
      <x:c r="B114" s="1" t="str">
        <x:v>case</x:v>
      </x:c>
      <x:c r="C114" s="15" t="str">
        <x:v>Philip Morris Products, S.A. v Nicoventures Trading Limited &amp; Anor (Re Invalidity of Patents)</x:v>
      </x:c>
      <x:c r="D114" s="15" t="str">
        <x:v>[2022] EWCA Civ 1638</x:v>
      </x:c>
      <x:c r="E114" s="15" t="n">
        <x:f>COUNTIF('Unique per draft'!$H$2:$H$474,A114)</x:f>
        <x:v>1</x:v>
      </x:c>
      <x:c r="F114" s="15" t="n">
        <x:f>COUNTIF('Occurrences'!$I$2:$I$722,A114)</x:f>
        <x:v>3</x:v>
      </x:c>
      <x:c r="G114" s="15" t="n">
        <x:f>COUNTIFS('Unique per draft'!$H$2:$H$474,A114,'Unique per draft'!$D$2:$D$474,"real")</x:f>
        <x:v>1</x:v>
      </x:c>
      <x:c r="H114" s="15" t="n">
        <x:f>COUNTIFS('Unique per draft'!$H$2:$H$474,A114,'Unique per draft'!$D$2:$D$474,"synthetic")</x:f>
        <x:v>0</x:v>
      </x:c>
      <x:c r="I114" s="15" t="str">
        <x:v>cmsbsvvmu001x04jittsrlhz0</x:v>
      </x:c>
    </x:row>
    <x:row r="115">
      <x:c r="A115" s="1" t="str">
        <x:v>case:phones 4u ltd v phone4u co uk internet ltd</x:v>
      </x:c>
      <x:c r="B115" s="1" t="str">
        <x:v>case</x:v>
      </x:c>
      <x:c r="C115" s="15" t="str">
        <x:v>Phones 4U Ltd v Phone4u.co.uk Internet Ltd</x:v>
      </x:c>
      <x:c r="D115" s="15" t="str">
        <x:v>Phones 4U Ltd v Phone4u.co.uk Internet Ltd</x:v>
      </x:c>
      <x:c r="E115" s="15" t="n">
        <x:f>COUNTIF('Unique per draft'!$H$2:$H$474,A115)</x:f>
        <x:v>1</x:v>
      </x:c>
      <x:c r="F115" s="15" t="n">
        <x:f>COUNTIF('Occurrences'!$I$2:$I$722,A115)</x:f>
        <x:v>1</x:v>
      </x:c>
      <x:c r="G115" s="15" t="n">
        <x:f>COUNTIFS('Unique per draft'!$H$2:$H$474,A115,'Unique per draft'!$D$2:$D$474,"real")</x:f>
        <x:v>0</x:v>
      </x:c>
      <x:c r="H115" s="15" t="n">
        <x:f>COUNTIFS('Unique per draft'!$H$2:$H$474,A115,'Unique per draft'!$D$2:$D$474,"synthetic")</x:f>
        <x:v>1</x:v>
      </x:c>
      <x:c r="I115" s="15" t="str">
        <x:v>cmst4kl1t000h04js7g8j67zy</x:v>
      </x:c>
    </x:row>
    <x:row r="116">
      <x:c r="A116" s="1" t="str">
        <x:v>case:2015 ewca civ 400</x:v>
      </x:c>
      <x:c r="B116" s="1" t="str">
        <x:v>case</x:v>
      </x:c>
      <x:c r="C116" s="15" t="str">
        <x:v>Procter v Raleys Solicitors [2015] EWCA Civ 400</x:v>
      </x:c>
      <x:c r="D116" s="15" t="str"/>
      <x:c r="E116" s="15" t="n">
        <x:f>COUNTIF('Unique per draft'!$H$2:$H$474,A116)</x:f>
        <x:v>1</x:v>
      </x:c>
      <x:c r="F116" s="15" t="n">
        <x:f>COUNTIF('Occurrences'!$I$2:$I$722,A116)</x:f>
        <x:v>1</x:v>
      </x:c>
      <x:c r="G116" s="15" t="n">
        <x:f>COUNTIFS('Unique per draft'!$H$2:$H$474,A116,'Unique per draft'!$D$2:$D$474,"real")</x:f>
        <x:v>0</x:v>
      </x:c>
      <x:c r="H116" s="15" t="n">
        <x:f>COUNTIFS('Unique per draft'!$H$2:$H$474,A116,'Unique per draft'!$D$2:$D$474,"synthetic")</x:f>
        <x:v>1</x:v>
      </x:c>
      <x:c r="I116" s="15" t="str">
        <x:v>cmst49zw4001104l7neqlaa0v</x:v>
      </x:c>
    </x:row>
    <x:row r="117">
      <x:c r="A117" s="1" t="str">
        <x:v>case:proforce recruit ltd v the rugby group ltd</x:v>
      </x:c>
      <x:c r="B117" s="1" t="str">
        <x:v>case</x:v>
      </x:c>
      <x:c r="C117" s="15" t="str">
        <x:v>Proforce Recruit Ltd v The Rugby Group Ltd</x:v>
      </x:c>
      <x:c r="D117" s="15" t="str"/>
      <x:c r="E117" s="15" t="n">
        <x:f>COUNTIF('Unique per draft'!$H$2:$H$474,A117)</x:f>
        <x:v>1</x:v>
      </x:c>
      <x:c r="F117" s="15" t="n">
        <x:f>COUNTIF('Occurrences'!$I$2:$I$722,A117)</x:f>
        <x:v>3</x:v>
      </x:c>
      <x:c r="G117" s="15" t="n">
        <x:f>COUNTIFS('Unique per draft'!$H$2:$H$474,A117,'Unique per draft'!$D$2:$D$474,"real")</x:f>
        <x:v>1</x:v>
      </x:c>
      <x:c r="H117" s="15" t="n">
        <x:f>COUNTIFS('Unique per draft'!$H$2:$H$474,A117,'Unique per draft'!$D$2:$D$474,"synthetic")</x:f>
        <x:v>0</x:v>
      </x:c>
      <x:c r="I117" s="15" t="str">
        <x:v>cmmxi2xkc000t04l8hsscxyvl</x:v>
      </x:c>
    </x:row>
    <x:row r="118">
      <x:c r="A118" s="1" t="str">
        <x:v>case:2002 1 wlr 1593</x:v>
      </x:c>
      <x:c r="B118" s="1" t="str">
        <x:v>case</x:v>
      </x:c>
      <x:c r="C118" s="15" t="str">
        <x:v>R (Burkett) v Hammersmith LBC [2002] 1 WLR 1593</x:v>
      </x:c>
      <x:c r="D118" s="15" t="str">
        <x:v>R (Burkett) v Hammersmith LBC [2002] 1 WLR 1593</x:v>
      </x:c>
      <x:c r="E118" s="15" t="n">
        <x:f>COUNTIF('Unique per draft'!$H$2:$H$474,A118)</x:f>
        <x:v>2</x:v>
      </x:c>
      <x:c r="F118" s="15" t="n">
        <x:f>COUNTIF('Occurrences'!$I$2:$I$722,A118)</x:f>
        <x:v>2</x:v>
      </x:c>
      <x:c r="G118" s="15" t="n">
        <x:f>COUNTIFS('Unique per draft'!$H$2:$H$474,A118,'Unique per draft'!$D$2:$D$474,"real")</x:f>
        <x:v>2</x:v>
      </x:c>
      <x:c r="H118" s="15" t="n">
        <x:f>COUNTIFS('Unique per draft'!$H$2:$H$474,A118,'Unique per draft'!$D$2:$D$474,"synthetic")</x:f>
        <x:v>0</x:v>
      </x:c>
      <x:c r="I118" s="15" t="str">
        <x:v>cmmxsk5kn000h04ldd570wr09 | cmomnx9nj000304jkyxxg2b0k</x:v>
      </x:c>
    </x:row>
    <x:row r="119">
      <x:c r="A119" s="1" t="str">
        <x:v>case:r johnson v sshd</x:v>
      </x:c>
      <x:c r="B119" s="1" t="str">
        <x:v>case</x:v>
      </x:c>
      <x:c r="C119" s="15" t="str">
        <x:v>R (Johnson) v SSHD</x:v>
      </x:c>
      <x:c r="D119" s="15" t="str">
        <x:v>R (Johnson) v SSHD</x:v>
      </x:c>
      <x:c r="E119" s="15" t="n">
        <x:f>COUNTIF('Unique per draft'!$H$2:$H$474,A119)</x:f>
        <x:v>1</x:v>
      </x:c>
      <x:c r="F119" s="15" t="n">
        <x:f>COUNTIF('Occurrences'!$I$2:$I$722,A119)</x:f>
        <x:v>1</x:v>
      </x:c>
      <x:c r="G119" s="15" t="n">
        <x:f>COUNTIFS('Unique per draft'!$H$2:$H$474,A119,'Unique per draft'!$D$2:$D$474,"real")</x:f>
        <x:v>1</x:v>
      </x:c>
      <x:c r="H119" s="15" t="n">
        <x:f>COUNTIFS('Unique per draft'!$H$2:$H$474,A119,'Unique per draft'!$D$2:$D$474,"synthetic")</x:f>
        <x:v>0</x:v>
      </x:c>
      <x:c r="I119" s="15" t="str">
        <x:v>cmmc4a8zu000h04jx2w3r0hzo</x:v>
      </x:c>
    </x:row>
    <x:row r="120">
      <x:c r="A120" s="1" t="str">
        <x:v>case:2023 ewhc 1995 admin</x:v>
      </x:c>
      <x:c r="B120" s="1" t="str">
        <x:v>case</x:v>
      </x:c>
      <x:c r="C120" s="15" t="str">
        <x:v>R (Worcestershire Acute Hospitals NHS Trust) v Malvern Hills District Council [2023] EWHC 1995 (Admin)</x:v>
      </x:c>
      <x:c r="D120" s="15" t="str">
        <x:v>R (Worcestershire Acute Hospitals NHS Trust) v Malvern Hills District Council [2023] EWHC 1995 (Admin)</x:v>
      </x:c>
      <x:c r="E120" s="15" t="n">
        <x:f>COUNTIF('Unique per draft'!$H$2:$H$474,A120)</x:f>
        <x:v>1</x:v>
      </x:c>
      <x:c r="F120" s="15" t="n">
        <x:f>COUNTIF('Occurrences'!$I$2:$I$722,A120)</x:f>
        <x:v>2</x:v>
      </x:c>
      <x:c r="G120" s="15" t="n">
        <x:f>COUNTIFS('Unique per draft'!$H$2:$H$474,A120,'Unique per draft'!$D$2:$D$474,"real")</x:f>
        <x:v>1</x:v>
      </x:c>
      <x:c r="H120" s="15" t="n">
        <x:f>COUNTIFS('Unique per draft'!$H$2:$H$474,A120,'Unique per draft'!$D$2:$D$474,"synthetic")</x:f>
        <x:v>0</x:v>
      </x:c>
      <x:c r="I120" s="15" t="str">
        <x:v>cmmxtzd4o000904jrjc2hdwrx</x:v>
      </x:c>
    </x:row>
    <x:row r="121">
      <x:c r="A121" s="1" t="str">
        <x:v>case:2014 ewca civ 1433</x:v>
      </x:c>
      <x:c r="B121" s="1" t="str">
        <x:v>case</x:v>
      </x:c>
      <x:c r="C121" s="15" t="str">
        <x:v>Redrow Homes Ltd v Knowsley Metropolitan Borough Council</x:v>
      </x:c>
      <x:c r="D121" s="15" t="str">
        <x:v>[2014] EWCA Civ 1433</x:v>
      </x:c>
      <x:c r="E121" s="15" t="n">
        <x:f>COUNTIF('Unique per draft'!$H$2:$H$474,A121)</x:f>
        <x:v>1</x:v>
      </x:c>
      <x:c r="F121" s="15" t="n">
        <x:f>COUNTIF('Occurrences'!$I$2:$I$722,A121)</x:f>
        <x:v>1</x:v>
      </x:c>
      <x:c r="G121" s="15" t="n">
        <x:f>COUNTIFS('Unique per draft'!$H$2:$H$474,A121,'Unique per draft'!$D$2:$D$474,"real")</x:f>
        <x:v>1</x:v>
      </x:c>
      <x:c r="H121" s="15" t="n">
        <x:f>COUNTIFS('Unique per draft'!$H$2:$H$474,A121,'Unique per draft'!$D$2:$D$474,"synthetic")</x:f>
        <x:v>0</x:v>
      </x:c>
      <x:c r="I121" s="15" t="str">
        <x:v>cmsbracw1001r04l4az8ukhd1</x:v>
      </x:c>
    </x:row>
    <x:row r="122">
      <x:c r="A122" s="1" t="str">
        <x:v>case:reed employment ltd v hm revenue and customs</x:v>
      </x:c>
      <x:c r="B122" s="1" t="str">
        <x:v>case</x:v>
      </x:c>
      <x:c r="C122" s="15" t="str">
        <x:v>Reed Employment Ltd v HM Revenue and Customs</x:v>
      </x:c>
      <x:c r="D122" s="15" t="str">
        <x:v>N/A</x:v>
      </x:c>
      <x:c r="E122" s="15" t="n">
        <x:f>COUNTIF('Unique per draft'!$H$2:$H$474,A122)</x:f>
        <x:v>1</x:v>
      </x:c>
      <x:c r="F122" s="15" t="n">
        <x:f>COUNTIF('Occurrences'!$I$2:$I$722,A122)</x:f>
        <x:v>2</x:v>
      </x:c>
      <x:c r="G122" s="15" t="n">
        <x:f>COUNTIFS('Unique per draft'!$H$2:$H$474,A122,'Unique per draft'!$D$2:$D$474,"real")</x:f>
        <x:v>1</x:v>
      </x:c>
      <x:c r="H122" s="15" t="n">
        <x:f>COUNTIFS('Unique per draft'!$H$2:$H$474,A122,'Unique per draft'!$D$2:$D$474,"synthetic")</x:f>
        <x:v>0</x:v>
      </x:c>
      <x:c r="I122" s="15" t="str">
        <x:v>cmsbr4fhb000v04l4mgwtz5x1</x:v>
      </x:c>
    </x:row>
    <x:row r="123">
      <x:c r="A123" s="1" t="str">
        <x:v>case:2022 ewca civ 103</x:v>
      </x:c>
      <x:c r="B123" s="1" t="str">
        <x:v>case</x:v>
      </x:c>
      <x:c r="C123" s="15" t="str">
        <x:v>Regency Factors Plc v HM Revenue &amp; Customs (Rev1)</x:v>
      </x:c>
      <x:c r="D123" s="15" t="str">
        <x:v>[2022] EWCA Civ 103</x:v>
      </x:c>
      <x:c r="E123" s="15" t="n">
        <x:f>COUNTIF('Unique per draft'!$H$2:$H$474,A123)</x:f>
        <x:v>1</x:v>
      </x:c>
      <x:c r="F123" s="15" t="n">
        <x:f>COUNTIF('Occurrences'!$I$2:$I$722,A123)</x:f>
        <x:v>3</x:v>
      </x:c>
      <x:c r="G123" s="15" t="n">
        <x:f>COUNTIFS('Unique per draft'!$H$2:$H$474,A123,'Unique per draft'!$D$2:$D$474,"real")</x:f>
        <x:v>1</x:v>
      </x:c>
      <x:c r="H123" s="15" t="n">
        <x:f>COUNTIFS('Unique per draft'!$H$2:$H$474,A123,'Unique per draft'!$D$2:$D$474,"synthetic")</x:f>
        <x:v>0</x:v>
      </x:c>
      <x:c r="I123" s="15" t="str">
        <x:v>cmsbr3045000j04l4tkps7ymp</x:v>
      </x:c>
    </x:row>
    <x:row r="124">
      <x:c r="A124" s="1" t="str">
        <x:v>case:2002 ukhl 23</x:v>
      </x:c>
      <x:c r="B124" s="1" t="str">
        <x:v>case</x:v>
      </x:c>
      <x:c r="C124" s="15" t="str">
        <x:v>Regina v. London Borough of Hammersmith and Fulham (Burkett) [2002] UKHL 23</x:v>
      </x:c>
      <x:c r="D124" s="15" t="str">
        <x:v>Regina v. London Borough of Hammersmith and Fulham (Burkett) [2002] UKHL 23</x:v>
      </x:c>
      <x:c r="E124" s="15" t="n">
        <x:f>COUNTIF('Unique per draft'!$H$2:$H$474,A124)</x:f>
        <x:v>1</x:v>
      </x:c>
      <x:c r="F124" s="15" t="n">
        <x:f>COUNTIF('Occurrences'!$I$2:$I$722,A124)</x:f>
        <x:v>5</x:v>
      </x:c>
      <x:c r="G124" s="15" t="n">
        <x:f>COUNTIFS('Unique per draft'!$H$2:$H$474,A124,'Unique per draft'!$D$2:$D$474,"real")</x:f>
        <x:v>1</x:v>
      </x:c>
      <x:c r="H124" s="15" t="n">
        <x:f>COUNTIFS('Unique per draft'!$H$2:$H$474,A124,'Unique per draft'!$D$2:$D$474,"synthetic")</x:f>
        <x:v>0</x:v>
      </x:c>
      <x:c r="I124" s="15" t="str">
        <x:v>cmmxtzd4o000904jrjc2hdwrx</x:v>
      </x:c>
    </x:row>
    <x:row r="125">
      <x:c r="A125" s="1" t="str">
        <x:v>case:2014 ewca civ 1062</x:v>
      </x:c>
      <x:c r="B125" s="1" t="str">
        <x:v>case</x:v>
      </x:c>
      <x:c r="C125" s="15" t="str">
        <x:v>Revenue and Customs v Lloyds TSB Equipment Leasing (No 1) Ltd</x:v>
      </x:c>
      <x:c r="D125" s="15" t="str">
        <x:v>[2014] EWCA Civ 1062</x:v>
      </x:c>
      <x:c r="E125" s="15" t="n">
        <x:f>COUNTIF('Unique per draft'!$H$2:$H$474,A125)</x:f>
        <x:v>1</x:v>
      </x:c>
      <x:c r="F125" s="15" t="n">
        <x:f>COUNTIF('Occurrences'!$I$2:$I$722,A125)</x:f>
        <x:v>4</x:v>
      </x:c>
      <x:c r="G125" s="15" t="n">
        <x:f>COUNTIFS('Unique per draft'!$H$2:$H$474,A125,'Unique per draft'!$D$2:$D$474,"real")</x:f>
        <x:v>0</x:v>
      </x:c>
      <x:c r="H125" s="15" t="n">
        <x:f>COUNTIFS('Unique per draft'!$H$2:$H$474,A125,'Unique per draft'!$D$2:$D$474,"synthetic")</x:f>
        <x:v>1</x:v>
      </x:c>
      <x:c r="I125" s="15" t="str">
        <x:v>cmmc2zaji000h04l23a3cp61p</x:v>
      </x:c>
    </x:row>
    <x:row r="126">
      <x:c r="A126" s="1" t="str">
        <x:v>case:revenue and customs v mercedes benz financial services uk ltd</x:v>
      </x:c>
      <x:c r="B126" s="1" t="str">
        <x:v>case</x:v>
      </x:c>
      <x:c r="C126" s="15" t="str">
        <x:v>Revenue and Customs v Mercedes-Benz Financial Services UK Ltd</x:v>
      </x:c>
      <x:c r="D126" s="15" t="str">
        <x:v>N/A</x:v>
      </x:c>
      <x:c r="E126" s="15" t="n">
        <x:f>COUNTIF('Unique per draft'!$H$2:$H$474,A126)</x:f>
        <x:v>1</x:v>
      </x:c>
      <x:c r="F126" s="15" t="n">
        <x:f>COUNTIF('Occurrences'!$I$2:$I$722,A126)</x:f>
        <x:v>2</x:v>
      </x:c>
      <x:c r="G126" s="15" t="n">
        <x:f>COUNTIFS('Unique per draft'!$H$2:$H$474,A126,'Unique per draft'!$D$2:$D$474,"real")</x:f>
        <x:v>1</x:v>
      </x:c>
      <x:c r="H126" s="15" t="n">
        <x:f>COUNTIFS('Unique per draft'!$H$2:$H$474,A126,'Unique per draft'!$D$2:$D$474,"synthetic")</x:f>
        <x:v>0</x:v>
      </x:c>
      <x:c r="I126" s="15" t="str">
        <x:v>cmsbr3045000j04l4tkps7ymp</x:v>
      </x:c>
    </x:row>
    <x:row r="127">
      <x:c r="A127" s="1" t="str">
        <x:v>case:rotala plc r on the application of v greater manchester combined authority &amp; anor</x:v>
      </x:c>
      <x:c r="B127" s="1" t="str">
        <x:v>case</x:v>
      </x:c>
      <x:c r="C127" s="15" t="str">
        <x:v>Rotala Plc, R (On the Application Of) v Greater Manchester Combined Authority &amp; Anor</x:v>
      </x:c>
      <x:c r="D127" s="15" t="str">
        <x:v>N/A</x:v>
      </x:c>
      <x:c r="E127" s="15" t="n">
        <x:f>COUNTIF('Unique per draft'!$H$2:$H$474,A127)</x:f>
        <x:v>1</x:v>
      </x:c>
      <x:c r="F127" s="15" t="n">
        <x:f>COUNTIF('Occurrences'!$I$2:$I$722,A127)</x:f>
        <x:v>6</x:v>
      </x:c>
      <x:c r="G127" s="15" t="n">
        <x:f>COUNTIFS('Unique per draft'!$H$2:$H$474,A127,'Unique per draft'!$D$2:$D$474,"real")</x:f>
        <x:v>1</x:v>
      </x:c>
      <x:c r="H127" s="15" t="n">
        <x:f>COUNTIFS('Unique per draft'!$H$2:$H$474,A127,'Unique per draft'!$D$2:$D$474,"synthetic")</x:f>
        <x:v>0</x:v>
      </x:c>
      <x:c r="I127" s="15" t="str">
        <x:v>cmsbj40n7000h04jwpx41ia5n</x:v>
      </x:c>
    </x:row>
    <x:row r="128">
      <x:c r="A128" s="1" t="str">
        <x:v>case:2016 ewca civ 938</x:v>
      </x:c>
      <x:c r="B128" s="1" t="str">
        <x:v>case</x:v>
      </x:c>
      <x:c r="C128" s="15" t="str">
        <x:v>Routier &amp; Anor v Revenue &amp; Customs</x:v>
      </x:c>
      <x:c r="D128" s="15" t="str">
        <x:v>[2016] EWCA Civ 938</x:v>
      </x:c>
      <x:c r="E128" s="15" t="n">
        <x:f>COUNTIF('Unique per draft'!$H$2:$H$474,A128)</x:f>
        <x:v>1</x:v>
      </x:c>
      <x:c r="F128" s="15" t="n">
        <x:f>COUNTIF('Occurrences'!$I$2:$I$722,A128)</x:f>
        <x:v>2</x:v>
      </x:c>
      <x:c r="G128" s="15" t="n">
        <x:f>COUNTIFS('Unique per draft'!$H$2:$H$474,A128,'Unique per draft'!$D$2:$D$474,"real")</x:f>
        <x:v>0</x:v>
      </x:c>
      <x:c r="H128" s="15" t="n">
        <x:f>COUNTIFS('Unique per draft'!$H$2:$H$474,A128,'Unique per draft'!$D$2:$D$474,"synthetic")</x:f>
        <x:v>1</x:v>
      </x:c>
      <x:c r="I128" s="15" t="str">
        <x:v>cmmf22axa000h04jxcpnnecs0</x:v>
      </x:c>
    </x:row>
    <x:row r="129">
      <x:c r="A129" s="1" t="str">
        <x:v>case:2023 ewca civ 27</x:v>
      </x:c>
      <x:c r="B129" s="1" t="str">
        <x:v>case</x:v>
      </x:c>
      <x:c r="C129" s="15" t="str">
        <x:v>Rowan, R (On the Application Of) v Governor of His Majesty's Prison Berwyn &amp; Anor</x:v>
      </x:c>
      <x:c r="D129" s="15" t="str">
        <x:v>[2023] EWCA Civ 27</x:v>
      </x:c>
      <x:c r="E129" s="15" t="n">
        <x:f>COUNTIF('Unique per draft'!$H$2:$H$474,A129)</x:f>
        <x:v>1</x:v>
      </x:c>
      <x:c r="F129" s="15" t="n">
        <x:f>COUNTIF('Occurrences'!$I$2:$I$722,A129)</x:f>
        <x:v>1</x:v>
      </x:c>
      <x:c r="G129" s="15" t="n">
        <x:f>COUNTIFS('Unique per draft'!$H$2:$H$474,A129,'Unique per draft'!$D$2:$D$474,"real")</x:f>
        <x:v>0</x:v>
      </x:c>
      <x:c r="H129" s="15" t="n">
        <x:f>COUNTIFS('Unique per draft'!$H$2:$H$474,A129,'Unique per draft'!$D$2:$D$474,"synthetic")</x:f>
        <x:v>1</x:v>
      </x:c>
      <x:c r="I129" s="15" t="str">
        <x:v>cmm3b1g6j000j04jt8w2u9z6w</x:v>
      </x:c>
    </x:row>
    <x:row r="130">
      <x:c r="A130" s="1" t="str">
        <x:v>case:2019 ewca civ 1632</x:v>
      </x:c>
      <x:c r="B130" s="1" t="str">
        <x:v>case</x:v>
      </x:c>
      <x:c r="C130" s="15" t="str">
        <x:v>Royal Mail Ltd v Jhuti (2019) EWCA Civ 1632</x:v>
      </x:c>
      <x:c r="D130" s="15" t="str">
        <x:v>Royal Mail Ltd v Jhuti (2019) EWCA Civ 1632</x:v>
      </x:c>
      <x:c r="E130" s="15" t="n">
        <x:f>COUNTIF('Unique per draft'!$H$2:$H$474,A130)</x:f>
        <x:v>1</x:v>
      </x:c>
      <x:c r="F130" s="15" t="n">
        <x:f>COUNTIF('Occurrences'!$I$2:$I$722,A130)</x:f>
        <x:v>6</x:v>
      </x:c>
      <x:c r="G130" s="15" t="n">
        <x:f>COUNTIFS('Unique per draft'!$H$2:$H$474,A130,'Unique per draft'!$D$2:$D$474,"real")</x:f>
        <x:v>0</x:v>
      </x:c>
      <x:c r="H130" s="15" t="n">
        <x:f>COUNTIFS('Unique per draft'!$H$2:$H$474,A130,'Unique per draft'!$D$2:$D$474,"synthetic")</x:f>
        <x:v>1</x:v>
      </x:c>
      <x:c r="I130" s="15" t="str">
        <x:v>cmst4fdgx001l04l7p4wrw7w7</x:v>
      </x:c>
    </x:row>
    <x:row r="131">
      <x:c r="A131" s="1" t="str">
        <x:v>case:2014 ewca civ 410</x:v>
      </x:c>
      <x:c r="B131" s="1" t="str">
        <x:v>case</x:v>
      </x:c>
      <x:c r="C131" s="15" t="str">
        <x:v>Ryanair Ltd v HM Revenue and Customs</x:v>
      </x:c>
      <x:c r="D131" s="15" t="str">
        <x:v>[2014] EWCA Civ 410</x:v>
      </x:c>
      <x:c r="E131" s="15" t="n">
        <x:f>COUNTIF('Unique per draft'!$H$2:$H$474,A131)</x:f>
        <x:v>1</x:v>
      </x:c>
      <x:c r="F131" s="15" t="n">
        <x:f>COUNTIF('Occurrences'!$I$2:$I$722,A131)</x:f>
        <x:v>1</x:v>
      </x:c>
      <x:c r="G131" s="15" t="n">
        <x:f>COUNTIFS('Unique per draft'!$H$2:$H$474,A131,'Unique per draft'!$D$2:$D$474,"real")</x:f>
        <x:v>1</x:v>
      </x:c>
      <x:c r="H131" s="15" t="n">
        <x:f>COUNTIFS('Unique per draft'!$H$2:$H$474,A131,'Unique per draft'!$D$2:$D$474,"synthetic")</x:f>
        <x:v>0</x:v>
      </x:c>
      <x:c r="I131" s="15" t="str">
        <x:v>cmsbrvtc4001304jp5e4691on</x:v>
      </x:c>
    </x:row>
    <x:row r="132">
      <x:c r="A132" s="1" t="str">
        <x:v>case:2014 ewca civ 183</x:v>
      </x:c>
      <x:c r="B132" s="1" t="str">
        <x:v>case</x:v>
      </x:c>
      <x:c r="C132" s="15" t="str">
        <x:v>Santander UK Plc v R.A. Legal Solicitors</x:v>
      </x:c>
      <x:c r="D132" s="15" t="str">
        <x:v>[2014] EWCA Civ 183</x:v>
      </x:c>
      <x:c r="E132" s="15" t="n">
        <x:f>COUNTIF('Unique per draft'!$H$2:$H$474,A132)</x:f>
        <x:v>1</x:v>
      </x:c>
      <x:c r="F132" s="15" t="n">
        <x:f>COUNTIF('Occurrences'!$I$2:$I$722,A132)</x:f>
        <x:v>1</x:v>
      </x:c>
      <x:c r="G132" s="15" t="n">
        <x:f>COUNTIFS('Unique per draft'!$H$2:$H$474,A132,'Unique per draft'!$D$2:$D$474,"real")</x:f>
        <x:v>0</x:v>
      </x:c>
      <x:c r="H132" s="15" t="n">
        <x:f>COUNTIFS('Unique per draft'!$H$2:$H$474,A132,'Unique per draft'!$D$2:$D$474,"synthetic")</x:f>
        <x:v>1</x:v>
      </x:c>
      <x:c r="I132" s="15" t="str">
        <x:v>cmm0ckscr000t04i312fc6edg</x:v>
      </x:c>
    </x:row>
    <x:row r="133">
      <x:c r="A133" s="1" t="str">
        <x:v>case:sayn wittgenstein sayn v hm juan carlos alfonso victor mari a de borbo n y borbo n rev1</x:v>
      </x:c>
      <x:c r="B133" s="1" t="str">
        <x:v>case</x:v>
      </x:c>
      <x:c r="C133" s="15" t="str">
        <x:v>Sayn-Wittgenstein-Sayn v HM Juan Carlos Alfonso Victor María de Borbón y Borbón (Rev1)</x:v>
      </x:c>
      <x:c r="D133" s="15" t="str">
        <x:v>N/A</x:v>
      </x:c>
      <x:c r="E133" s="15" t="n">
        <x:f>COUNTIF('Unique per draft'!$H$2:$H$474,A133)</x:f>
        <x:v>1</x:v>
      </x:c>
      <x:c r="F133" s="15" t="n">
        <x:f>COUNTIF('Occurrences'!$I$2:$I$722,A133)</x:f>
        <x:v>2</x:v>
      </x:c>
      <x:c r="G133" s="15" t="n">
        <x:f>COUNTIFS('Unique per draft'!$H$2:$H$474,A133,'Unique per draft'!$D$2:$D$474,"real")</x:f>
        <x:v>1</x:v>
      </x:c>
      <x:c r="H133" s="15" t="n">
        <x:f>COUNTIFS('Unique per draft'!$H$2:$H$474,A133,'Unique per draft'!$D$2:$D$474,"synthetic")</x:f>
        <x:v>0</x:v>
      </x:c>
      <x:c r="I133" s="15" t="str">
        <x:v>cmsbsp3em001104ji2u62id7q</x:v>
      </x:c>
    </x:row>
    <x:row r="134">
      <x:c r="A134" s="1" t="str">
        <x:v>case:2016 ewca civ 441</x:v>
      </x:c>
      <x:c r="B134" s="1" t="str">
        <x:v>case</x:v>
      </x:c>
      <x:c r="C134" s="15" t="str">
        <x:v>Secretary of State for Communities and Local Government v West Berkshire District Council &amp; Anor</x:v>
      </x:c>
      <x:c r="D134" s="15" t="str">
        <x:v>[2016] EWCA Civ 441</x:v>
      </x:c>
      <x:c r="E134" s="15" t="n">
        <x:f>COUNTIF('Unique per draft'!$H$2:$H$474,A134)</x:f>
        <x:v>1</x:v>
      </x:c>
      <x:c r="F134" s="15" t="n">
        <x:f>COUNTIF('Occurrences'!$I$2:$I$722,A134)</x:f>
        <x:v>1</x:v>
      </x:c>
      <x:c r="G134" s="15" t="n">
        <x:f>COUNTIFS('Unique per draft'!$H$2:$H$474,A134,'Unique per draft'!$D$2:$D$474,"real")</x:f>
        <x:v>1</x:v>
      </x:c>
      <x:c r="H134" s="15" t="n">
        <x:f>COUNTIFS('Unique per draft'!$H$2:$H$474,A134,'Unique per draft'!$D$2:$D$474,"synthetic")</x:f>
        <x:v>0</x:v>
      </x:c>
      <x:c r="I134" s="15" t="str">
        <x:v>cms1ps00j000j04jsbxrn9wrj</x:v>
      </x:c>
    </x:row>
    <x:row r="135">
      <x:c r="A135" s="1" t="str">
        <x:v>case:2023 ewca civ 514</x:v>
      </x:c>
      <x:c r="B135" s="1" t="str">
        <x:v>case</x:v>
      </x:c>
      <x:c r="C135" s="15" t="str">
        <x:v>Secretary of State for Levelling Up, Housing and Communities v Smith &amp; Anor</x:v>
      </x:c>
      <x:c r="D135" s="15" t="str">
        <x:v>[2023] EWCA Civ 514</x:v>
      </x:c>
      <x:c r="E135" s="15" t="n">
        <x:f>COUNTIF('Unique per draft'!$H$2:$H$474,A135)</x:f>
        <x:v>1</x:v>
      </x:c>
      <x:c r="F135" s="15" t="n">
        <x:f>COUNTIF('Occurrences'!$I$2:$I$722,A135)</x:f>
        <x:v>1</x:v>
      </x:c>
      <x:c r="G135" s="15" t="n">
        <x:f>COUNTIFS('Unique per draft'!$H$2:$H$474,A135,'Unique per draft'!$D$2:$D$474,"real")</x:f>
        <x:v>1</x:v>
      </x:c>
      <x:c r="H135" s="15" t="n">
        <x:f>COUNTIFS('Unique per draft'!$H$2:$H$474,A135,'Unique per draft'!$D$2:$D$474,"synthetic")</x:f>
        <x:v>0</x:v>
      </x:c>
      <x:c r="I135" s="15" t="str">
        <x:v>cmsbr021t001104jndbjo02xo</x:v>
      </x:c>
    </x:row>
    <x:row r="136">
      <x:c r="A136" s="1" t="str">
        <x:v>case:2023 ewca civ 551</x:v>
      </x:c>
      <x:c r="B136" s="1" t="str">
        <x:v>case</x:v>
      </x:c>
      <x:c r="C136" s="15" t="str">
        <x:v>Secretary of State for the Home Department v Cox &amp; Ors</x:v>
      </x:c>
      <x:c r="D136" s="15" t="str">
        <x:v>[2023] EWCA Civ 551</x:v>
      </x:c>
      <x:c r="E136" s="15" t="n">
        <x:f>COUNTIF('Unique per draft'!$H$2:$H$474,A136)</x:f>
        <x:v>2</x:v>
      </x:c>
      <x:c r="F136" s="15" t="n">
        <x:f>COUNTIF('Occurrences'!$I$2:$I$722,A136)</x:f>
        <x:v>3</x:v>
      </x:c>
      <x:c r="G136" s="15" t="n">
        <x:f>COUNTIFS('Unique per draft'!$H$2:$H$474,A136,'Unique per draft'!$D$2:$D$474,"real")</x:f>
        <x:v>0</x:v>
      </x:c>
      <x:c r="H136" s="15" t="n">
        <x:f>COUNTIFS('Unique per draft'!$H$2:$H$474,A136,'Unique per draft'!$D$2:$D$474,"synthetic")</x:f>
        <x:v>2</x:v>
      </x:c>
      <x:c r="I136" s="15" t="str">
        <x:v>cmlzphr57000h04jtqrwbfiyf | cmmmudwct000304kzc6d15a3r</x:v>
      </x:c>
    </x:row>
    <x:row r="137">
      <x:c r="A137" s="1" t="str">
        <x:v>case:shamoon v chief constable of the royal ulster constabulary</x:v>
      </x:c>
      <x:c r="B137" s="1" t="str">
        <x:v>case</x:v>
      </x:c>
      <x:c r="C137" s="15" t="str">
        <x:v>Shamoon v Chief Constable of the Royal Ulster Constabulary</x:v>
      </x:c>
      <x:c r="D137" s="15" t="str">
        <x:v>Shamoon v Chief Constable of the Royal Ulster Constabulary</x:v>
      </x:c>
      <x:c r="E137" s="15" t="n">
        <x:f>COUNTIF('Unique per draft'!$H$2:$H$474,A137)</x:f>
        <x:v>1</x:v>
      </x:c>
      <x:c r="F137" s="15" t="n">
        <x:f>COUNTIF('Occurrences'!$I$2:$I$722,A137)</x:f>
        <x:v>1</x:v>
      </x:c>
      <x:c r="G137" s="15" t="n">
        <x:f>COUNTIFS('Unique per draft'!$H$2:$H$474,A137,'Unique per draft'!$D$2:$D$474,"real")</x:f>
        <x:v>0</x:v>
      </x:c>
      <x:c r="H137" s="15" t="n">
        <x:f>COUNTIFS('Unique per draft'!$H$2:$H$474,A137,'Unique per draft'!$D$2:$D$474,"synthetic")</x:f>
        <x:v>1</x:v>
      </x:c>
      <x:c r="I137" s="15" t="str">
        <x:v>cmst419ew000k04ladhs06s0r</x:v>
      </x:c>
    </x:row>
    <x:row r="138">
      <x:c r="A138" s="1" t="str">
        <x:v>case:smith &amp; nephew plc v convatec technologies inc &amp; ors</x:v>
      </x:c>
      <x:c r="B138" s="1" t="str">
        <x:v>case</x:v>
      </x:c>
      <x:c r="C138" s="15" t="str">
        <x:v>Smith &amp; Nephew Plc v Convatec Technologies Inc &amp; Ors</x:v>
      </x:c>
      <x:c r="D138" s="15" t="str">
        <x:v>N/A</x:v>
      </x:c>
      <x:c r="E138" s="15" t="n">
        <x:f>COUNTIF('Unique per draft'!$H$2:$H$474,A138)</x:f>
        <x:v>1</x:v>
      </x:c>
      <x:c r="F138" s="15" t="n">
        <x:f>COUNTIF('Occurrences'!$I$2:$I$722,A138)</x:f>
        <x:v>1</x:v>
      </x:c>
      <x:c r="G138" s="15" t="n">
        <x:f>COUNTIFS('Unique per draft'!$H$2:$H$474,A138,'Unique per draft'!$D$2:$D$474,"real")</x:f>
        <x:v>1</x:v>
      </x:c>
      <x:c r="H138" s="15" t="n">
        <x:f>COUNTIFS('Unique per draft'!$H$2:$H$474,A138,'Unique per draft'!$D$2:$D$474,"synthetic")</x:f>
        <x:v>0</x:v>
      </x:c>
      <x:c r="I138" s="15" t="str">
        <x:v>cmsbtbxft002t04jic4baeo3l</x:v>
      </x:c>
    </x:row>
    <x:row r="139">
      <x:c r="A139" s="1" t="str">
        <x:v>case:2022 ewca civ 1391</x:v>
      </x:c>
      <x:c r="B139" s="1" t="str">
        <x:v>case</x:v>
      </x:c>
      <x:c r="C139" s="15" t="str">
        <x:v>Smith v Secretary of State for Levelling Up, Housing &amp; Communities &amp; Anor</x:v>
      </x:c>
      <x:c r="D139" s="15" t="str">
        <x:v>[2022] EWCA Civ 1391</x:v>
      </x:c>
      <x:c r="E139" s="15" t="n">
        <x:f>COUNTIF('Unique per draft'!$H$2:$H$474,A139)</x:f>
        <x:v>1</x:v>
      </x:c>
      <x:c r="F139" s="15" t="n">
        <x:f>COUNTIF('Occurrences'!$I$2:$I$722,A139)</x:f>
        <x:v>1</x:v>
      </x:c>
      <x:c r="G139" s="15" t="n">
        <x:f>COUNTIFS('Unique per draft'!$H$2:$H$474,A139,'Unique per draft'!$D$2:$D$474,"real")</x:f>
        <x:v>1</x:v>
      </x:c>
      <x:c r="H139" s="15" t="n">
        <x:f>COUNTIFS('Unique per draft'!$H$2:$H$474,A139,'Unique per draft'!$D$2:$D$474,"synthetic")</x:f>
        <x:v>0</x:v>
      </x:c>
      <x:c r="I139" s="15" t="str">
        <x:v>cmsbr021t001104jndbjo02xo</x:v>
      </x:c>
    </x:row>
    <x:row r="140">
      <x:c r="A140" s="1" t="str">
        <x:v>case:2016 ewca civ 117</x:v>
      </x:c>
      <x:c r="B140" s="1" t="str">
        <x:v>case</x:v>
      </x:c>
      <x:c r="C140" s="15" t="str">
        <x:v>Solar Century Holdings Ltd &amp; Ors v Secretary of State for Energy and Climate Change</x:v>
      </x:c>
      <x:c r="D140" s="15" t="str">
        <x:v>[2016] EWCA Civ 117</x:v>
      </x:c>
      <x:c r="E140" s="15" t="n">
        <x:f>COUNTIF('Unique per draft'!$H$2:$H$474,A140)</x:f>
        <x:v>1</x:v>
      </x:c>
      <x:c r="F140" s="15" t="n">
        <x:f>COUNTIF('Occurrences'!$I$2:$I$722,A140)</x:f>
        <x:v>1</x:v>
      </x:c>
      <x:c r="G140" s="15" t="n">
        <x:f>COUNTIFS('Unique per draft'!$H$2:$H$474,A140,'Unique per draft'!$D$2:$D$474,"real")</x:f>
        <x:v>0</x:v>
      </x:c>
      <x:c r="H140" s="15" t="n">
        <x:f>COUNTIFS('Unique per draft'!$H$2:$H$474,A140,'Unique per draft'!$D$2:$D$474,"synthetic")</x:f>
        <x:v>1</x:v>
      </x:c>
      <x:c r="I140" s="15" t="str">
        <x:v>cmm0k3nj8000h04l412ruhfxj</x:v>
      </x:c>
    </x:row>
    <x:row r="141">
      <x:c r="A141" s="1" t="str">
        <x:v>case:soteria insurance ltd v ibm united kingdom ltd</x:v>
      </x:c>
      <x:c r="B141" s="1" t="str">
        <x:v>case</x:v>
      </x:c>
      <x:c r="C141" s="15" t="str">
        <x:v>Soteria Insurance Ltd v IBM United Kingdom Ltd</x:v>
      </x:c>
      <x:c r="D141" s="15" t="str">
        <x:v>N/A</x:v>
      </x:c>
      <x:c r="E141" s="15" t="n">
        <x:f>COUNTIF('Unique per draft'!$H$2:$H$474,A141)</x:f>
        <x:v>1</x:v>
      </x:c>
      <x:c r="F141" s="15" t="n">
        <x:f>COUNTIF('Occurrences'!$I$2:$I$722,A141)</x:f>
        <x:v>3</x:v>
      </x:c>
      <x:c r="G141" s="15" t="n">
        <x:f>COUNTIFS('Unique per draft'!$H$2:$H$474,A141,'Unique per draft'!$D$2:$D$474,"real")</x:f>
        <x:v>0</x:v>
      </x:c>
      <x:c r="H141" s="15" t="n">
        <x:f>COUNTIFS('Unique per draft'!$H$2:$H$474,A141,'Unique per draft'!$D$2:$D$474,"synthetic")</x:f>
        <x:v>1</x:v>
      </x:c>
      <x:c r="I141" s="15" t="str">
        <x:v>cmmcal70d000h04k3e11w997v</x:v>
      </x:c>
    </x:row>
    <x:row r="142">
      <x:c r="A142" s="1" t="str">
        <x:v>case:2014 ewca civ 73</x:v>
      </x:c>
      <x:c r="B142" s="1" t="str">
        <x:v>case</x:v>
      </x:c>
      <x:c r="C142" s="15" t="str">
        <x:v>South Wales Police Authority v Johnson</x:v>
      </x:c>
      <x:c r="D142" s="15" t="str">
        <x:v>[2014] EWCA Civ 73</x:v>
      </x:c>
      <x:c r="E142" s="15" t="n">
        <x:f>COUNTIF('Unique per draft'!$H$2:$H$474,A142)</x:f>
        <x:v>1</x:v>
      </x:c>
      <x:c r="F142" s="15" t="n">
        <x:f>COUNTIF('Occurrences'!$I$2:$I$722,A142)</x:f>
        <x:v>2</x:v>
      </x:c>
      <x:c r="G142" s="15" t="n">
        <x:f>COUNTIFS('Unique per draft'!$H$2:$H$474,A142,'Unique per draft'!$D$2:$D$474,"real")</x:f>
        <x:v>0</x:v>
      </x:c>
      <x:c r="H142" s="15" t="n">
        <x:f>COUNTIFS('Unique per draft'!$H$2:$H$474,A142,'Unique per draft'!$D$2:$D$474,"synthetic")</x:f>
        <x:v>1</x:v>
      </x:c>
      <x:c r="I142" s="15" t="str">
        <x:v>cmst419ew000k04ladhs06s0r</x:v>
      </x:c>
    </x:row>
    <x:row r="143">
      <x:c r="A143" s="1" t="str">
        <x:v>case:2011 ukpc 13</x:v>
      </x:c>
      <x:c r="B143" s="1" t="str">
        <x:v>case</x:v>
      </x:c>
      <x:c r="C143" s="15" t="str">
        <x:v>Spread Trustee Co Ltd v Hutcheson [2011] UKPC 13</x:v>
      </x:c>
      <x:c r="D143" s="15" t="str">
        <x:v>Spread Trustee Co Ltd v Hutcheson [2011] UKPC 13</x:v>
      </x:c>
      <x:c r="E143" s="15" t="n">
        <x:f>COUNTIF('Unique per draft'!$H$2:$H$474,A143)</x:f>
        <x:v>3</x:v>
      </x:c>
      <x:c r="F143" s="15" t="n">
        <x:f>COUNTIF('Occurrences'!$I$2:$I$722,A143)</x:f>
        <x:v>3</x:v>
      </x:c>
      <x:c r="G143" s="15" t="n">
        <x:f>COUNTIFS('Unique per draft'!$H$2:$H$474,A143,'Unique per draft'!$D$2:$D$474,"real")</x:f>
        <x:v>0</x:v>
      </x:c>
      <x:c r="H143" s="15" t="n">
        <x:f>COUNTIFS('Unique per draft'!$H$2:$H$474,A143,'Unique per draft'!$D$2:$D$474,"synthetic")</x:f>
        <x:v>3</x:v>
      </x:c>
      <x:c r="I143" s="15" t="str">
        <x:v>cmm0ckscr000t04i312fc6edg | cmm0ct5sl001504i3x6g18pvd | cmm920v38000b04ib8ug7hazg</x:v>
      </x:c>
    </x:row>
    <x:row r="144">
      <x:c r="A144" s="1" t="str">
        <x:v>case:st helen s school northwood v rcc</x:v>
      </x:c>
      <x:c r="B144" s="1" t="str">
        <x:v>case</x:v>
      </x:c>
      <x:c r="C144" s="15" t="str">
        <x:v>St Helen’s School Northwood v RCC</x:v>
      </x:c>
      <x:c r="D144" s="15" t="str">
        <x:v>St Helen’s School Northwood v RCC</x:v>
      </x:c>
      <x:c r="E144" s="15" t="n">
        <x:f>COUNTIF('Unique per draft'!$H$2:$H$474,A144)</x:f>
        <x:v>1</x:v>
      </x:c>
      <x:c r="F144" s="15" t="n">
        <x:f>COUNTIF('Occurrences'!$I$2:$I$722,A144)</x:f>
        <x:v>1</x:v>
      </x:c>
      <x:c r="G144" s="15" t="n">
        <x:f>COUNTIFS('Unique per draft'!$H$2:$H$474,A144,'Unique per draft'!$D$2:$D$474,"real")</x:f>
        <x:v>1</x:v>
      </x:c>
      <x:c r="H144" s="15" t="n">
        <x:f>COUNTIFS('Unique per draft'!$H$2:$H$474,A144,'Unique per draft'!$D$2:$D$474,"synthetic")</x:f>
        <x:v>0</x:v>
      </x:c>
      <x:c r="I144" s="15" t="str">
        <x:v>cmsbr3045000j04l4tkps7ymp</x:v>
      </x:c>
    </x:row>
    <x:row r="145">
      <x:c r="A145" s="1" t="str">
        <x:v>case:synthon bv v teva pharmaceutical industries ltd</x:v>
      </x:c>
      <x:c r="B145" s="1" t="str">
        <x:v>case</x:v>
      </x:c>
      <x:c r="C145" s="15" t="str">
        <x:v>Synthon BV v Teva Pharmaceutical Industries Ltd</x:v>
      </x:c>
      <x:c r="D145" s="15" t="str">
        <x:v>N/A</x:v>
      </x:c>
      <x:c r="E145" s="15" t="n">
        <x:f>COUNTIF('Unique per draft'!$H$2:$H$474,A145)</x:f>
        <x:v>2</x:v>
      </x:c>
      <x:c r="F145" s="15" t="n">
        <x:f>COUNTIF('Occurrences'!$I$2:$I$722,A145)</x:f>
        <x:v>6</x:v>
      </x:c>
      <x:c r="G145" s="15" t="n">
        <x:f>COUNTIFS('Unique per draft'!$H$2:$H$474,A145,'Unique per draft'!$D$2:$D$474,"real")</x:f>
        <x:v>2</x:v>
      </x:c>
      <x:c r="H145" s="15" t="n">
        <x:f>COUNTIFS('Unique per draft'!$H$2:$H$474,A145,'Unique per draft'!$D$2:$D$474,"synthetic")</x:f>
        <x:v>0</x:v>
      </x:c>
      <x:c r="I145" s="15" t="str">
        <x:v>cmsbszs77002304ji6ldkbjce | cmsbt3hfa002904ji8k6b026n</x:v>
      </x:c>
    </x:row>
    <x:row r="146">
      <x:c r="A146" s="1" t="str">
        <x:v>case:synthon v smithkline beecham plc no 2</x:v>
      </x:c>
      <x:c r="B146" s="1" t="str">
        <x:v>case</x:v>
      </x:c>
      <x:c r="C146" s="15" t="str">
        <x:v>Synthon v SmithKline Beecham Plc (No.2)</x:v>
      </x:c>
      <x:c r="D146" s="15" t="str">
        <x:v>Synthon v SmithKline Beecham Plc (No.2)</x:v>
      </x:c>
      <x:c r="E146" s="15" t="n">
        <x:f>COUNTIF('Unique per draft'!$H$2:$H$474,A146)</x:f>
        <x:v>1</x:v>
      </x:c>
      <x:c r="F146" s="15" t="n">
        <x:f>COUNTIF('Occurrences'!$I$2:$I$722,A146)</x:f>
        <x:v>1</x:v>
      </x:c>
      <x:c r="G146" s="15" t="n">
        <x:f>COUNTIFS('Unique per draft'!$H$2:$H$474,A146,'Unique per draft'!$D$2:$D$474,"real")</x:f>
        <x:v>1</x:v>
      </x:c>
      <x:c r="H146" s="15" t="n">
        <x:f>COUNTIFS('Unique per draft'!$H$2:$H$474,A146,'Unique per draft'!$D$2:$D$474,"synthetic")</x:f>
        <x:v>0</x:v>
      </x:c>
      <x:c r="I146" s="15" t="str">
        <x:v>cmsbt3hfa002904ji8k6b026n</x:v>
      </x:c>
    </x:row>
    <x:row r="147">
      <x:c r="A147" s="1" t="str">
        <x:v>case:2022 ewca civ 76</x:v>
      </x:c>
      <x:c r="B147" s="1" t="str">
        <x:v>case</x:v>
      </x:c>
      <x:c r="C147" s="15" t="str">
        <x:v>The Civil Aviation Authority v Ryanair DAC</x:v>
      </x:c>
      <x:c r="D147" s="15" t="str">
        <x:v>[2022] EWCA Civ 76</x:v>
      </x:c>
      <x:c r="E147" s="15" t="n">
        <x:f>COUNTIF('Unique per draft'!$H$2:$H$474,A147)</x:f>
        <x:v>1</x:v>
      </x:c>
      <x:c r="F147" s="15" t="n">
        <x:f>COUNTIF('Occurrences'!$I$2:$I$722,A147)</x:f>
        <x:v>1</x:v>
      </x:c>
      <x:c r="G147" s="15" t="n">
        <x:f>COUNTIFS('Unique per draft'!$H$2:$H$474,A147,'Unique per draft'!$D$2:$D$474,"real")</x:f>
        <x:v>1</x:v>
      </x:c>
      <x:c r="H147" s="15" t="n">
        <x:f>COUNTIFS('Unique per draft'!$H$2:$H$474,A147,'Unique per draft'!$D$2:$D$474,"synthetic")</x:f>
        <x:v>0</x:v>
      </x:c>
      <x:c r="I147" s="15" t="str">
        <x:v>cmsbrvtc4001304jp5e4691on</x:v>
      </x:c>
    </x:row>
    <x:row r="148">
      <x:c r="A148" s="1" t="str">
        <x:v>case:the financial conduct authority v capital alternatives ltd &amp; ors</x:v>
      </x:c>
      <x:c r="B148" s="1" t="str">
        <x:v>case</x:v>
      </x:c>
      <x:c r="C148" s="15" t="str">
        <x:v>The Financial Conduct Authority v Capital Alternatives Ltd &amp; Ors</x:v>
      </x:c>
      <x:c r="D148" s="15" t="str"/>
      <x:c r="E148" s="15" t="n">
        <x:f>COUNTIF('Unique per draft'!$H$2:$H$474,A148)</x:f>
        <x:v>1</x:v>
      </x:c>
      <x:c r="F148" s="15" t="n">
        <x:f>COUNTIF('Occurrences'!$I$2:$I$722,A148)</x:f>
        <x:v>3</x:v>
      </x:c>
      <x:c r="G148" s="15" t="n">
        <x:f>COUNTIFS('Unique per draft'!$H$2:$H$474,A148,'Unique per draft'!$D$2:$D$474,"real")</x:f>
        <x:v>0</x:v>
      </x:c>
      <x:c r="H148" s="15" t="n">
        <x:f>COUNTIFS('Unique per draft'!$H$2:$H$474,A148,'Unique per draft'!$D$2:$D$474,"synthetic")</x:f>
        <x:v>1</x:v>
      </x:c>
      <x:c r="I148" s="15" t="str">
        <x:v>cmst7uoeu00d804l5ayb3b9q8</x:v>
      </x:c>
    </x:row>
    <x:row r="149">
      <x:c r="A149" s="1" t="str">
        <x:v>case:2022 ewca civ 21</x:v>
      </x:c>
      <x:c r="B149" s="1" t="str">
        <x:v>case</x:v>
      </x:c>
      <x:c r="C149" s="15" t="str">
        <x:v>The Good Law Project, R (On the Application Of) v Minister for the Cabinet Office</x:v>
      </x:c>
      <x:c r="D149" s="15" t="str">
        <x:v>[2022] EWCA Civ 21</x:v>
      </x:c>
      <x:c r="E149" s="15" t="n">
        <x:f>COUNTIF('Unique per draft'!$H$2:$H$474,A149)</x:f>
        <x:v>2</x:v>
      </x:c>
      <x:c r="F149" s="15" t="n">
        <x:f>COUNTIF('Occurrences'!$I$2:$I$722,A149)</x:f>
        <x:v>2</x:v>
      </x:c>
      <x:c r="G149" s="15" t="n">
        <x:f>COUNTIFS('Unique per draft'!$H$2:$H$474,A149,'Unique per draft'!$D$2:$D$474,"real")</x:f>
        <x:v>2</x:v>
      </x:c>
      <x:c r="H149" s="15" t="n">
        <x:f>COUNTIFS('Unique per draft'!$H$2:$H$474,A149,'Unique per draft'!$D$2:$D$474,"synthetic")</x:f>
        <x:v>0</x:v>
      </x:c>
      <x:c r="I149" s="15" t="str">
        <x:v>cms1ps00j000j04jsbxrn9wrj | cms1u865i000904jxu5huyjg5</x:v>
      </x:c>
    </x:row>
    <x:row r="150">
      <x:c r="A150" s="1" t="str">
        <x:v>case:the howard league for penal reform and prisoners advice service v the lord chancellor</x:v>
      </x:c>
      <x:c r="B150" s="1" t="str">
        <x:v>case</x:v>
      </x:c>
      <x:c r="C150" s="15" t="str">
        <x:v>The Howard League for Penal Reform and Prisoners' Advice Service v The Lord Chancellor</x:v>
      </x:c>
      <x:c r="D150" s="15" t="str">
        <x:v>N/A</x:v>
      </x:c>
      <x:c r="E150" s="15" t="n">
        <x:f>COUNTIF('Unique per draft'!$H$2:$H$474,A150)</x:f>
        <x:v>6</x:v>
      </x:c>
      <x:c r="F150" s="15" t="n">
        <x:f>COUNTIF('Occurrences'!$I$2:$I$722,A150)</x:f>
        <x:v>11</x:v>
      </x:c>
      <x:c r="G150" s="15" t="n">
        <x:f>COUNTIFS('Unique per draft'!$H$2:$H$474,A150,'Unique per draft'!$D$2:$D$474,"real")</x:f>
        <x:v>5</x:v>
      </x:c>
      <x:c r="H150" s="15" t="n">
        <x:f>COUNTIFS('Unique per draft'!$H$2:$H$474,A150,'Unique per draft'!$D$2:$D$474,"synthetic")</x:f>
        <x:v>1</x:v>
      </x:c>
      <x:c r="I150" s="15" t="str">
        <x:v>cmmafut12000904l4kjskwky4 | cmmc4a8zu000h04jx2w3r0hzo | cmmjtnsdx000904l4vhap8xwc | cms1ps00j000j04jsbxrn9wrj | cms1u865i000904jxu5huyjg5 | cmsbqvqsj000h04jnb8tn656h</x:v>
      </x:c>
    </x:row>
    <x:row r="151">
      <x:c r="A151" s="1" t="str">
        <x:v>case:the law society &amp; ors v the lord chancellor judicial review of legal aid reforms</x:v>
      </x:c>
      <x:c r="B151" s="1" t="str">
        <x:v>case</x:v>
      </x:c>
      <x:c r="C151" s="15" t="str">
        <x:v>The Law Society &amp; Ors v The Lord Chancellor: Judicial Review of Legal Aid Reforms</x:v>
      </x:c>
      <x:c r="D151" s="15" t="str">
        <x:v>N/A</x:v>
      </x:c>
      <x:c r="E151" s="15" t="n">
        <x:f>COUNTIF('Unique per draft'!$H$2:$H$474,A151)</x:f>
        <x:v>1</x:v>
      </x:c>
      <x:c r="F151" s="15" t="n">
        <x:f>COUNTIF('Occurrences'!$I$2:$I$722,A151)</x:f>
        <x:v>2</x:v>
      </x:c>
      <x:c r="G151" s="15" t="n">
        <x:f>COUNTIFS('Unique per draft'!$H$2:$H$474,A151,'Unique per draft'!$D$2:$D$474,"real")</x:f>
        <x:v>1</x:v>
      </x:c>
      <x:c r="H151" s="15" t="n">
        <x:f>COUNTIFS('Unique per draft'!$H$2:$H$474,A151,'Unique per draft'!$D$2:$D$474,"synthetic")</x:f>
        <x:v>0</x:v>
      </x:c>
      <x:c r="I151" s="15" t="str">
        <x:v>cmsbj40n7000h04jwpx41ia5n</x:v>
      </x:c>
    </x:row>
    <x:row r="152">
      <x:c r="A152" s="1" t="str">
        <x:v>case:2022 ewca civ 1222</x:v>
      </x:c>
      <x:c r="B152" s="1" t="str">
        <x:v>case</x:v>
      </x:c>
      <x:c r="C152" s="15" t="str">
        <x:v>The Quentin Skinner 2015 Settlement L &amp; Ors v HM Revenue and Customs</x:v>
      </x:c>
      <x:c r="D152" s="15" t="str">
        <x:v>[2022] EWCA Civ 1222</x:v>
      </x:c>
      <x:c r="E152" s="15" t="n">
        <x:f>COUNTIF('Unique per draft'!$H$2:$H$474,A152)</x:f>
        <x:v>1</x:v>
      </x:c>
      <x:c r="F152" s="15" t="n">
        <x:f>COUNTIF('Occurrences'!$I$2:$I$722,A152)</x:f>
        <x:v>1</x:v>
      </x:c>
      <x:c r="G152" s="15" t="n">
        <x:f>COUNTIFS('Unique per draft'!$H$2:$H$474,A152,'Unique per draft'!$D$2:$D$474,"real")</x:f>
        <x:v>1</x:v>
      </x:c>
      <x:c r="H152" s="15" t="n">
        <x:f>COUNTIFS('Unique per draft'!$H$2:$H$474,A152,'Unique per draft'!$D$2:$D$474,"synthetic")</x:f>
        <x:v>0</x:v>
      </x:c>
      <x:c r="I152" s="15" t="str">
        <x:v>cmsbr6p4p001704l4z7u6108h</x:v>
      </x:c>
    </x:row>
    <x:row r="153">
      <x:c r="A153" s="1" t="str">
        <x:v>case:the secretary of state for transport &amp; anor v cuciurean</x:v>
      </x:c>
      <x:c r="B153" s="1" t="str">
        <x:v>case</x:v>
      </x:c>
      <x:c r="C153" s="15" t="str">
        <x:v>The Secretary of State for Transport &amp; Anor v Cuciurean</x:v>
      </x:c>
      <x:c r="D153" s="15" t="str">
        <x:v>N/A</x:v>
      </x:c>
      <x:c r="E153" s="15" t="n">
        <x:f>COUNTIF('Unique per draft'!$H$2:$H$474,A153)</x:f>
        <x:v>1</x:v>
      </x:c>
      <x:c r="F153" s="15" t="n">
        <x:f>COUNTIF('Occurrences'!$I$2:$I$722,A153)</x:f>
        <x:v>3</x:v>
      </x:c>
      <x:c r="G153" s="15" t="n">
        <x:f>COUNTIFS('Unique per draft'!$H$2:$H$474,A153,'Unique per draft'!$D$2:$D$474,"real")</x:f>
        <x:v>1</x:v>
      </x:c>
      <x:c r="H153" s="15" t="n">
        <x:f>COUNTIFS('Unique per draft'!$H$2:$H$474,A153,'Unique per draft'!$D$2:$D$474,"synthetic")</x:f>
        <x:v>0</x:v>
      </x:c>
      <x:c r="I153" s="15" t="str">
        <x:v>cmmsiews2000304lgc3ooyg67</x:v>
      </x:c>
    </x:row>
    <x:row r="154">
      <x:c r="A154" s="1" t="str">
        <x:v>case:the united states of america v nolan</x:v>
      </x:c>
      <x:c r="B154" s="1" t="str">
        <x:v>case</x:v>
      </x:c>
      <x:c r="C154" s="15" t="str">
        <x:v>The United States of America v Nolan</x:v>
      </x:c>
      <x:c r="D154" s="15" t="str">
        <x:v>The United States of America v Nolan</x:v>
      </x:c>
      <x:c r="E154" s="15" t="n">
        <x:f>COUNTIF('Unique per draft'!$H$2:$H$474,A154)</x:f>
        <x:v>1</x:v>
      </x:c>
      <x:c r="F154" s="15" t="n">
        <x:f>COUNTIF('Occurrences'!$I$2:$I$722,A154)</x:f>
        <x:v>4</x:v>
      </x:c>
      <x:c r="G154" s="15" t="n">
        <x:f>COUNTIFS('Unique per draft'!$H$2:$H$474,A154,'Unique per draft'!$D$2:$D$474,"real")</x:f>
        <x:v>1</x:v>
      </x:c>
      <x:c r="H154" s="15" t="n">
        <x:f>COUNTIFS('Unique per draft'!$H$2:$H$474,A154,'Unique per draft'!$D$2:$D$474,"synthetic")</x:f>
        <x:v>0</x:v>
      </x:c>
      <x:c r="I154" s="15" t="str">
        <x:v>cmsbsqcqm001d04ji3ses9ih9</x:v>
      </x:c>
    </x:row>
    <x:row r="155">
      <x:c r="A155" s="1" t="str">
        <x:v>case:tigere r on the application of v secretary of state for business innovation and skills</x:v>
      </x:c>
      <x:c r="B155" s="1" t="str">
        <x:v>case</x:v>
      </x:c>
      <x:c r="C155" s="15" t="str">
        <x:v>Tigere, R (On the Application Of) v Secretary of State for Business, Innovation And Skills</x:v>
      </x:c>
      <x:c r="D155" s="15" t="str">
        <x:v>N/A</x:v>
      </x:c>
      <x:c r="E155" s="15" t="n">
        <x:f>COUNTIF('Unique per draft'!$H$2:$H$474,A155)</x:f>
        <x:v>1</x:v>
      </x:c>
      <x:c r="F155" s="15" t="n">
        <x:f>COUNTIF('Occurrences'!$I$2:$I$722,A155)</x:f>
        <x:v>1</x:v>
      </x:c>
      <x:c r="G155" s="15" t="n">
        <x:f>COUNTIFS('Unique per draft'!$H$2:$H$474,A155,'Unique per draft'!$D$2:$D$474,"real")</x:f>
        <x:v>0</x:v>
      </x:c>
      <x:c r="H155" s="15" t="n">
        <x:f>COUNTIFS('Unique per draft'!$H$2:$H$474,A155,'Unique per draft'!$D$2:$D$474,"synthetic")</x:f>
        <x:v>1</x:v>
      </x:c>
      <x:c r="I155" s="15" t="str">
        <x:v>cmm3b1g6j000j04jt8w2u9z6w</x:v>
      </x:c>
    </x:row>
    <x:row r="156">
      <x:c r="A156" s="1" t="str">
        <x:v>case:2017 ewca civ 1054</x:v>
      </x:c>
      <x:c r="B156" s="1" t="str">
        <x:v>case</x:v>
      </x:c>
      <x:c r="C156" s="15" t="str">
        <x:v>Tillman v Egon Zehnder Ltd</x:v>
      </x:c>
      <x:c r="D156" s="15" t="str">
        <x:v>[2017] EWCA Civ 1054</x:v>
      </x:c>
      <x:c r="E156" s="15" t="n">
        <x:f>COUNTIF('Unique per draft'!$H$2:$H$474,A156)</x:f>
        <x:v>1</x:v>
      </x:c>
      <x:c r="F156" s="15" t="n">
        <x:f>COUNTIF('Occurrences'!$I$2:$I$722,A156)</x:f>
        <x:v>1</x:v>
      </x:c>
      <x:c r="G156" s="15" t="n">
        <x:f>COUNTIFS('Unique per draft'!$H$2:$H$474,A156,'Unique per draft'!$D$2:$D$474,"real")</x:f>
        <x:v>1</x:v>
      </x:c>
      <x:c r="H156" s="15" t="n">
        <x:f>COUNTIFS('Unique per draft'!$H$2:$H$474,A156,'Unique per draft'!$D$2:$D$474,"synthetic")</x:f>
        <x:v>0</x:v>
      </x:c>
      <x:c r="I156" s="15" t="str">
        <x:v>cmsbrvtc4001304jp5e4691on</x:v>
      </x:c>
    </x:row>
    <x:row r="157">
      <x:c r="A157" s="1" t="str">
        <x:v>case:tindall &amp; anor v chief constable of thames valley police &amp; anor</x:v>
      </x:c>
      <x:c r="B157" s="1" t="str">
        <x:v>case</x:v>
      </x:c>
      <x:c r="C157" s="15" t="str">
        <x:v>Tindall &amp; Anor v Chief Constable of Thames Valley Police &amp; Anor</x:v>
      </x:c>
      <x:c r="D157" s="15" t="str">
        <x:v>N/A</x:v>
      </x:c>
      <x:c r="E157" s="15" t="n">
        <x:f>COUNTIF('Unique per draft'!$H$2:$H$474,A157)</x:f>
        <x:v>1</x:v>
      </x:c>
      <x:c r="F157" s="15" t="n">
        <x:f>COUNTIF('Occurrences'!$I$2:$I$722,A157)</x:f>
        <x:v>1</x:v>
      </x:c>
      <x:c r="G157" s="15" t="n">
        <x:f>COUNTIFS('Unique per draft'!$H$2:$H$474,A157,'Unique per draft'!$D$2:$D$474,"real")</x:f>
        <x:v>0</x:v>
      </x:c>
      <x:c r="H157" s="15" t="n">
        <x:f>COUNTIFS('Unique per draft'!$H$2:$H$474,A157,'Unique per draft'!$D$2:$D$474,"synthetic")</x:f>
        <x:v>1</x:v>
      </x:c>
      <x:c r="I157" s="15" t="str">
        <x:v>cmlzrzxca000304l2qk1vevzx</x:v>
      </x:c>
    </x:row>
    <x:row r="158">
      <x:c r="A158" s="1" t="str">
        <x:v>case:2022 ewca civ 25</x:v>
      </x:c>
      <x:c r="B158" s="1" t="str">
        <x:v>case</x:v>
      </x:c>
      <x:c r="C158" s="15" t="str">
        <x:v>Tindall &amp; Anor v Chief Constable of Thames Valley Police &amp; Anor</x:v>
      </x:c>
      <x:c r="D158" s="15" t="str">
        <x:v>[2022] EWCA Civ 25</x:v>
      </x:c>
      <x:c r="E158" s="15" t="n">
        <x:f>COUNTIF('Unique per draft'!$H$2:$H$474,A158)</x:f>
        <x:v>1</x:v>
      </x:c>
      <x:c r="F158" s="15" t="n">
        <x:f>COUNTIF('Occurrences'!$I$2:$I$722,A158)</x:f>
        <x:v>1</x:v>
      </x:c>
      <x:c r="G158" s="15" t="n">
        <x:f>COUNTIFS('Unique per draft'!$H$2:$H$474,A158,'Unique per draft'!$D$2:$D$474,"real")</x:f>
        <x:v>1</x:v>
      </x:c>
      <x:c r="H158" s="15" t="n">
        <x:f>COUNTIFS('Unique per draft'!$H$2:$H$474,A158,'Unique per draft'!$D$2:$D$474,"synthetic")</x:f>
        <x:v>0</x:v>
      </x:c>
      <x:c r="I158" s="15" t="str">
        <x:v>cmmxgyd9z000h04kttryogau2</x:v>
      </x:c>
    </x:row>
    <x:row r="159">
      <x:c r="A159" s="1" t="str">
        <x:v>case:2014 ewca civ 18</x:v>
      </x:c>
      <x:c r="B159" s="1" t="str">
        <x:v>case</x:v>
      </x:c>
      <x:c r="C159" s="15" t="str">
        <x:v>Topland Portfolio No 1 Ltd v Smiths News Trading Ltd</x:v>
      </x:c>
      <x:c r="D159" s="15" t="str">
        <x:v>[2014] EWCA Civ 18</x:v>
      </x:c>
      <x:c r="E159" s="15" t="n">
        <x:f>COUNTIF('Unique per draft'!$H$2:$H$474,A159)</x:f>
        <x:v>1</x:v>
      </x:c>
      <x:c r="F159" s="15" t="n">
        <x:f>COUNTIF('Occurrences'!$I$2:$I$722,A159)</x:f>
        <x:v>1</x:v>
      </x:c>
      <x:c r="G159" s="15" t="n">
        <x:f>COUNTIFS('Unique per draft'!$H$2:$H$474,A159,'Unique per draft'!$D$2:$D$474,"real")</x:f>
        <x:v>0</x:v>
      </x:c>
      <x:c r="H159" s="15" t="n">
        <x:f>COUNTIFS('Unique per draft'!$H$2:$H$474,A159,'Unique per draft'!$D$2:$D$474,"synthetic")</x:f>
        <x:v>1</x:v>
      </x:c>
      <x:c r="I159" s="15" t="str">
        <x:v>cmmdjqxh3000304kvs37yorn3</x:v>
      </x:c>
    </x:row>
    <x:row r="160">
      <x:c r="A160" s="1" t="str">
        <x:v>case:topland portfolio no 1 ltd v smiths news trading ltd</x:v>
      </x:c>
      <x:c r="B160" s="1" t="str">
        <x:v>case</x:v>
      </x:c>
      <x:c r="C160" s="15" t="str">
        <x:v>Topland Portfolio No 1 Ltd v Smiths News Trading Ltd</x:v>
      </x:c>
      <x:c r="D160" s="15" t="str">
        <x:v>N/A</x:v>
      </x:c>
      <x:c r="E160" s="15" t="n">
        <x:f>COUNTIF('Unique per draft'!$H$2:$H$474,A160)</x:f>
        <x:v>1</x:v>
      </x:c>
      <x:c r="F160" s="15" t="n">
        <x:f>COUNTIF('Occurrences'!$I$2:$I$722,A160)</x:f>
        <x:v>1</x:v>
      </x:c>
      <x:c r="G160" s="15" t="n">
        <x:f>COUNTIFS('Unique per draft'!$H$2:$H$474,A160,'Unique per draft'!$D$2:$D$474,"real")</x:f>
        <x:v>0</x:v>
      </x:c>
      <x:c r="H160" s="15" t="n">
        <x:f>COUNTIFS('Unique per draft'!$H$2:$H$474,A160,'Unique per draft'!$D$2:$D$474,"synthetic")</x:f>
        <x:v>1</x:v>
      </x:c>
      <x:c r="I160" s="15" t="str">
        <x:v>cmmls2r93000304jme0bpsul9</x:v>
      </x:c>
    </x:row>
    <x:row r="161">
      <x:c r="A161" s="1" t="str">
        <x:v>case:2016 ewca civ 1310</x:v>
      </x:c>
      <x:c r="B161" s="1" t="str">
        <x:v>case</x:v>
      </x:c>
      <x:c r="C161" s="15" t="str">
        <x:v>Totel Limited v HM Revenue and Customs</x:v>
      </x:c>
      <x:c r="D161" s="15" t="str">
        <x:v>[2016] EWCA Civ 1310</x:v>
      </x:c>
      <x:c r="E161" s="15" t="n">
        <x:f>COUNTIF('Unique per draft'!$H$2:$H$474,A161)</x:f>
        <x:v>2</x:v>
      </x:c>
      <x:c r="F161" s="15" t="n">
        <x:f>COUNTIF('Occurrences'!$I$2:$I$722,A161)</x:f>
        <x:v>3</x:v>
      </x:c>
      <x:c r="G161" s="15" t="n">
        <x:f>COUNTIFS('Unique per draft'!$H$2:$H$474,A161,'Unique per draft'!$D$2:$D$474,"real")</x:f>
        <x:v>1</x:v>
      </x:c>
      <x:c r="H161" s="15" t="n">
        <x:f>COUNTIFS('Unique per draft'!$H$2:$H$474,A161,'Unique per draft'!$D$2:$D$474,"synthetic")</x:f>
        <x:v>1</x:v>
      </x:c>
      <x:c r="I161" s="15" t="str">
        <x:v>cmlzpblc7000304jv62ixuvp8 | cmsbr6p4p001704l4z7u6108h</x:v>
      </x:c>
    </x:row>
    <x:row r="162">
      <x:c r="A162" s="1" t="str">
        <x:v>case:2022 ewca civ 998</x:v>
      </x:c>
      <x:c r="B162" s="1" t="str">
        <x:v>case</x:v>
      </x:c>
      <x:c r="C162" s="15" t="str">
        <x:v>Tower Bridge GP Ltd v Revenue And Customs</x:v>
      </x:c>
      <x:c r="D162" s="15" t="str">
        <x:v>[2022] EWCA Civ 998</x:v>
      </x:c>
      <x:c r="E162" s="15" t="n">
        <x:f>COUNTIF('Unique per draft'!$H$2:$H$474,A162)</x:f>
        <x:v>1</x:v>
      </x:c>
      <x:c r="F162" s="15" t="n">
        <x:f>COUNTIF('Occurrences'!$I$2:$I$722,A162)</x:f>
        <x:v>1</x:v>
      </x:c>
      <x:c r="G162" s="15" t="n">
        <x:f>COUNTIFS('Unique per draft'!$H$2:$H$474,A162,'Unique per draft'!$D$2:$D$474,"real")</x:f>
        <x:v>1</x:v>
      </x:c>
      <x:c r="H162" s="15" t="n">
        <x:f>COUNTIFS('Unique per draft'!$H$2:$H$474,A162,'Unique per draft'!$D$2:$D$474,"synthetic")</x:f>
        <x:v>0</x:v>
      </x:c>
      <x:c r="I162" s="15" t="str">
        <x:v>cmsbr4fhb000v04l4mgwtz5x1</x:v>
      </x:c>
    </x:row>
    <x:row r="163">
      <x:c r="A163" s="1" t="str">
        <x:v>case:2016 ewca civ 372</x:v>
      </x:c>
      <x:c r="B163" s="1" t="str">
        <x:v>case</x:v>
      </x:c>
      <x:c r="C163" s="15" t="str">
        <x:v>Transocean Drilling U.K. Ltd v Providence Resources Plc</x:v>
      </x:c>
      <x:c r="D163" s="15" t="str">
        <x:v>[2016] EWCA Civ 372</x:v>
      </x:c>
      <x:c r="E163" s="15" t="n">
        <x:f>COUNTIF('Unique per draft'!$H$2:$H$474,A163)</x:f>
        <x:v>1</x:v>
      </x:c>
      <x:c r="F163" s="15" t="n">
        <x:f>COUNTIF('Occurrences'!$I$2:$I$722,A163)</x:f>
        <x:v>1</x:v>
      </x:c>
      <x:c r="G163" s="15" t="n">
        <x:f>COUNTIFS('Unique per draft'!$H$2:$H$474,A163,'Unique per draft'!$D$2:$D$474,"real")</x:f>
        <x:v>1</x:v>
      </x:c>
      <x:c r="H163" s="15" t="n">
        <x:f>COUNTIFS('Unique per draft'!$H$2:$H$474,A163,'Unique per draft'!$D$2:$D$474,"synthetic")</x:f>
        <x:v>0</x:v>
      </x:c>
      <x:c r="I163" s="15" t="str">
        <x:v>cmsbrqmhv000j04jp78i2n3gf</x:v>
      </x:c>
    </x:row>
    <x:row r="164">
      <x:c r="A164" s="1" t="str">
        <x:v>case:uber bv v aslam 2021 icr 657</x:v>
      </x:c>
      <x:c r="B164" s="1" t="str">
        <x:v>case</x:v>
      </x:c>
      <x:c r="C164" s="15" t="str">
        <x:v>Uber BV v Aslam [2021] ICR 657</x:v>
      </x:c>
      <x:c r="D164" s="15" t="str">
        <x:v>Uber BV v Aslam [2021] ICR 657</x:v>
      </x:c>
      <x:c r="E164" s="15" t="n">
        <x:f>COUNTIF('Unique per draft'!$H$2:$H$474,A164)</x:f>
        <x:v>1</x:v>
      </x:c>
      <x:c r="F164" s="15" t="n">
        <x:f>COUNTIF('Occurrences'!$I$2:$I$722,A164)</x:f>
        <x:v>1</x:v>
      </x:c>
      <x:c r="G164" s="15" t="n">
        <x:f>COUNTIFS('Unique per draft'!$H$2:$H$474,A164,'Unique per draft'!$D$2:$D$474,"real")</x:f>
        <x:v>1</x:v>
      </x:c>
      <x:c r="H164" s="15" t="n">
        <x:f>COUNTIFS('Unique per draft'!$H$2:$H$474,A164,'Unique per draft'!$D$2:$D$474,"synthetic")</x:f>
        <x:v>0</x:v>
      </x:c>
      <x:c r="I164" s="15" t="str">
        <x:v>cmsbskr86000h04ji5a4thcht</x:v>
      </x:c>
    </x:row>
    <x:row r="165">
      <x:c r="A165" s="1" t="str">
        <x:v>case:2022 ewca civ 978</x:v>
      </x:c>
      <x:c r="B165" s="1" t="str">
        <x:v>case</x:v>
      </x:c>
      <x:c r="C165" s="15" t="str">
        <x:v>Union of Shop, Distributive and Allied Workers &amp; Ors v Tesco Stores Ltd</x:v>
      </x:c>
      <x:c r="D165" s="15" t="str">
        <x:v>(2022) EWCA Civ 978</x:v>
      </x:c>
      <x:c r="E165" s="15" t="n">
        <x:f>COUNTIF('Unique per draft'!$H$2:$H$474,A165)</x:f>
        <x:v>1</x:v>
      </x:c>
      <x:c r="F165" s="15" t="n">
        <x:f>COUNTIF('Occurrences'!$I$2:$I$722,A165)</x:f>
        <x:v>2</x:v>
      </x:c>
      <x:c r="G165" s="15" t="n">
        <x:f>COUNTIFS('Unique per draft'!$H$2:$H$474,A165,'Unique per draft'!$D$2:$D$474,"real")</x:f>
        <x:v>1</x:v>
      </x:c>
      <x:c r="H165" s="15" t="n">
        <x:f>COUNTIFS('Unique per draft'!$H$2:$H$474,A165,'Unique per draft'!$D$2:$D$474,"synthetic")</x:f>
        <x:v>0</x:v>
      </x:c>
      <x:c r="I165" s="15" t="str">
        <x:v>cmsbrqmhv000j04jp78i2n3gf</x:v>
      </x:c>
    </x:row>
    <x:row r="166">
      <x:c r="A166" s="1" t="str">
        <x:v>case:university of huddersfield higher education corporation v hm revenue and customs</x:v>
      </x:c>
      <x:c r="B166" s="1" t="str">
        <x:v>case</x:v>
      </x:c>
      <x:c r="C166" s="15" t="str">
        <x:v>University of Huddersfield Higher Education Corporation v HM Revenue and Customs</x:v>
      </x:c>
      <x:c r="D166" s="15" t="str">
        <x:v>N/A</x:v>
      </x:c>
      <x:c r="E166" s="15" t="n">
        <x:f>COUNTIF('Unique per draft'!$H$2:$H$474,A166)</x:f>
        <x:v>1</x:v>
      </x:c>
      <x:c r="F166" s="15" t="n">
        <x:f>COUNTIF('Occurrences'!$I$2:$I$722,A166)</x:f>
        <x:v>1</x:v>
      </x:c>
      <x:c r="G166" s="15" t="n">
        <x:f>COUNTIFS('Unique per draft'!$H$2:$H$474,A166,'Unique per draft'!$D$2:$D$474,"real")</x:f>
        <x:v>1</x:v>
      </x:c>
      <x:c r="H166" s="15" t="n">
        <x:f>COUNTIFS('Unique per draft'!$H$2:$H$474,A166,'Unique per draft'!$D$2:$D$474,"synthetic")</x:f>
        <x:v>0</x:v>
      </x:c>
      <x:c r="I166" s="15" t="str">
        <x:v>cmsbr4fhb000v04l4mgwtz5x1</x:v>
      </x:c>
    </x:row>
    <x:row r="167">
      <x:c r="A167" s="1" t="str">
        <x:v>case:use of languages in education in belgium</x:v>
      </x:c>
      <x:c r="B167" s="1" t="str">
        <x:v>case</x:v>
      </x:c>
      <x:c r="C167" s="15" t="str">
        <x:v>Use of Languages in Education in Belgium</x:v>
      </x:c>
      <x:c r="D167" s="15" t="str">
        <x:v>N/A</x:v>
      </x:c>
      <x:c r="E167" s="15" t="n">
        <x:f>COUNTIF('Unique per draft'!$H$2:$H$474,A167)</x:f>
        <x:v>1</x:v>
      </x:c>
      <x:c r="F167" s="15" t="n">
        <x:f>COUNTIF('Occurrences'!$I$2:$I$722,A167)</x:f>
        <x:v>1</x:v>
      </x:c>
      <x:c r="G167" s="15" t="n">
        <x:f>COUNTIFS('Unique per draft'!$H$2:$H$474,A167,'Unique per draft'!$D$2:$D$474,"real")</x:f>
        <x:v>1</x:v>
      </x:c>
      <x:c r="H167" s="15" t="n">
        <x:f>COUNTIFS('Unique per draft'!$H$2:$H$474,A167,'Unique per draft'!$D$2:$D$474,"synthetic")</x:f>
        <x:v>0</x:v>
      </x:c>
      <x:c r="I167" s="15" t="str">
        <x:v>cmmjtnsdx000904l4vhap8xwc</x:v>
      </x:c>
    </x:row>
    <x:row r="168">
      <x:c r="A168" s="1" t="str">
        <x:v>case:velyo velev v bulgaria app no 16032 07 echr 27 may 2014</x:v>
      </x:c>
      <x:c r="B168" s="1" t="str">
        <x:v>case</x:v>
      </x:c>
      <x:c r="C168" s="15" t="str">
        <x:v>Velyo Velev v Bulgaria (App No 16032/07) ECHR 27 May 2014</x:v>
      </x:c>
      <x:c r="D168" s="15" t="str">
        <x:v>Velyo Velev v Bulgaria (App No 16032/07) ECHR 27 May 2014</x:v>
      </x:c>
      <x:c r="E168" s="15" t="n">
        <x:f>COUNTIF('Unique per draft'!$H$2:$H$474,A168)</x:f>
        <x:v>1</x:v>
      </x:c>
      <x:c r="F168" s="15" t="n">
        <x:f>COUNTIF('Occurrences'!$I$2:$I$722,A168)</x:f>
        <x:v>1</x:v>
      </x:c>
      <x:c r="G168" s="15" t="n">
        <x:f>COUNTIFS('Unique per draft'!$H$2:$H$474,A168,'Unique per draft'!$D$2:$D$474,"real")</x:f>
        <x:v>0</x:v>
      </x:c>
      <x:c r="H168" s="15" t="n">
        <x:f>COUNTIFS('Unique per draft'!$H$2:$H$474,A168,'Unique per draft'!$D$2:$D$474,"synthetic")</x:f>
        <x:v>1</x:v>
      </x:c>
      <x:c r="I168" s="15" t="str">
        <x:v>cmmafut12000904l4kjskwky4</x:v>
      </x:c>
    </x:row>
    <x:row r="169">
      <x:c r="A169" s="1" t="str">
        <x:v>case:velyo velev v bulgaria</x:v>
      </x:c>
      <x:c r="B169" s="1" t="str">
        <x:v>case</x:v>
      </x:c>
      <x:c r="C169" s="15" t="str">
        <x:v>Velyo Velev v. Bulgaria</x:v>
      </x:c>
      <x:c r="D169" s="15" t="str">
        <x:v>N/A</x:v>
      </x:c>
      <x:c r="E169" s="15" t="n">
        <x:f>COUNTIF('Unique per draft'!$H$2:$H$474,A169)</x:f>
        <x:v>2</x:v>
      </x:c>
      <x:c r="F169" s="15" t="n">
        <x:f>COUNTIF('Occurrences'!$I$2:$I$722,A169)</x:f>
        <x:v>4</x:v>
      </x:c>
      <x:c r="G169" s="15" t="n">
        <x:f>COUNTIFS('Unique per draft'!$H$2:$H$474,A169,'Unique per draft'!$D$2:$D$474,"real")</x:f>
        <x:v>2</x:v>
      </x:c>
      <x:c r="H169" s="15" t="n">
        <x:f>COUNTIFS('Unique per draft'!$H$2:$H$474,A169,'Unique per draft'!$D$2:$D$474,"synthetic")</x:f>
        <x:v>0</x:v>
      </x:c>
      <x:c r="I169" s="15" t="str">
        <x:v>cmmjsmua2000q04jstd4i8p7c | cmsbqvqsj000h04jnb8tn656h</x:v>
      </x:c>
    </x:row>
    <x:row r="170">
      <x:c r="A170" s="1" t="str">
        <x:v>case:2016 uksc 45</x:v>
      </x:c>
      <x:c r="B170" s="1" t="str">
        <x:v>case</x:v>
      </x:c>
      <x:c r="C170" s="15" t="str">
        <x:v>Versloot Dredging BV v HDI Gerling Industrie Versicherung AG</x:v>
      </x:c>
      <x:c r="D170" s="15" t="str">
        <x:v>[2016] UKSC 45</x:v>
      </x:c>
      <x:c r="E170" s="15" t="n">
        <x:f>COUNTIF('Unique per draft'!$H$2:$H$474,A170)</x:f>
        <x:v>1</x:v>
      </x:c>
      <x:c r="F170" s="15" t="n">
        <x:f>COUNTIF('Occurrences'!$I$2:$I$722,A170)</x:f>
        <x:v>4</x:v>
      </x:c>
      <x:c r="G170" s="15" t="n">
        <x:f>COUNTIFS('Unique per draft'!$H$2:$H$474,A170,'Unique per draft'!$D$2:$D$474,"real")</x:f>
        <x:v>0</x:v>
      </x:c>
      <x:c r="H170" s="15" t="n">
        <x:f>COUNTIFS('Unique per draft'!$H$2:$H$474,A170,'Unique per draft'!$D$2:$D$474,"synthetic")</x:f>
        <x:v>1</x:v>
      </x:c>
      <x:c r="I170" s="15" t="str">
        <x:v>cmm0bebet000404jvmcxyqo4x</x:v>
      </x:c>
    </x:row>
    <x:row r="171">
      <x:c r="A171" s="1" t="str">
        <x:v>case:2014 ewca civ 1555</x:v>
      </x:c>
      <x:c r="B171" s="1" t="str">
        <x:v>case</x:v>
      </x:c>
      <x:c r="C171" s="15" t="str">
        <x:v>Vicente &amp; Anor v Secretary of State for Communities and Local Government &amp; Anor</x:v>
      </x:c>
      <x:c r="D171" s="15" t="str">
        <x:v>[2014] EWCA Civ 1555</x:v>
      </x:c>
      <x:c r="E171" s="15" t="n">
        <x:f>COUNTIF('Unique per draft'!$H$2:$H$474,A171)</x:f>
        <x:v>2</x:v>
      </x:c>
      <x:c r="F171" s="15" t="n">
        <x:f>COUNTIF('Occurrences'!$I$2:$I$722,A171)</x:f>
        <x:v>5</x:v>
      </x:c>
      <x:c r="G171" s="15" t="n">
        <x:f>COUNTIFS('Unique per draft'!$H$2:$H$474,A171,'Unique per draft'!$D$2:$D$474,"real")</x:f>
        <x:v>2</x:v>
      </x:c>
      <x:c r="H171" s="15" t="n">
        <x:f>COUNTIFS('Unique per draft'!$H$2:$H$474,A171,'Unique per draft'!$D$2:$D$474,"synthetic")</x:f>
        <x:v>0</x:v>
      </x:c>
      <x:c r="I171" s="15" t="str">
        <x:v>cmmxsk5kn000h04ldd570wr09 | cmomnx9nj000304jkyxxg2b0k</x:v>
      </x:c>
    </x:row>
    <x:row r="172">
      <x:c r="A172" s="1" t="str">
        <x:v>case:volkswagen financial services uk ltd v hm revenue &amp; customs</x:v>
      </x:c>
      <x:c r="B172" s="1" t="str">
        <x:v>case</x:v>
      </x:c>
      <x:c r="C172" s="15" t="str">
        <x:v>Volkswagen Financial Services (UK) Ltd v HM Revenue &amp; Customs</x:v>
      </x:c>
      <x:c r="D172" s="15" t="str">
        <x:v>N/A</x:v>
      </x:c>
      <x:c r="E172" s="15" t="n">
        <x:f>COUNTIF('Unique per draft'!$H$2:$H$474,A172)</x:f>
        <x:v>1</x:v>
      </x:c>
      <x:c r="F172" s="15" t="n">
        <x:f>COUNTIF('Occurrences'!$I$2:$I$722,A172)</x:f>
        <x:v>1</x:v>
      </x:c>
      <x:c r="G172" s="15" t="n">
        <x:f>COUNTIFS('Unique per draft'!$H$2:$H$474,A172,'Unique per draft'!$D$2:$D$474,"real")</x:f>
        <x:v>1</x:v>
      </x:c>
      <x:c r="H172" s="15" t="n">
        <x:f>COUNTIFS('Unique per draft'!$H$2:$H$474,A172,'Unique per draft'!$D$2:$D$474,"synthetic")</x:f>
        <x:v>0</x:v>
      </x:c>
      <x:c r="I172" s="15" t="str">
        <x:v>cmsbr3045000j04l4tkps7ymp</x:v>
      </x:c>
    </x:row>
    <x:row r="173">
      <x:c r="A173" s="1" t="str">
        <x:v>case:warner lambert company llc v actavis group ptc ehf &amp; ors</x:v>
      </x:c>
      <x:c r="B173" s="1" t="str">
        <x:v>case</x:v>
      </x:c>
      <x:c r="C173" s="15" t="str">
        <x:v>Warner-Lambert Company, LLC v Actavis Group Ptc EHF &amp; Ors</x:v>
      </x:c>
      <x:c r="D173" s="15" t="str">
        <x:v>N/A</x:v>
      </x:c>
      <x:c r="E173" s="15" t="n">
        <x:f>COUNTIF('Unique per draft'!$H$2:$H$474,A173)</x:f>
        <x:v>1</x:v>
      </x:c>
      <x:c r="F173" s="15" t="n">
        <x:f>COUNTIF('Occurrences'!$I$2:$I$722,A173)</x:f>
        <x:v>1</x:v>
      </x:c>
      <x:c r="G173" s="15" t="n">
        <x:f>COUNTIFS('Unique per draft'!$H$2:$H$474,A173,'Unique per draft'!$D$2:$D$474,"real")</x:f>
        <x:v>1</x:v>
      </x:c>
      <x:c r="H173" s="15" t="n">
        <x:f>COUNTIFS('Unique per draft'!$H$2:$H$474,A173,'Unique per draft'!$D$2:$D$474,"synthetic")</x:f>
        <x:v>0</x:v>
      </x:c>
      <x:c r="I173" s="15" t="str">
        <x:v>cmsbtbxft002t04jic4baeo3l</x:v>
      </x:c>
    </x:row>
    <x:row r="174">
      <x:c r="A174" s="1" t="str">
        <x:v>case:wellesley partners llp v withers llp</x:v>
      </x:c>
      <x:c r="B174" s="1" t="str">
        <x:v>case</x:v>
      </x:c>
      <x:c r="C174" s="15" t="str">
        <x:v>Wellesley Partners LLP v Withers LLP</x:v>
      </x:c>
      <x:c r="D174" s="15" t="str">
        <x:v>N/A</x:v>
      </x:c>
      <x:c r="E174" s="15" t="n">
        <x:f>COUNTIF('Unique per draft'!$H$2:$H$474,A174)</x:f>
        <x:v>1</x:v>
      </x:c>
      <x:c r="F174" s="15" t="n">
        <x:f>COUNTIF('Occurrences'!$I$2:$I$722,A174)</x:f>
        <x:v>3</x:v>
      </x:c>
      <x:c r="G174" s="15" t="n">
        <x:f>COUNTIFS('Unique per draft'!$H$2:$H$474,A174,'Unique per draft'!$D$2:$D$474,"real")</x:f>
        <x:v>0</x:v>
      </x:c>
      <x:c r="H174" s="15" t="n">
        <x:f>COUNTIFS('Unique per draft'!$H$2:$H$474,A174,'Unique per draft'!$D$2:$D$474,"synthetic")</x:f>
        <x:v>1</x:v>
      </x:c>
      <x:c r="I174" s="15" t="str">
        <x:v>cmmmudwct000304kzc6d15a3r</x:v>
      </x:c>
    </x:row>
    <x:row r="175">
      <x:c r="A175" s="1" t="str">
        <x:v>case:2015 ewca civ 1146</x:v>
      </x:c>
      <x:c r="B175" s="1" t="str">
        <x:v>case</x:v>
      </x:c>
      <x:c r="C175" s="15" t="str">
        <x:v>Wellesley Partners LLP v Withers LLP [2015] EWCA Civ 1146</x:v>
      </x:c>
      <x:c r="D175" s="15" t="str"/>
      <x:c r="E175" s="15" t="n">
        <x:f>COUNTIF('Unique per draft'!$H$2:$H$474,A175)</x:f>
        <x:v>1</x:v>
      </x:c>
      <x:c r="F175" s="15" t="n">
        <x:f>COUNTIF('Occurrences'!$I$2:$I$722,A175)</x:f>
        <x:v>3</x:v>
      </x:c>
      <x:c r="G175" s="15" t="n">
        <x:f>COUNTIFS('Unique per draft'!$H$2:$H$474,A175,'Unique per draft'!$D$2:$D$474,"real")</x:f>
        <x:v>0</x:v>
      </x:c>
      <x:c r="H175" s="15" t="n">
        <x:f>COUNTIFS('Unique per draft'!$H$2:$H$474,A175,'Unique per draft'!$D$2:$D$474,"synthetic")</x:f>
        <x:v>1</x:v>
      </x:c>
      <x:c r="I175" s="15" t="str">
        <x:v>cmst49zw4001104l7neqlaa0v</x:v>
      </x:c>
    </x:row>
    <x:row r="176">
      <x:c r="A176" s="1" t="str">
        <x:v>case:2022 ewca civ 983</x:v>
      </x:c>
      <x:c r="B176" s="1" t="str">
        <x:v>case</x:v>
      </x:c>
      <x:c r="C176" s="15" t="str">
        <x:v>Wyatt v Fareham Borough Council (Rev1)</x:v>
      </x:c>
      <x:c r="D176" s="15" t="str">
        <x:v>[2022] EWCA Civ 983</x:v>
      </x:c>
      <x:c r="E176" s="15" t="n">
        <x:f>COUNTIF('Unique per draft'!$H$2:$H$474,A176)</x:f>
        <x:v>1</x:v>
      </x:c>
      <x:c r="F176" s="15" t="n">
        <x:f>COUNTIF('Occurrences'!$I$2:$I$722,A176)</x:f>
        <x:v>3</x:v>
      </x:c>
      <x:c r="G176" s="15" t="n">
        <x:f>COUNTIFS('Unique per draft'!$H$2:$H$474,A176,'Unique per draft'!$D$2:$D$474,"real")</x:f>
        <x:v>0</x:v>
      </x:c>
      <x:c r="H176" s="15" t="n">
        <x:f>COUNTIFS('Unique per draft'!$H$2:$H$474,A176,'Unique per draft'!$D$2:$D$474,"synthetic")</x:f>
        <x:v>1</x:v>
      </x:c>
      <x:c r="I176" s="15" t="str">
        <x:v>cmlzy9ss300fz04i80p2yfbg1</x:v>
      </x:c>
    </x:row>
    <x:row r="177">
      <x:c r="A177" s="1" t="str">
        <x:v>case:2010 ewca civ 776</x:v>
      </x:c>
      <x:c r="B177" s="1" t="str">
        <x:v>case</x:v>
      </x:c>
      <x:c r="C177" s="15" t="str">
        <x:v>Yetkin v London Borough of Newham</x:v>
      </x:c>
      <x:c r="D177" s="15" t="str">
        <x:v>[2010] EWCA Civ 776</x:v>
      </x:c>
      <x:c r="E177" s="15" t="n">
        <x:f>COUNTIF('Unique per draft'!$H$2:$H$474,A177)</x:f>
        <x:v>4</x:v>
      </x:c>
      <x:c r="F177" s="15" t="n">
        <x:f>COUNTIF('Occurrences'!$I$2:$I$722,A177)</x:f>
        <x:v>8</x:v>
      </x:c>
      <x:c r="G177" s="15" t="n">
        <x:f>COUNTIFS('Unique per draft'!$H$2:$H$474,A177,'Unique per draft'!$D$2:$D$474,"real")</x:f>
        <x:v>4</x:v>
      </x:c>
      <x:c r="H177" s="15" t="n">
        <x:f>COUNTIFS('Unique per draft'!$H$2:$H$474,A177,'Unique per draft'!$D$2:$D$474,"synthetic")</x:f>
        <x:v>0</x:v>
      </x:c>
      <x:c r="I177" s="15" t="str">
        <x:v>cmmsi1xqb000h04jsef3v6skf | cmmxktfx8000904johoqmmfkm | cmsbracw1001r04l4az8ukhd1 | cmsbrc37v001x04l4t7r77h89</x:v>
      </x:c>
    </x:row>
    <x:row r="178">
      <x:c r="A178" s="1" t="str">
        <x:v>case:yetkin v london borough of newham</x:v>
      </x:c>
      <x:c r="B178" s="1" t="str">
        <x:v>case</x:v>
      </x:c>
      <x:c r="C178" s="15" t="str">
        <x:v>Yetkin v London Borough of Newham</x:v>
      </x:c>
      <x:c r="D178" s="15" t="str">
        <x:v>Yetkin v London Borough of Newham</x:v>
      </x:c>
      <x:c r="E178" s="15" t="n">
        <x:f>COUNTIF('Unique per draft'!$H$2:$H$474,A178)</x:f>
        <x:v>1</x:v>
      </x:c>
      <x:c r="F178" s="15" t="n">
        <x:f>COUNTIF('Occurrences'!$I$2:$I$722,A178)</x:f>
        <x:v>2</x:v>
      </x:c>
      <x:c r="G178" s="15" t="n">
        <x:f>COUNTIFS('Unique per draft'!$H$2:$H$474,A178,'Unique per draft'!$D$2:$D$474,"real")</x:f>
        <x:v>1</x:v>
      </x:c>
      <x:c r="H178" s="15" t="n">
        <x:f>COUNTIFS('Unique per draft'!$H$2:$H$474,A178,'Unique per draft'!$D$2:$D$474,"synthetic")</x:f>
        <x:v>0</x:v>
      </x:c>
      <x:c r="I178" s="15" t="str">
        <x:v>cmsbracw1001r04l4az8ukhd1</x:v>
      </x:c>
    </x:row>
    <x:row r="179">
      <x:c r="A179" s="1" t="str">
        <x:v>case:youssefi v mussellwhite</x:v>
      </x:c>
      <x:c r="B179" s="1" t="str">
        <x:v>case</x:v>
      </x:c>
      <x:c r="C179" s="15" t="str">
        <x:v>Youssefi v Mussellwhite</x:v>
      </x:c>
      <x:c r="D179" s="15" t="str">
        <x:v>N/A</x:v>
      </x:c>
      <x:c r="E179" s="15" t="n">
        <x:f>COUNTIF('Unique per draft'!$H$2:$H$474,A179)</x:f>
        <x:v>1</x:v>
      </x:c>
      <x:c r="F179" s="15" t="n">
        <x:f>COUNTIF('Occurrences'!$I$2:$I$722,A179)</x:f>
        <x:v>1</x:v>
      </x:c>
      <x:c r="G179" s="15" t="n">
        <x:f>COUNTIFS('Unique per draft'!$H$2:$H$474,A179,'Unique per draft'!$D$2:$D$474,"real")</x:f>
        <x:v>0</x:v>
      </x:c>
      <x:c r="H179" s="15" t="n">
        <x:f>COUNTIFS('Unique per draft'!$H$2:$H$474,A179,'Unique per draft'!$D$2:$D$474,"synthetic")</x:f>
        <x:v>1</x:v>
      </x:c>
      <x:c r="I179" s="15" t="str">
        <x:v>cmmls2r93000304jme0bpsul9</x:v>
      </x:c>
    </x:row>
    <x:row r="180">
      <x:c r="A180" s="1" t="str">
        <x:v>case:2023 ewca civ 52</x:v>
      </x:c>
      <x:c r="B180" s="1" t="str">
        <x:v>case</x:v>
      </x:c>
      <x:c r="C180" s="15" t="str">
        <x:v>Zymurgorium Ltd v Hammonds of Knutsford Plc</x:v>
      </x:c>
      <x:c r="D180" s="15" t="str">
        <x:v>[2023] EWCA Civ 52</x:v>
      </x:c>
      <x:c r="E180" s="15" t="n">
        <x:f>COUNTIF('Unique per draft'!$H$2:$H$474,A180)</x:f>
        <x:v>1</x:v>
      </x:c>
      <x:c r="F180" s="15" t="n">
        <x:f>COUNTIF('Occurrences'!$I$2:$I$722,A180)</x:f>
        <x:v>2</x:v>
      </x:c>
      <x:c r="G180" s="15" t="n">
        <x:f>COUNTIFS('Unique per draft'!$H$2:$H$474,A180,'Unique per draft'!$D$2:$D$474,"real")</x:f>
        <x:v>1</x:v>
      </x:c>
      <x:c r="H180" s="15" t="n">
        <x:f>COUNTIFS('Unique per draft'!$H$2:$H$474,A180,'Unique per draft'!$D$2:$D$474,"synthetic")</x:f>
        <x:v>0</x:v>
      </x:c>
      <x:c r="I180" s="15" t="str">
        <x:v>cmsbrqmhv000j04jp78i2n3gf</x:v>
      </x:c>
    </x:row>
    <x:row r="181">
      <x:c r="A181" s="1" t="str">
        <x:v>legislation:administrative justice and tribunals council act 2007 n a</x:v>
      </x:c>
      <x:c r="B181" s="1" t="str">
        <x:v>legislation</x:v>
      </x:c>
      <x:c r="C181" s="15" t="str">
        <x:v>Administrative Justice and Tribunals Council Act 2007</x:v>
      </x:c>
      <x:c r="D181" s="15" t="str">
        <x:v>Administrative Justice and Tribunals Council Act 2007 N/A</x:v>
      </x:c>
      <x:c r="E181" s="15" t="n">
        <x:f>COUNTIF('Unique per draft'!$H$2:$H$474,A181)</x:f>
        <x:v>1</x:v>
      </x:c>
      <x:c r="F181" s="15" t="n">
        <x:f>COUNTIF('Occurrences'!$I$2:$I$722,A181)</x:f>
        <x:v>1</x:v>
      </x:c>
      <x:c r="G181" s="15" t="n">
        <x:f>COUNTIFS('Unique per draft'!$H$2:$H$474,A181,'Unique per draft'!$D$2:$D$474,"real")</x:f>
        <x:v>0</x:v>
      </x:c>
      <x:c r="H181" s="15" t="n">
        <x:f>COUNTIFS('Unique per draft'!$H$2:$H$474,A181,'Unique per draft'!$D$2:$D$474,"synthetic")</x:f>
        <x:v>1</x:v>
      </x:c>
      <x:c r="I181" s="15" t="str">
        <x:v>cmlzy9ss300fz04i80p2yfbg1</x:v>
      </x:c>
    </x:row>
    <x:row r="182">
      <x:c r="A182" s="1" t="str">
        <x:v>legislation:agency worker regulations 2010</x:v>
      </x:c>
      <x:c r="B182" s="1" t="str">
        <x:v>legislation</x:v>
      </x:c>
      <x:c r="C182" s="15" t="str">
        <x:v>Agency Worker Regulations 2010</x:v>
      </x:c>
      <x:c r="D182" s="15" t="str">
        <x:v>Agency Worker Regulations 2010</x:v>
      </x:c>
      <x:c r="E182" s="15" t="n">
        <x:f>COUNTIF('Unique per draft'!$H$2:$H$474,A182)</x:f>
        <x:v>1</x:v>
      </x:c>
      <x:c r="F182" s="15" t="n">
        <x:f>COUNTIF('Occurrences'!$I$2:$I$722,A182)</x:f>
        <x:v>1</x:v>
      </x:c>
      <x:c r="G182" s="15" t="n">
        <x:f>COUNTIFS('Unique per draft'!$H$2:$H$474,A182,'Unique per draft'!$D$2:$D$474,"real")</x:f>
        <x:v>1</x:v>
      </x:c>
      <x:c r="H182" s="15" t="n">
        <x:f>COUNTIFS('Unique per draft'!$H$2:$H$474,A182,'Unique per draft'!$D$2:$D$474,"synthetic")</x:f>
        <x:v>0</x:v>
      </x:c>
      <x:c r="I182" s="15" t="str">
        <x:v>cmsbskr86000h04ji5a4thcht</x:v>
      </x:c>
    </x:row>
    <x:row r="183">
      <x:c r="A183" s="1" t="str">
        <x:v>legislation:agency worker regulations 2010 regulation 3</x:v>
      </x:c>
      <x:c r="B183" s="1" t="str">
        <x:v>legislation</x:v>
      </x:c>
      <x:c r="C183" s="15" t="str">
        <x:v>Agency Worker Regulations 2010</x:v>
      </x:c>
      <x:c r="D183" s="15" t="str">
        <x:v>Agency Worker Regulations 2010 Regulation 3</x:v>
      </x:c>
      <x:c r="E183" s="15" t="n">
        <x:f>COUNTIF('Unique per draft'!$H$2:$H$474,A183)</x:f>
        <x:v>1</x:v>
      </x:c>
      <x:c r="F183" s="15" t="n">
        <x:f>COUNTIF('Occurrences'!$I$2:$I$722,A183)</x:f>
        <x:v>1</x:v>
      </x:c>
      <x:c r="G183" s="15" t="n">
        <x:f>COUNTIFS('Unique per draft'!$H$2:$H$474,A183,'Unique per draft'!$D$2:$D$474,"real")</x:f>
        <x:v>1</x:v>
      </x:c>
      <x:c r="H183" s="15" t="n">
        <x:f>COUNTIFS('Unique per draft'!$H$2:$H$474,A183,'Unique per draft'!$D$2:$D$474,"synthetic")</x:f>
        <x:v>0</x:v>
      </x:c>
      <x:c r="I183" s="15" t="str">
        <x:v>cmsbskr86000h04ji5a4thcht</x:v>
      </x:c>
    </x:row>
    <x:row r="184">
      <x:c r="A184" s="1" t="str">
        <x:v>legislation:agency workers regulations 2010 8</x:v>
      </x:c>
      <x:c r="B184" s="1" t="str">
        <x:v>legislation</x:v>
      </x:c>
      <x:c r="C184" s="15" t="str">
        <x:v>Agency Workers Regulations 2010</x:v>
      </x:c>
      <x:c r="D184" s="15" t="str">
        <x:v>Agency Workers Regulations 2010 8</x:v>
      </x:c>
      <x:c r="E184" s="15" t="n">
        <x:f>COUNTIF('Unique per draft'!$H$2:$H$474,A184)</x:f>
        <x:v>1</x:v>
      </x:c>
      <x:c r="F184" s="15" t="n">
        <x:f>COUNTIF('Occurrences'!$I$2:$I$722,A184)</x:f>
        <x:v>1</x:v>
      </x:c>
      <x:c r="G184" s="15" t="n">
        <x:f>COUNTIFS('Unique per draft'!$H$2:$H$474,A184,'Unique per draft'!$D$2:$D$474,"real")</x:f>
        <x:v>1</x:v>
      </x:c>
      <x:c r="H184" s="15" t="n">
        <x:f>COUNTIFS('Unique per draft'!$H$2:$H$474,A184,'Unique per draft'!$D$2:$D$474,"synthetic")</x:f>
        <x:v>0</x:v>
      </x:c>
      <x:c r="I184" s="15" t="str">
        <x:v>cmsbrvtc4001304jp5e4691on</x:v>
      </x:c>
    </x:row>
    <x:row r="185">
      <x:c r="A185" s="1" t="str">
        <x:v>legislation:application of article 2 protocol 1 of the echr on educational access</x:v>
      </x:c>
      <x:c r="B185" s="1" t="str">
        <x:v>legislation</x:v>
      </x:c>
      <x:c r="C185" s="15" t="str">
        <x:v>Application of Article 2 Protocol 1 of the ECHR on educational access.</x:v>
      </x:c>
      <x:c r="D185" s="15" t="str">
        <x:v>Application of Article 2 Protocol 1 of the ECHR on educational access.</x:v>
      </x:c>
      <x:c r="E185" s="15" t="n">
        <x:f>COUNTIF('Unique per draft'!$H$2:$H$474,A185)</x:f>
        <x:v>1</x:v>
      </x:c>
      <x:c r="F185" s="15" t="n">
        <x:f>COUNTIF('Occurrences'!$I$2:$I$722,A185)</x:f>
        <x:v>1</x:v>
      </x:c>
      <x:c r="G185" s="15" t="n">
        <x:f>COUNTIFS('Unique per draft'!$H$2:$H$474,A185,'Unique per draft'!$D$2:$D$474,"real")</x:f>
        <x:v>0</x:v>
      </x:c>
      <x:c r="H185" s="15" t="n">
        <x:f>COUNTIFS('Unique per draft'!$H$2:$H$474,A185,'Unique per draft'!$D$2:$D$474,"synthetic")</x:f>
        <x:v>1</x:v>
      </x:c>
      <x:c r="I185" s="15" t="str">
        <x:v>cmm3b1g6j000j04jt8w2u9z6w</x:v>
      </x:c>
    </x:row>
    <x:row r="186">
      <x:c r="A186" s="1" t="str">
        <x:v>legislation:arbitration act 1996 s 69</x:v>
      </x:c>
      <x:c r="B186" s="1" t="str">
        <x:v>legislation</x:v>
      </x:c>
      <x:c r="C186" s="15" t="str">
        <x:v>Arbitration Act 1996</x:v>
      </x:c>
      <x:c r="D186" s="15" t="str">
        <x:v>Arbitration Act 1996 s.69</x:v>
      </x:c>
      <x:c r="E186" s="15" t="n">
        <x:f>COUNTIF('Unique per draft'!$H$2:$H$474,A186)</x:f>
        <x:v>1</x:v>
      </x:c>
      <x:c r="F186" s="15" t="n">
        <x:f>COUNTIF('Occurrences'!$I$2:$I$722,A186)</x:f>
        <x:v>1</x:v>
      </x:c>
      <x:c r="G186" s="15" t="n">
        <x:f>COUNTIFS('Unique per draft'!$H$2:$H$474,A186,'Unique per draft'!$D$2:$D$474,"real")</x:f>
        <x:v>0</x:v>
      </x:c>
      <x:c r="H186" s="15" t="n">
        <x:f>COUNTIFS('Unique per draft'!$H$2:$H$474,A186,'Unique per draft'!$D$2:$D$474,"synthetic")</x:f>
        <x:v>1</x:v>
      </x:c>
      <x:c r="I186" s="15" t="str">
        <x:v>cmmcal70d000h04k3e11w997v</x:v>
      </x:c>
    </x:row>
    <x:row r="187">
      <x:c r="A187" s="1" t="str">
        <x:v>legislation:article 2 of the first protocol to the echr</x:v>
      </x:c>
      <x:c r="B187" s="1" t="str">
        <x:v>legislation</x:v>
      </x:c>
      <x:c r="C187" s="15" t="str">
        <x:v>Article 2 of the First Protocol to the ECHR</x:v>
      </x:c>
      <x:c r="D187" s="15" t="str">
        <x:v>Article 2 of the First Protocol to the ECHR</x:v>
      </x:c>
      <x:c r="E187" s="15" t="n">
        <x:f>COUNTIF('Unique per draft'!$H$2:$H$474,A187)</x:f>
        <x:v>1</x:v>
      </x:c>
      <x:c r="F187" s="15" t="n">
        <x:f>COUNTIF('Occurrences'!$I$2:$I$722,A187)</x:f>
        <x:v>1</x:v>
      </x:c>
      <x:c r="G187" s="15" t="n">
        <x:f>COUNTIFS('Unique per draft'!$H$2:$H$474,A187,'Unique per draft'!$D$2:$D$474,"real")</x:f>
        <x:v>1</x:v>
      </x:c>
      <x:c r="H187" s="15" t="n">
        <x:f>COUNTIFS('Unique per draft'!$H$2:$H$474,A187,'Unique per draft'!$D$2:$D$474,"synthetic")</x:f>
        <x:v>0</x:v>
      </x:c>
      <x:c r="I187" s="15" t="str">
        <x:v>cmmc4a8zu000h04jx2w3r0hzo</x:v>
      </x:c>
    </x:row>
    <x:row r="188">
      <x:c r="A188" s="1" t="str">
        <x:v>legislation:as per senior courts act 1981 s 35a</x:v>
      </x:c>
      <x:c r="B188" s="1" t="str">
        <x:v>legislation</x:v>
      </x:c>
      <x:c r="C188" s="15" t="str">
        <x:v>as per Senior Courts Act 1981, s.35A</x:v>
      </x:c>
      <x:c r="D188" s="15" t="str">
        <x:v>as per Senior Courts Act 1981, s.35A</x:v>
      </x:c>
      <x:c r="E188" s="15" t="n">
        <x:f>COUNTIF('Unique per draft'!$H$2:$H$474,A188)</x:f>
        <x:v>1</x:v>
      </x:c>
      <x:c r="F188" s="15" t="n">
        <x:f>COUNTIF('Occurrences'!$I$2:$I$722,A188)</x:f>
        <x:v>1</x:v>
      </x:c>
      <x:c r="G188" s="15" t="n">
        <x:f>COUNTIFS('Unique per draft'!$H$2:$H$474,A188,'Unique per draft'!$D$2:$D$474,"real")</x:f>
        <x:v>0</x:v>
      </x:c>
      <x:c r="H188" s="15" t="n">
        <x:f>COUNTIFS('Unique per draft'!$H$2:$H$474,A188,'Unique per draft'!$D$2:$D$474,"synthetic")</x:f>
        <x:v>1</x:v>
      </x:c>
      <x:c r="I188" s="15" t="str">
        <x:v>cmmc2zaji000h04l23a3cp61p</x:v>
      </x:c>
    </x:row>
    <x:row r="189">
      <x:c r="A189" s="1" t="str">
        <x:v>legislation:civil aviation working time regulations 2004 regulation 2</x:v>
      </x:c>
      <x:c r="B189" s="1" t="str">
        <x:v>legislation</x:v>
      </x:c>
      <x:c r="C189" s="15" t="str">
        <x:v>Civil Aviation (Working Time) Regulations 2004</x:v>
      </x:c>
      <x:c r="D189" s="15" t="str">
        <x:v>Civil Aviation (Working Time) Regulations 2004 Regulation 2</x:v>
      </x:c>
      <x:c r="E189" s="15" t="n">
        <x:f>COUNTIF('Unique per draft'!$H$2:$H$474,A189)</x:f>
        <x:v>1</x:v>
      </x:c>
      <x:c r="F189" s="15" t="n">
        <x:f>COUNTIF('Occurrences'!$I$2:$I$722,A189)</x:f>
        <x:v>1</x:v>
      </x:c>
      <x:c r="G189" s="15" t="n">
        <x:f>COUNTIFS('Unique per draft'!$H$2:$H$474,A189,'Unique per draft'!$D$2:$D$474,"real")</x:f>
        <x:v>1</x:v>
      </x:c>
      <x:c r="H189" s="15" t="n">
        <x:f>COUNTIFS('Unique per draft'!$H$2:$H$474,A189,'Unique per draft'!$D$2:$D$474,"synthetic")</x:f>
        <x:v>0</x:v>
      </x:c>
      <x:c r="I189" s="15" t="str">
        <x:v>cmsbskr86000h04ji5a4thcht</x:v>
      </x:c>
    </x:row>
    <x:row r="190">
      <x:c r="A190" s="1" t="str">
        <x:v>legislation:civil procedure rules part 52</x:v>
      </x:c>
      <x:c r="B190" s="1" t="str">
        <x:v>legislation</x:v>
      </x:c>
      <x:c r="C190" s="15" t="str">
        <x:v>Civil Procedure Rules</x:v>
      </x:c>
      <x:c r="D190" s="15" t="str">
        <x:v>Civil Procedure Rules Part 52</x:v>
      </x:c>
      <x:c r="E190" s="15" t="n">
        <x:f>COUNTIF('Unique per draft'!$H$2:$H$474,A190)</x:f>
        <x:v>2</x:v>
      </x:c>
      <x:c r="F190" s="15" t="n">
        <x:f>COUNTIF('Occurrences'!$I$2:$I$722,A190)</x:f>
        <x:v>3</x:v>
      </x:c>
      <x:c r="G190" s="15" t="n">
        <x:f>COUNTIFS('Unique per draft'!$H$2:$H$474,A190,'Unique per draft'!$D$2:$D$474,"real")</x:f>
        <x:v>1</x:v>
      </x:c>
      <x:c r="H190" s="15" t="n">
        <x:f>COUNTIFS('Unique per draft'!$H$2:$H$474,A190,'Unique per draft'!$D$2:$D$474,"synthetic")</x:f>
        <x:v>1</x:v>
      </x:c>
      <x:c r="I190" s="15" t="str">
        <x:v>cmmxktfx8000904johoqmmfkm | cmst49zw4001104l7neqlaa0v</x:v>
      </x:c>
    </x:row>
    <x:row r="191">
      <x:c r="A191" s="1" t="str">
        <x:v>legislation:cobs regulations</x:v>
      </x:c>
      <x:c r="B191" s="1" t="str">
        <x:v>legislation</x:v>
      </x:c>
      <x:c r="C191" s="15" t="str">
        <x:v>COBS regulations</x:v>
      </x:c>
      <x:c r="D191" s="15" t="str">
        <x:v>COBS regulations</x:v>
      </x:c>
      <x:c r="E191" s="15" t="n">
        <x:f>COUNTIF('Unique per draft'!$H$2:$H$474,A191)</x:f>
        <x:v>1</x:v>
      </x:c>
      <x:c r="F191" s="15" t="n">
        <x:f>COUNTIF('Occurrences'!$I$2:$I$722,A191)</x:f>
        <x:v>1</x:v>
      </x:c>
      <x:c r="G191" s="15" t="n">
        <x:f>COUNTIFS('Unique per draft'!$H$2:$H$474,A191,'Unique per draft'!$D$2:$D$474,"real")</x:f>
        <x:v>0</x:v>
      </x:c>
      <x:c r="H191" s="15" t="n">
        <x:f>COUNTIFS('Unique per draft'!$H$2:$H$474,A191,'Unique per draft'!$D$2:$D$474,"synthetic")</x:f>
        <x:v>1</x:v>
      </x:c>
      <x:c r="I191" s="15" t="str">
        <x:v>cmst45vlc000h04l7f6nlqawg</x:v>
      </x:c>
    </x:row>
    <x:row r="192">
      <x:c r="A192" s="1" t="str">
        <x:v>legislation:conduct of business sourcebook cobs various</x:v>
      </x:c>
      <x:c r="B192" s="1" t="str">
        <x:v>legislation</x:v>
      </x:c>
      <x:c r="C192" s="15" t="str">
        <x:v>Conduct of Business Sourcebook (COBS)</x:v>
      </x:c>
      <x:c r="D192" s="15" t="str">
        <x:v>Conduct of Business Sourcebook (COBS) Various</x:v>
      </x:c>
      <x:c r="E192" s="15" t="n">
        <x:f>COUNTIF('Unique per draft'!$H$2:$H$474,A192)</x:f>
        <x:v>1</x:v>
      </x:c>
      <x:c r="F192" s="15" t="n">
        <x:f>COUNTIF('Occurrences'!$I$2:$I$722,A192)</x:f>
        <x:v>1</x:v>
      </x:c>
      <x:c r="G192" s="15" t="n">
        <x:f>COUNTIFS('Unique per draft'!$H$2:$H$474,A192,'Unique per draft'!$D$2:$D$474,"real")</x:f>
        <x:v>0</x:v>
      </x:c>
      <x:c r="H192" s="15" t="n">
        <x:f>COUNTIFS('Unique per draft'!$H$2:$H$474,A192,'Unique per draft'!$D$2:$D$474,"synthetic")</x:f>
        <x:v>1</x:v>
      </x:c>
      <x:c r="I192" s="15" t="str">
        <x:v>cmst45vlc000h04l7f6nlqawg</x:v>
      </x:c>
    </x:row>
    <x:row r="193">
      <x:c r="A193" s="1" t="str">
        <x:v>legislation:corporation tax act 2010 s 356l</x:v>
      </x:c>
      <x:c r="B193" s="1" t="str">
        <x:v>legislation</x:v>
      </x:c>
      <x:c r="C193" s="15" t="str">
        <x:v>Corporation Tax Act 2010</x:v>
      </x:c>
      <x:c r="D193" s="15" t="str">
        <x:v>Corporation Tax Act 2010 s.356L</x:v>
      </x:c>
      <x:c r="E193" s="15" t="n">
        <x:f>COUNTIF('Unique per draft'!$H$2:$H$474,A193)</x:f>
        <x:v>1</x:v>
      </x:c>
      <x:c r="F193" s="15" t="n">
        <x:f>COUNTIF('Occurrences'!$I$2:$I$722,A193)</x:f>
        <x:v>1</x:v>
      </x:c>
      <x:c r="G193" s="15" t="n">
        <x:f>COUNTIFS('Unique per draft'!$H$2:$H$474,A193,'Unique per draft'!$D$2:$D$474,"real")</x:f>
        <x:v>0</x:v>
      </x:c>
      <x:c r="H193" s="15" t="n">
        <x:f>COUNTIFS('Unique per draft'!$H$2:$H$474,A193,'Unique per draft'!$D$2:$D$474,"synthetic")</x:f>
        <x:v>1</x:v>
      </x:c>
      <x:c r="I193" s="15" t="str">
        <x:v>cmlzpblc7000304jv62ixuvp8</x:v>
      </x:c>
    </x:row>
    <x:row r="194">
      <x:c r="A194" s="1" t="str">
        <x:v>legislation:corporation tax act 2010 s 356la</x:v>
      </x:c>
      <x:c r="B194" s="1" t="str">
        <x:v>legislation</x:v>
      </x:c>
      <x:c r="C194" s="15" t="str">
        <x:v>Corporation Tax Act 2010</x:v>
      </x:c>
      <x:c r="D194" s="15" t="str">
        <x:v>Corporation Tax Act 2010 s.356LA</x:v>
      </x:c>
      <x:c r="E194" s="15" t="n">
        <x:f>COUNTIF('Unique per draft'!$H$2:$H$474,A194)</x:f>
        <x:v>1</x:v>
      </x:c>
      <x:c r="F194" s="15" t="n">
        <x:f>COUNTIF('Occurrences'!$I$2:$I$722,A194)</x:f>
        <x:v>1</x:v>
      </x:c>
      <x:c r="G194" s="15" t="n">
        <x:f>COUNTIFS('Unique per draft'!$H$2:$H$474,A194,'Unique per draft'!$D$2:$D$474,"real")</x:f>
        <x:v>0</x:v>
      </x:c>
      <x:c r="H194" s="15" t="n">
        <x:f>COUNTIFS('Unique per draft'!$H$2:$H$474,A194,'Unique per draft'!$D$2:$D$474,"synthetic")</x:f>
        <x:v>1</x:v>
      </x:c>
      <x:c r="I194" s="15" t="str">
        <x:v>cmlzpblc7000304jv62ixuvp8</x:v>
      </x:c>
    </x:row>
    <x:row r="195">
      <x:c r="A195" s="1" t="str">
        <x:v>legislation:corporation tax act 2010 356k to 356l</x:v>
      </x:c>
      <x:c r="B195" s="1" t="str">
        <x:v>legislation</x:v>
      </x:c>
      <x:c r="C195" s="15" t="str">
        <x:v>Corporation Tax Act 2010</x:v>
      </x:c>
      <x:c r="D195" s="15" t="str">
        <x:v>Corporation Tax Act 2010 356K to 356L</x:v>
      </x:c>
      <x:c r="E195" s="15" t="n">
        <x:f>COUNTIF('Unique per draft'!$H$2:$H$474,A195)</x:f>
        <x:v>1</x:v>
      </x:c>
      <x:c r="F195" s="15" t="n">
        <x:f>COUNTIF('Occurrences'!$I$2:$I$722,A195)</x:f>
        <x:v>1</x:v>
      </x:c>
      <x:c r="G195" s="15" t="n">
        <x:f>COUNTIFS('Unique per draft'!$H$2:$H$474,A195,'Unique per draft'!$D$2:$D$474,"real")</x:f>
        <x:v>0</x:v>
      </x:c>
      <x:c r="H195" s="15" t="n">
        <x:f>COUNTIFS('Unique per draft'!$H$2:$H$474,A195,'Unique per draft'!$D$2:$D$474,"synthetic")</x:f>
        <x:v>1</x:v>
      </x:c>
      <x:c r="I195" s="15" t="str">
        <x:v>cmmc2zaji000h04l23a3cp61p</x:v>
      </x:c>
    </x:row>
    <x:row r="196">
      <x:c r="A196" s="1" t="str">
        <x:v>legislation:corporation tax act 2010 part 8za</x:v>
      </x:c>
      <x:c r="B196" s="1" t="str">
        <x:v>legislation</x:v>
      </x:c>
      <x:c r="C196" s="15" t="str">
        <x:v>Corporation Tax Act 2010</x:v>
      </x:c>
      <x:c r="D196" s="15" t="str">
        <x:v>Corporation Tax Act 2010 Part 8ZA</x:v>
      </x:c>
      <x:c r="E196" s="15" t="n">
        <x:f>COUNTIF('Unique per draft'!$H$2:$H$474,A196)</x:f>
        <x:v>2</x:v>
      </x:c>
      <x:c r="F196" s="15" t="n">
        <x:f>COUNTIF('Occurrences'!$I$2:$I$722,A196)</x:f>
        <x:v>2</x:v>
      </x:c>
      <x:c r="G196" s="15" t="n">
        <x:f>COUNTIFS('Unique per draft'!$H$2:$H$474,A196,'Unique per draft'!$D$2:$D$474,"real")</x:f>
        <x:v>0</x:v>
      </x:c>
      <x:c r="H196" s="15" t="n">
        <x:f>COUNTIFS('Unique per draft'!$H$2:$H$474,A196,'Unique per draft'!$D$2:$D$474,"synthetic")</x:f>
        <x:v>2</x:v>
      </x:c>
      <x:c r="I196" s="15" t="str">
        <x:v>cmmc2zaji000h04l23a3cp61p | cmmf22axa000h04jxcpnnecs0</x:v>
      </x:c>
    </x:row>
    <x:row r="197">
      <x:c r="A197" s="1" t="str">
        <x:v>legislation:cpr practice direction citation of authorities</x:v>
      </x:c>
      <x:c r="B197" s="1" t="str">
        <x:v>legislation</x:v>
      </x:c>
      <x:c r="C197" s="15" t="str">
        <x:v>CPR Practice Direction</x:v>
      </x:c>
      <x:c r="D197" s="15" t="str">
        <x:v>CPR Practice Direction Citation of Authorities</x:v>
      </x:c>
      <x:c r="E197" s="15" t="n">
        <x:f>COUNTIF('Unique per draft'!$H$2:$H$474,A197)</x:f>
        <x:v>1</x:v>
      </x:c>
      <x:c r="F197" s="15" t="n">
        <x:f>COUNTIF('Occurrences'!$I$2:$I$722,A197)</x:f>
        <x:v>1</x:v>
      </x:c>
      <x:c r="G197" s="15" t="n">
        <x:f>COUNTIFS('Unique per draft'!$H$2:$H$474,A197,'Unique per draft'!$D$2:$D$474,"real")</x:f>
        <x:v>1</x:v>
      </x:c>
      <x:c r="H197" s="15" t="n">
        <x:f>COUNTIFS('Unique per draft'!$H$2:$H$474,A197,'Unique per draft'!$D$2:$D$474,"synthetic")</x:f>
        <x:v>0</x:v>
      </x:c>
      <x:c r="I197" s="15" t="str">
        <x:v>cmsbt3hfa002904ji8k6b026n</x:v>
      </x:c>
    </x:row>
    <x:row r="198">
      <x:c r="A198" s="1" t="str">
        <x:v>legislation:cpr practice direction 52d</x:v>
      </x:c>
      <x:c r="B198" s="1" t="str">
        <x:v>legislation</x:v>
      </x:c>
      <x:c r="C198" s="15" t="str">
        <x:v>CPR Practice Direction 52D</x:v>
      </x:c>
      <x:c r="D198" s="15" t="str">
        <x:v>CPR Practice Direction 52D</x:v>
      </x:c>
      <x:c r="E198" s="15" t="n">
        <x:f>COUNTIF('Unique per draft'!$H$2:$H$474,A198)</x:f>
        <x:v>1</x:v>
      </x:c>
      <x:c r="F198" s="15" t="n">
        <x:f>COUNTIF('Occurrences'!$I$2:$I$722,A198)</x:f>
        <x:v>1</x:v>
      </x:c>
      <x:c r="G198" s="15" t="n">
        <x:f>COUNTIFS('Unique per draft'!$H$2:$H$474,A198,'Unique per draft'!$D$2:$D$474,"real")</x:f>
        <x:v>0</x:v>
      </x:c>
      <x:c r="H198" s="15" t="n">
        <x:f>COUNTIFS('Unique per draft'!$H$2:$H$474,A198,'Unique per draft'!$D$2:$D$474,"synthetic")</x:f>
        <x:v>1</x:v>
      </x:c>
      <x:c r="I198" s="15" t="str">
        <x:v>cmlzy9ss300fz04i80p2yfbg1</x:v>
      </x:c>
    </x:row>
    <x:row r="199">
      <x:c r="A199" s="1" t="str">
        <x:v>legislation:data protection act 2018 5 1 d</x:v>
      </x:c>
      <x:c r="B199" s="1" t="str">
        <x:v>legislation</x:v>
      </x:c>
      <x:c r="C199" s="15" t="str">
        <x:v>Data Protection Act 2018</x:v>
      </x:c>
      <x:c r="D199" s="15" t="str">
        <x:v>Data Protection Act 2018 5(1)(d)</x:v>
      </x:c>
      <x:c r="E199" s="15" t="n">
        <x:f>COUNTIF('Unique per draft'!$H$2:$H$474,A199)</x:f>
        <x:v>1</x:v>
      </x:c>
      <x:c r="F199" s="15" t="n">
        <x:f>COUNTIF('Occurrences'!$I$2:$I$722,A199)</x:f>
        <x:v>1</x:v>
      </x:c>
      <x:c r="G199" s="15" t="n">
        <x:f>COUNTIFS('Unique per draft'!$H$2:$H$474,A199,'Unique per draft'!$D$2:$D$474,"real")</x:f>
        <x:v>0</x:v>
      </x:c>
      <x:c r="H199" s="15" t="n">
        <x:f>COUNTIFS('Unique per draft'!$H$2:$H$474,A199,'Unique per draft'!$D$2:$D$474,"synthetic")</x:f>
        <x:v>1</x:v>
      </x:c>
      <x:c r="I199" s="15" t="str">
        <x:v>cmst80ckg000h04i9rasplurj</x:v>
      </x:c>
    </x:row>
    <x:row r="200">
      <x:c r="A200" s="1" t="str">
        <x:v>legislation:development management procedure order 2015 article 40 3 b</x:v>
      </x:c>
      <x:c r="B200" s="1" t="str">
        <x:v>legislation</x:v>
      </x:c>
      <x:c r="C200" s="15" t="str">
        <x:v>Development Management Procedure Order 2015</x:v>
      </x:c>
      <x:c r="D200" s="15" t="str">
        <x:v>Development Management Procedure Order 2015 Article 40(3)(b)</x:v>
      </x:c>
      <x:c r="E200" s="15" t="n">
        <x:f>COUNTIF('Unique per draft'!$H$2:$H$474,A200)</x:f>
        <x:v>1</x:v>
      </x:c>
      <x:c r="F200" s="15" t="n">
        <x:f>COUNTIF('Occurrences'!$I$2:$I$722,A200)</x:f>
        <x:v>1</x:v>
      </x:c>
      <x:c r="G200" s="15" t="n">
        <x:f>COUNTIFS('Unique per draft'!$H$2:$H$474,A200,'Unique per draft'!$D$2:$D$474,"real")</x:f>
        <x:v>1</x:v>
      </x:c>
      <x:c r="H200" s="15" t="n">
        <x:f>COUNTIFS('Unique per draft'!$H$2:$H$474,A200,'Unique per draft'!$D$2:$D$474,"synthetic")</x:f>
        <x:v>0</x:v>
      </x:c>
      <x:c r="I200" s="15" t="str">
        <x:v>cmsbr021t001104jndbjo02xo</x:v>
      </x:c>
    </x:row>
    <x:row r="201">
      <x:c r="A201" s="1" t="str">
        <x:v>legislation:employment rights act 1996 94</x:v>
      </x:c>
      <x:c r="B201" s="1" t="str">
        <x:v>legislation</x:v>
      </x:c>
      <x:c r="C201" s="15" t="str">
        <x:v>Employment Rights Act 1996</x:v>
      </x:c>
      <x:c r="D201" s="15" t="str">
        <x:v>Employment Rights Act 1996 94</x:v>
      </x:c>
      <x:c r="E201" s="15" t="n">
        <x:f>COUNTIF('Unique per draft'!$H$2:$H$474,A201)</x:f>
        <x:v>1</x:v>
      </x:c>
      <x:c r="F201" s="15" t="n">
        <x:f>COUNTIF('Occurrences'!$I$2:$I$722,A201)</x:f>
        <x:v>1</x:v>
      </x:c>
      <x:c r="G201" s="15" t="n">
        <x:f>COUNTIFS('Unique per draft'!$H$2:$H$474,A201,'Unique per draft'!$D$2:$D$474,"real")</x:f>
        <x:v>0</x:v>
      </x:c>
      <x:c r="H201" s="15" t="n">
        <x:f>COUNTIFS('Unique per draft'!$H$2:$H$474,A201,'Unique per draft'!$D$2:$D$474,"synthetic")</x:f>
        <x:v>1</x:v>
      </x:c>
      <x:c r="I201" s="15" t="str">
        <x:v>cmst419ew000k04ladhs06s0r</x:v>
      </x:c>
    </x:row>
    <x:row r="202">
      <x:c r="A202" s="1" t="str">
        <x:v>legislation:employment rights act 1996 103a</x:v>
      </x:c>
      <x:c r="B202" s="1" t="str">
        <x:v>legislation</x:v>
      </x:c>
      <x:c r="C202" s="15" t="str">
        <x:v>Employment Rights Act 1996</x:v>
      </x:c>
      <x:c r="D202" s="15" t="str">
        <x:v>Employment Rights Act 1996 103A</x:v>
      </x:c>
      <x:c r="E202" s="15" t="n">
        <x:f>COUNTIF('Unique per draft'!$H$2:$H$474,A202)</x:f>
        <x:v>1</x:v>
      </x:c>
      <x:c r="F202" s="15" t="n">
        <x:f>COUNTIF('Occurrences'!$I$2:$I$722,A202)</x:f>
        <x:v>1</x:v>
      </x:c>
      <x:c r="G202" s="15" t="n">
        <x:f>COUNTIFS('Unique per draft'!$H$2:$H$474,A202,'Unique per draft'!$D$2:$D$474,"real")</x:f>
        <x:v>0</x:v>
      </x:c>
      <x:c r="H202" s="15" t="n">
        <x:f>COUNTIFS('Unique per draft'!$H$2:$H$474,A202,'Unique per draft'!$D$2:$D$474,"synthetic")</x:f>
        <x:v>1</x:v>
      </x:c>
      <x:c r="I202" s="15" t="str">
        <x:v>cmst4fdgx001l04l7p4wrw7w7</x:v>
      </x:c>
    </x:row>
    <x:row r="203">
      <x:c r="A203" s="1" t="str">
        <x:v>legislation:employment rights act 1996 s 94</x:v>
      </x:c>
      <x:c r="B203" s="1" t="str">
        <x:v>legislation</x:v>
      </x:c>
      <x:c r="C203" s="15" t="str">
        <x:v>Employment Rights Act 1996, s.94</x:v>
      </x:c>
      <x:c r="D203" s="15" t="str">
        <x:v>Employment Rights Act 1996, s.94</x:v>
      </x:c>
      <x:c r="E203" s="15" t="n">
        <x:f>COUNTIF('Unique per draft'!$H$2:$H$474,A203)</x:f>
        <x:v>1</x:v>
      </x:c>
      <x:c r="F203" s="15" t="n">
        <x:f>COUNTIF('Occurrences'!$I$2:$I$722,A203)</x:f>
        <x:v>1</x:v>
      </x:c>
      <x:c r="G203" s="15" t="n">
        <x:f>COUNTIFS('Unique per draft'!$H$2:$H$474,A203,'Unique per draft'!$D$2:$D$474,"real")</x:f>
        <x:v>0</x:v>
      </x:c>
      <x:c r="H203" s="15" t="n">
        <x:f>COUNTIFS('Unique per draft'!$H$2:$H$474,A203,'Unique per draft'!$D$2:$D$474,"synthetic")</x:f>
        <x:v>1</x:v>
      </x:c>
      <x:c r="I203" s="15" t="str">
        <x:v>cmst419ew000k04ladhs06s0r</x:v>
      </x:c>
    </x:row>
    <x:row r="204">
      <x:c r="A204" s="1" t="str">
        <x:v>legislation:equality act 2010</x:v>
      </x:c>
      <x:c r="B204" s="1" t="str">
        <x:v>legislation</x:v>
      </x:c>
      <x:c r="C204" s="15" t="str">
        <x:v>Equality Act 2010</x:v>
      </x:c>
      <x:c r="D204" s="15" t="str">
        <x:v>Equality Act 2010</x:v>
      </x:c>
      <x:c r="E204" s="15" t="n">
        <x:f>COUNTIF('Unique per draft'!$H$2:$H$474,A204)</x:f>
        <x:v>1</x:v>
      </x:c>
      <x:c r="F204" s="15" t="n">
        <x:f>COUNTIF('Occurrences'!$I$2:$I$722,A204)</x:f>
        <x:v>1</x:v>
      </x:c>
      <x:c r="G204" s="15" t="n">
        <x:f>COUNTIFS('Unique per draft'!$H$2:$H$474,A204,'Unique per draft'!$D$2:$D$474,"real")</x:f>
        <x:v>1</x:v>
      </x:c>
      <x:c r="H204" s="15" t="n">
        <x:f>COUNTIFS('Unique per draft'!$H$2:$H$474,A204,'Unique per draft'!$D$2:$D$474,"synthetic")</x:f>
        <x:v>0</x:v>
      </x:c>
      <x:c r="I204" s="15" t="str">
        <x:v>cmsbsp3em001104ji2u62id7q</x:v>
      </x:c>
    </x:row>
    <x:row r="205">
      <x:c r="A205" s="1" t="str">
        <x:v>legislation:equality act 2010 s 57</x:v>
      </x:c>
      <x:c r="B205" s="1" t="str">
        <x:v>legislation</x:v>
      </x:c>
      <x:c r="C205" s="15" t="str">
        <x:v>Equality Act 2010</x:v>
      </x:c>
      <x:c r="D205" s="15" t="str">
        <x:v>Equality Act 2010 Section 57</x:v>
      </x:c>
      <x:c r="E205" s="15" t="n">
        <x:f>COUNTIF('Unique per draft'!$H$2:$H$474,A205)</x:f>
        <x:v>1</x:v>
      </x:c>
      <x:c r="F205" s="15" t="n">
        <x:f>COUNTIF('Occurrences'!$I$2:$I$722,A205)</x:f>
        <x:v>1</x:v>
      </x:c>
      <x:c r="G205" s="15" t="n">
        <x:f>COUNTIFS('Unique per draft'!$H$2:$H$474,A205,'Unique per draft'!$D$2:$D$474,"real")</x:f>
        <x:v>1</x:v>
      </x:c>
      <x:c r="H205" s="15" t="n">
        <x:f>COUNTIFS('Unique per draft'!$H$2:$H$474,A205,'Unique per draft'!$D$2:$D$474,"synthetic")</x:f>
        <x:v>0</x:v>
      </x:c>
      <x:c r="I205" s="15" t="str">
        <x:v>cmsbsp3em001104ji2u62id7q</x:v>
      </x:c>
    </x:row>
    <x:row r="206">
      <x:c r="A206" s="1" t="str">
        <x:v>legislation:equality act 2010 13</x:v>
      </x:c>
      <x:c r="B206" s="1" t="str">
        <x:v>legislation</x:v>
      </x:c>
      <x:c r="C206" s="15" t="str">
        <x:v>Equality Act 2010</x:v>
      </x:c>
      <x:c r="D206" s="15" t="str">
        <x:v>Equality Act 2010 13</x:v>
      </x:c>
      <x:c r="E206" s="15" t="n">
        <x:f>COUNTIF('Unique per draft'!$H$2:$H$474,A206)</x:f>
        <x:v>1</x:v>
      </x:c>
      <x:c r="F206" s="15" t="n">
        <x:f>COUNTIF('Occurrences'!$I$2:$I$722,A206)</x:f>
        <x:v>1</x:v>
      </x:c>
      <x:c r="G206" s="15" t="n">
        <x:f>COUNTIFS('Unique per draft'!$H$2:$H$474,A206,'Unique per draft'!$D$2:$D$474,"real")</x:f>
        <x:v>0</x:v>
      </x:c>
      <x:c r="H206" s="15" t="n">
        <x:f>COUNTIFS('Unique per draft'!$H$2:$H$474,A206,'Unique per draft'!$D$2:$D$474,"synthetic")</x:f>
        <x:v>1</x:v>
      </x:c>
      <x:c r="I206" s="15" t="str">
        <x:v>cmst419ew000k04ladhs06s0r</x:v>
      </x:c>
    </x:row>
    <x:row r="207">
      <x:c r="A207" s="1" t="str">
        <x:v>legislation:equality act 2010 s 13</x:v>
      </x:c>
      <x:c r="B207" s="1" t="str">
        <x:v>legislation</x:v>
      </x:c>
      <x:c r="C207" s="15" t="str">
        <x:v>Equality Act 2010, s.13</x:v>
      </x:c>
      <x:c r="D207" s="15" t="str">
        <x:v>Equality Act 2010, s.13</x:v>
      </x:c>
      <x:c r="E207" s="15" t="n">
        <x:f>COUNTIF('Unique per draft'!$H$2:$H$474,A207)</x:f>
        <x:v>1</x:v>
      </x:c>
      <x:c r="F207" s="15" t="n">
        <x:f>COUNTIF('Occurrences'!$I$2:$I$722,A207)</x:f>
        <x:v>1</x:v>
      </x:c>
      <x:c r="G207" s="15" t="n">
        <x:f>COUNTIFS('Unique per draft'!$H$2:$H$474,A207,'Unique per draft'!$D$2:$D$474,"real")</x:f>
        <x:v>0</x:v>
      </x:c>
      <x:c r="H207" s="15" t="n">
        <x:f>COUNTIFS('Unique per draft'!$H$2:$H$474,A207,'Unique per draft'!$D$2:$D$474,"synthetic")</x:f>
        <x:v>1</x:v>
      </x:c>
      <x:c r="I207" s="15" t="str">
        <x:v>cmst419ew000k04ladhs06s0r</x:v>
      </x:c>
    </x:row>
    <x:row r="208">
      <x:c r="A208" s="1" t="str">
        <x:v>legislation:european convention on human rights article 2 protocol 1</x:v>
      </x:c>
      <x:c r="B208" s="1" t="str">
        <x:v>legislation</x:v>
      </x:c>
      <x:c r="C208" s="15" t="str">
        <x:v>European Convention on Human Rights</x:v>
      </x:c>
      <x:c r="D208" s="15" t="str">
        <x:v>European Convention on Human Rights Article 2 Protocol 1</x:v>
      </x:c>
      <x:c r="E208" s="15" t="n">
        <x:f>COUNTIF('Unique per draft'!$H$2:$H$474,A208)</x:f>
        <x:v>1</x:v>
      </x:c>
      <x:c r="F208" s="15" t="n">
        <x:f>COUNTIF('Occurrences'!$I$2:$I$722,A208)</x:f>
        <x:v>1</x:v>
      </x:c>
      <x:c r="G208" s="15" t="n">
        <x:f>COUNTIFS('Unique per draft'!$H$2:$H$474,A208,'Unique per draft'!$D$2:$D$474,"real")</x:f>
        <x:v>0</x:v>
      </x:c>
      <x:c r="H208" s="15" t="n">
        <x:f>COUNTIFS('Unique per draft'!$H$2:$H$474,A208,'Unique per draft'!$D$2:$D$474,"synthetic")</x:f>
        <x:v>1</x:v>
      </x:c>
      <x:c r="I208" s="15" t="str">
        <x:v>cmm3b1g6j000j04jt8w2u9z6w</x:v>
      </x:c>
    </x:row>
    <x:row r="209">
      <x:c r="A209" s="1" t="str">
        <x:v>legislation:european convention on human rights article 2 of the first protocol</x:v>
      </x:c>
      <x:c r="B209" s="1" t="str">
        <x:v>legislation</x:v>
      </x:c>
      <x:c r="C209" s="15" t="str">
        <x:v>European Convention on Human Rights</x:v>
      </x:c>
      <x:c r="D209" s="15" t="str">
        <x:v>European Convention on Human Rights Article 2 of the First Protocol</x:v>
      </x:c>
      <x:c r="E209" s="15" t="n">
        <x:f>COUNTIF('Unique per draft'!$H$2:$H$474,A209)</x:f>
        <x:v>1</x:v>
      </x:c>
      <x:c r="F209" s="15" t="n">
        <x:f>COUNTIF('Occurrences'!$I$2:$I$722,A209)</x:f>
        <x:v>1</x:v>
      </x:c>
      <x:c r="G209" s="15" t="n">
        <x:f>COUNTIFS('Unique per draft'!$H$2:$H$474,A209,'Unique per draft'!$D$2:$D$474,"real")</x:f>
        <x:v>1</x:v>
      </x:c>
      <x:c r="H209" s="15" t="n">
        <x:f>COUNTIFS('Unique per draft'!$H$2:$H$474,A209,'Unique per draft'!$D$2:$D$474,"synthetic")</x:f>
        <x:v>0</x:v>
      </x:c>
      <x:c r="I209" s="15" t="str">
        <x:v>cmmjtnsdx000904l4vhap8xwc</x:v>
      </x:c>
    </x:row>
    <x:row r="210">
      <x:c r="A210" s="1" t="str">
        <x:v>legislation:european convention on human rights article 2 of protocol 1</x:v>
      </x:c>
      <x:c r="B210" s="1" t="str">
        <x:v>legislation</x:v>
      </x:c>
      <x:c r="C210" s="15" t="str">
        <x:v>European Convention on Human Rights</x:v>
      </x:c>
      <x:c r="D210" s="15" t="str">
        <x:v>European Convention on Human Rights Article 2 of Protocol 1</x:v>
      </x:c>
      <x:c r="E210" s="15" t="n">
        <x:f>COUNTIF('Unique per draft'!$H$2:$H$474,A210)</x:f>
        <x:v>1</x:v>
      </x:c>
      <x:c r="F210" s="15" t="n">
        <x:f>COUNTIF('Occurrences'!$I$2:$I$722,A210)</x:f>
        <x:v>1</x:v>
      </x:c>
      <x:c r="G210" s="15" t="n">
        <x:f>COUNTIFS('Unique per draft'!$H$2:$H$474,A210,'Unique per draft'!$D$2:$D$474,"real")</x:f>
        <x:v>1</x:v>
      </x:c>
      <x:c r="H210" s="15" t="n">
        <x:f>COUNTIFS('Unique per draft'!$H$2:$H$474,A210,'Unique per draft'!$D$2:$D$474,"synthetic")</x:f>
        <x:v>0</x:v>
      </x:c>
      <x:c r="I210" s="15" t="str">
        <x:v>cmmrr64va000h04jvzuquhz2y</x:v>
      </x:c>
    </x:row>
    <x:row r="211">
      <x:c r="A211" s="1" t="str">
        <x:v>legislation:european convention on human rights echr article 2 of the first protocol a2p1</x:v>
      </x:c>
      <x:c r="B211" s="1" t="str">
        <x:v>legislation</x:v>
      </x:c>
      <x:c r="C211" s="15" t="str">
        <x:v>European Convention on Human Rights (ECHR)</x:v>
      </x:c>
      <x:c r="D211" s="15" t="str">
        <x:v>European Convention on Human Rights (ECHR) Article 2 of the First Protocol (A2P1)</x:v>
      </x:c>
      <x:c r="E211" s="15" t="n">
        <x:f>COUNTIF('Unique per draft'!$H$2:$H$474,A211)</x:f>
        <x:v>1</x:v>
      </x:c>
      <x:c r="F211" s="15" t="n">
        <x:f>COUNTIF('Occurrences'!$I$2:$I$722,A211)</x:f>
        <x:v>1</x:v>
      </x:c>
      <x:c r="G211" s="15" t="n">
        <x:f>COUNTIFS('Unique per draft'!$H$2:$H$474,A211,'Unique per draft'!$D$2:$D$474,"real")</x:f>
        <x:v>1</x:v>
      </x:c>
      <x:c r="H211" s="15" t="n">
        <x:f>COUNTIFS('Unique per draft'!$H$2:$H$474,A211,'Unique per draft'!$D$2:$D$474,"synthetic")</x:f>
        <x:v>0</x:v>
      </x:c>
      <x:c r="I211" s="15" t="str">
        <x:v>cmsbqvqsj000h04jnb8tn656h</x:v>
      </x:c>
    </x:row>
    <x:row r="212">
      <x:c r="A212" s="1" t="str">
        <x:v>legislation:financial services and markets act 2000 s 1 5</x:v>
      </x:c>
      <x:c r="B212" s="1" t="str">
        <x:v>legislation</x:v>
      </x:c>
      <x:c r="C212" s="15" t="str">
        <x:v>Financial Services and Markets Act 2000</x:v>
      </x:c>
      <x:c r="D212" s="15" t="str">
        <x:v>Financial Services and Markets Act 2000 Section 1-5</x:v>
      </x:c>
      <x:c r="E212" s="15" t="n">
        <x:f>COUNTIF('Unique per draft'!$H$2:$H$474,A212)</x:f>
        <x:v>1</x:v>
      </x:c>
      <x:c r="F212" s="15" t="n">
        <x:f>COUNTIF('Occurrences'!$I$2:$I$722,A212)</x:f>
        <x:v>1</x:v>
      </x:c>
      <x:c r="G212" s="15" t="n">
        <x:f>COUNTIFS('Unique per draft'!$H$2:$H$474,A212,'Unique per draft'!$D$2:$D$474,"real")</x:f>
        <x:v>0</x:v>
      </x:c>
      <x:c r="H212" s="15" t="n">
        <x:f>COUNTIFS('Unique per draft'!$H$2:$H$474,A212,'Unique per draft'!$D$2:$D$474,"synthetic")</x:f>
        <x:v>1</x:v>
      </x:c>
      <x:c r="I212" s="15" t="str">
        <x:v>cmst45vlc000h04l7f6nlqawg</x:v>
      </x:c>
    </x:row>
    <x:row r="213">
      <x:c r="A213" s="1" t="str">
        <x:v>legislation:financial services and markets act 2000 138d</x:v>
      </x:c>
      <x:c r="B213" s="1" t="str">
        <x:v>legislation</x:v>
      </x:c>
      <x:c r="C213" s="15" t="str">
        <x:v>Financial Services and Markets Act 2000</x:v>
      </x:c>
      <x:c r="D213" s="15" t="str">
        <x:v>Financial Services and Markets Act 2000 138D</x:v>
      </x:c>
      <x:c r="E213" s="15" t="n">
        <x:f>COUNTIF('Unique per draft'!$H$2:$H$474,A213)</x:f>
        <x:v>1</x:v>
      </x:c>
      <x:c r="F213" s="15" t="n">
        <x:f>COUNTIF('Occurrences'!$I$2:$I$722,A213)</x:f>
        <x:v>1</x:v>
      </x:c>
      <x:c r="G213" s="15" t="n">
        <x:f>COUNTIFS('Unique per draft'!$H$2:$H$474,A213,'Unique per draft'!$D$2:$D$474,"real")</x:f>
        <x:v>0</x:v>
      </x:c>
      <x:c r="H213" s="15" t="n">
        <x:f>COUNTIFS('Unique per draft'!$H$2:$H$474,A213,'Unique per draft'!$D$2:$D$474,"synthetic")</x:f>
        <x:v>1</x:v>
      </x:c>
      <x:c r="I213" s="15" t="str">
        <x:v>cmst7uoeu00d804l5ayb3b9q8</x:v>
      </x:c>
    </x:row>
    <x:row r="214">
      <x:c r="A214" s="1" t="str">
        <x:v>legislation:highways act 1980 41</x:v>
      </x:c>
      <x:c r="B214" s="1" t="str">
        <x:v>legislation</x:v>
      </x:c>
      <x:c r="C214" s="15" t="str">
        <x:v>Highways Act 1980</x:v>
      </x:c>
      <x:c r="D214" s="15" t="str">
        <x:v>Highways Act 1980 41</x:v>
      </x:c>
      <x:c r="E214" s="15" t="n">
        <x:f>COUNTIF('Unique per draft'!$H$2:$H$474,A214)</x:f>
        <x:v>5</x:v>
      </x:c>
      <x:c r="F214" s="15" t="n">
        <x:f>COUNTIF('Occurrences'!$I$2:$I$722,A214)</x:f>
        <x:v>5</x:v>
      </x:c>
      <x:c r="G214" s="15" t="n">
        <x:f>COUNTIFS('Unique per draft'!$H$2:$H$474,A214,'Unique per draft'!$D$2:$D$474,"real")</x:f>
        <x:v>4</x:v>
      </x:c>
      <x:c r="H214" s="15" t="n">
        <x:f>COUNTIFS('Unique per draft'!$H$2:$H$474,A214,'Unique per draft'!$D$2:$D$474,"synthetic")</x:f>
        <x:v>1</x:v>
      </x:c>
      <x:c r="I214" s="15" t="str">
        <x:v>cmlzrzxca000304l2qk1vevzx | cmmsi1xqb000h04jsef3v6skf | cmmxpdot1000h04i8q3aleh7a | cmsbracw1001r04l4az8ukhd1 | cmsbrc37v001x04l4t7r77h89</x:v>
      </x:c>
    </x:row>
    <x:row r="215">
      <x:c r="A215" s="1" t="str">
        <x:v>legislation:highways act 1980 58</x:v>
      </x:c>
      <x:c r="B215" s="1" t="str">
        <x:v>legislation</x:v>
      </x:c>
      <x:c r="C215" s="15" t="str">
        <x:v>Highways Act 1980</x:v>
      </x:c>
      <x:c r="D215" s="15" t="str">
        <x:v>Highways Act 1980 58</x:v>
      </x:c>
      <x:c r="E215" s="15" t="n">
        <x:f>COUNTIF('Unique per draft'!$H$2:$H$474,A215)</x:f>
        <x:v>5</x:v>
      </x:c>
      <x:c r="F215" s="15" t="n">
        <x:f>COUNTIF('Occurrences'!$I$2:$I$722,A215)</x:f>
        <x:v>5</x:v>
      </x:c>
      <x:c r="G215" s="15" t="n">
        <x:f>COUNTIFS('Unique per draft'!$H$2:$H$474,A215,'Unique per draft'!$D$2:$D$474,"real")</x:f>
        <x:v>4</x:v>
      </x:c>
      <x:c r="H215" s="15" t="n">
        <x:f>COUNTIFS('Unique per draft'!$H$2:$H$474,A215,'Unique per draft'!$D$2:$D$474,"synthetic")</x:f>
        <x:v>1</x:v>
      </x:c>
      <x:c r="I215" s="15" t="str">
        <x:v>cmlzrzxca000304l2qk1vevzx | cmmsi1xqb000h04jsef3v6skf | cmmxpdot1000h04i8q3aleh7a | cmsbracw1001r04l4az8ukhd1 | cmsbrc37v001x04l4t7r77h89</x:v>
      </x:c>
    </x:row>
    <x:row r="216">
      <x:c r="A216" s="1" t="str">
        <x:v>legislation:highways act 1980 s 41</x:v>
      </x:c>
      <x:c r="B216" s="1" t="str">
        <x:v>legislation</x:v>
      </x:c>
      <x:c r="C216" s="15" t="str">
        <x:v>Highways Act 1980, Section 41</x:v>
      </x:c>
      <x:c r="D216" s="15" t="str">
        <x:v>Highways Act 1980, Section 41</x:v>
      </x:c>
      <x:c r="E216" s="15" t="n">
        <x:f>COUNTIF('Unique per draft'!$H$2:$H$474,A216)</x:f>
        <x:v>3</x:v>
      </x:c>
      <x:c r="F216" s="15" t="n">
        <x:f>COUNTIF('Occurrences'!$I$2:$I$722,A216)</x:f>
        <x:v>4</x:v>
      </x:c>
      <x:c r="G216" s="15" t="n">
        <x:f>COUNTIFS('Unique per draft'!$H$2:$H$474,A216,'Unique per draft'!$D$2:$D$474,"real")</x:f>
        <x:v>3</x:v>
      </x:c>
      <x:c r="H216" s="15" t="n">
        <x:f>COUNTIFS('Unique per draft'!$H$2:$H$474,A216,'Unique per draft'!$D$2:$D$474,"synthetic")</x:f>
        <x:v>0</x:v>
      </x:c>
      <x:c r="I216" s="15" t="str">
        <x:v>cmmsi1xqb000h04jsef3v6skf | cmmxgyd9z000h04kttryogau2 | cmmxktfx8000904johoqmmfkm</x:v>
      </x:c>
    </x:row>
    <x:row r="217">
      <x:c r="A217" s="1" t="str">
        <x:v>legislation:highways act 1980 s 58</x:v>
      </x:c>
      <x:c r="B217" s="1" t="str">
        <x:v>legislation</x:v>
      </x:c>
      <x:c r="C217" s="15" t="str">
        <x:v>Highways Act 1980, Section 58</x:v>
      </x:c>
      <x:c r="D217" s="15" t="str">
        <x:v>Highways Act 1980, Section 58</x:v>
      </x:c>
      <x:c r="E217" s="15" t="n">
        <x:f>COUNTIF('Unique per draft'!$H$2:$H$474,A217)</x:f>
        <x:v>4</x:v>
      </x:c>
      <x:c r="F217" s="15" t="n">
        <x:f>COUNTIF('Occurrences'!$I$2:$I$722,A217)</x:f>
        <x:v>7</x:v>
      </x:c>
      <x:c r="G217" s="15" t="n">
        <x:f>COUNTIFS('Unique per draft'!$H$2:$H$474,A217,'Unique per draft'!$D$2:$D$474,"real")</x:f>
        <x:v>4</x:v>
      </x:c>
      <x:c r="H217" s="15" t="n">
        <x:f>COUNTIFS('Unique per draft'!$H$2:$H$474,A217,'Unique per draft'!$D$2:$D$474,"synthetic")</x:f>
        <x:v>0</x:v>
      </x:c>
      <x:c r="I217" s="15" t="str">
        <x:v>cmmsi1xqb000h04jsef3v6skf | cmmsiews2000304lgc3ooyg67 | cmmxgyd9z000h04kttryogau2 | cmmxktfx8000904johoqmmfkm</x:v>
      </x:c>
    </x:row>
    <x:row r="218">
      <x:c r="A218" s="1" t="str">
        <x:v>legislation:human rights act 1998 2 1</x:v>
      </x:c>
      <x:c r="B218" s="1" t="str">
        <x:v>legislation</x:v>
      </x:c>
      <x:c r="C218" s="15" t="str">
        <x:v>Human Rights Act 1998</x:v>
      </x:c>
      <x:c r="D218" s="15" t="str">
        <x:v>Human Rights Act 1998 2 (1)</x:v>
      </x:c>
      <x:c r="E218" s="15" t="n">
        <x:f>COUNTIF('Unique per draft'!$H$2:$H$474,A218)</x:f>
        <x:v>1</x:v>
      </x:c>
      <x:c r="F218" s="15" t="n">
        <x:f>COUNTIF('Occurrences'!$I$2:$I$722,A218)</x:f>
        <x:v>1</x:v>
      </x:c>
      <x:c r="G218" s="15" t="n">
        <x:f>COUNTIFS('Unique per draft'!$H$2:$H$474,A218,'Unique per draft'!$D$2:$D$474,"real")</x:f>
        <x:v>1</x:v>
      </x:c>
      <x:c r="H218" s="15" t="n">
        <x:f>COUNTIFS('Unique per draft'!$H$2:$H$474,A218,'Unique per draft'!$D$2:$D$474,"synthetic")</x:f>
        <x:v>0</x:v>
      </x:c>
      <x:c r="I218" s="15" t="str">
        <x:v>cmmc4a8zu000h04jx2w3r0hzo</x:v>
      </x:c>
    </x:row>
    <x:row r="219">
      <x:c r="A219" s="1" t="str">
        <x:v>legislation:human rights act 1998 s 6</x:v>
      </x:c>
      <x:c r="B219" s="1" t="str">
        <x:v>legislation</x:v>
      </x:c>
      <x:c r="C219" s="15" t="str">
        <x:v>Human Rights Act 1998</x:v>
      </x:c>
      <x:c r="D219" s="15" t="str">
        <x:v>Human Rights Act 1998 s.6</x:v>
      </x:c>
      <x:c r="E219" s="15" t="n">
        <x:f>COUNTIF('Unique per draft'!$H$2:$H$474,A219)</x:f>
        <x:v>1</x:v>
      </x:c>
      <x:c r="F219" s="15" t="n">
        <x:f>COUNTIF('Occurrences'!$I$2:$I$722,A219)</x:f>
        <x:v>1</x:v>
      </x:c>
      <x:c r="G219" s="15" t="n">
        <x:f>COUNTIFS('Unique per draft'!$H$2:$H$474,A219,'Unique per draft'!$D$2:$D$474,"real")</x:f>
        <x:v>1</x:v>
      </x:c>
      <x:c r="H219" s="15" t="n">
        <x:f>COUNTIFS('Unique per draft'!$H$2:$H$474,A219,'Unique per draft'!$D$2:$D$474,"synthetic")</x:f>
        <x:v>0</x:v>
      </x:c>
      <x:c r="I219" s="15" t="str">
        <x:v>cmmjsmua2000q04jstd4i8p7c</x:v>
      </x:c>
    </x:row>
    <x:row r="220">
      <x:c r="A220" s="1" t="str">
        <x:v>legislation:human rights act 1998</x:v>
      </x:c>
      <x:c r="B220" s="1" t="str">
        <x:v>legislation</x:v>
      </x:c>
      <x:c r="C220" s="15" t="str">
        <x:v>Human Rights Act 1998</x:v>
      </x:c>
      <x:c r="D220" s="15" t="str">
        <x:v>Human Rights Act 1998</x:v>
      </x:c>
      <x:c r="E220" s="15" t="n">
        <x:f>COUNTIF('Unique per draft'!$H$2:$H$474,A220)</x:f>
        <x:v>1</x:v>
      </x:c>
      <x:c r="F220" s="15" t="n">
        <x:f>COUNTIF('Occurrences'!$I$2:$I$722,A220)</x:f>
        <x:v>1</x:v>
      </x:c>
      <x:c r="G220" s="15" t="n">
        <x:f>COUNTIFS('Unique per draft'!$H$2:$H$474,A220,'Unique per draft'!$D$2:$D$474,"real")</x:f>
        <x:v>1</x:v>
      </x:c>
      <x:c r="H220" s="15" t="n">
        <x:f>COUNTIFS('Unique per draft'!$H$2:$H$474,A220,'Unique per draft'!$D$2:$D$474,"synthetic")</x:f>
        <x:v>0</x:v>
      </x:c>
      <x:c r="I220" s="15" t="str">
        <x:v>cmmjtnsdx000904l4vhap8xwc</x:v>
      </x:c>
    </x:row>
    <x:row r="221">
      <x:c r="A221" s="1" t="str">
        <x:v>legislation:human rights act 1998 s 1</x:v>
      </x:c>
      <x:c r="B221" s="1" t="str">
        <x:v>legislation</x:v>
      </x:c>
      <x:c r="C221" s="15" t="str">
        <x:v>Human Rights Act 1998</x:v>
      </x:c>
      <x:c r="D221" s="15" t="str">
        <x:v>Human Rights Act 1998 s.1</x:v>
      </x:c>
      <x:c r="E221" s="15" t="n">
        <x:f>COUNTIF('Unique per draft'!$H$2:$H$474,A221)</x:f>
        <x:v>1</x:v>
      </x:c>
      <x:c r="F221" s="15" t="n">
        <x:f>COUNTIF('Occurrences'!$I$2:$I$722,A221)</x:f>
        <x:v>1</x:v>
      </x:c>
      <x:c r="G221" s="15" t="n">
        <x:f>COUNTIFS('Unique per draft'!$H$2:$H$474,A221,'Unique per draft'!$D$2:$D$474,"real")</x:f>
        <x:v>1</x:v>
      </x:c>
      <x:c r="H221" s="15" t="n">
        <x:f>COUNTIFS('Unique per draft'!$H$2:$H$474,A221,'Unique per draft'!$D$2:$D$474,"synthetic")</x:f>
        <x:v>0</x:v>
      </x:c>
      <x:c r="I221" s="15" t="str">
        <x:v>cmmrr64va000h04jvzuquhz2y</x:v>
      </x:c>
    </x:row>
    <x:row r="222">
      <x:c r="A222" s="1" t="str">
        <x:v>legislation:human rights act 1998 and the interplay with echr precedents</x:v>
      </x:c>
      <x:c r="B222" s="1" t="str">
        <x:v>legislation</x:v>
      </x:c>
      <x:c r="C222" s="15" t="str">
        <x:v>Human Rights Act 1998 and the interplay with ECHR precedents</x:v>
      </x:c>
      <x:c r="D222" s="15" t="str">
        <x:v>Human Rights Act 1998 and the interplay with ECHR precedents</x:v>
      </x:c>
      <x:c r="E222" s="15" t="n">
        <x:f>COUNTIF('Unique per draft'!$H$2:$H$474,A222)</x:f>
        <x:v>1</x:v>
      </x:c>
      <x:c r="F222" s="15" t="n">
        <x:f>COUNTIF('Occurrences'!$I$2:$I$722,A222)</x:f>
        <x:v>1</x:v>
      </x:c>
      <x:c r="G222" s="15" t="n">
        <x:f>COUNTIFS('Unique per draft'!$H$2:$H$474,A222,'Unique per draft'!$D$2:$D$474,"real")</x:f>
        <x:v>1</x:v>
      </x:c>
      <x:c r="H222" s="15" t="n">
        <x:f>COUNTIFS('Unique per draft'!$H$2:$H$474,A222,'Unique per draft'!$D$2:$D$474,"synthetic")</x:f>
        <x:v>0</x:v>
      </x:c>
      <x:c r="I222" s="15" t="str">
        <x:v>cmmjtnsdx000904l4vhap8xwc</x:v>
      </x:c>
    </x:row>
    <x:row r="223">
      <x:c r="A223" s="1" t="str">
        <x:v>legislation:infrastructure act 2015 21</x:v>
      </x:c>
      <x:c r="B223" s="1" t="str">
        <x:v>legislation</x:v>
      </x:c>
      <x:c r="C223" s="15" t="str">
        <x:v>Infrastructure Act 2015</x:v>
      </x:c>
      <x:c r="D223" s="15" t="str">
        <x:v>Infrastructure Act 2015 21</x:v>
      </x:c>
      <x:c r="E223" s="15" t="n">
        <x:f>COUNTIF('Unique per draft'!$H$2:$H$474,A223)</x:f>
        <x:v>5</x:v>
      </x:c>
      <x:c r="F223" s="15" t="n">
        <x:f>COUNTIF('Occurrences'!$I$2:$I$722,A223)</x:f>
        <x:v>5</x:v>
      </x:c>
      <x:c r="G223" s="15" t="n">
        <x:f>COUNTIFS('Unique per draft'!$H$2:$H$474,A223,'Unique per draft'!$D$2:$D$474,"real")</x:f>
        <x:v>3</x:v>
      </x:c>
      <x:c r="H223" s="15" t="n">
        <x:f>COUNTIFS('Unique per draft'!$H$2:$H$474,A223,'Unique per draft'!$D$2:$D$474,"synthetic")</x:f>
        <x:v>2</x:v>
      </x:c>
      <x:c r="I223" s="15" t="str">
        <x:v>cmlzy9ss300fz04i80p2yfbg1 | cmm0k3nj8000h04l412ruhfxj | cms1ps00j000j04jsbxrn9wrj | cms1u865i000904jxu5huyjg5 | cmsbj40n7000h04jwpx41ia5n</x:v>
      </x:c>
    </x:row>
    <x:row r="224">
      <x:c r="A224" s="1" t="str">
        <x:v>legislation:infrastructure act 2015</x:v>
      </x:c>
      <x:c r="B224" s="1" t="str">
        <x:v>legislation</x:v>
      </x:c>
      <x:c r="C224" s="15" t="str">
        <x:v>Infrastructure Act 2015</x:v>
      </x:c>
      <x:c r="D224" s="15" t="str">
        <x:v>Infrastructure Act 2015</x:v>
      </x:c>
      <x:c r="E224" s="15" t="n">
        <x:f>COUNTIF('Unique per draft'!$H$2:$H$474,A224)</x:f>
        <x:v>1</x:v>
      </x:c>
      <x:c r="F224" s="15" t="n">
        <x:f>COUNTIF('Occurrences'!$I$2:$I$722,A224)</x:f>
        <x:v>1</x:v>
      </x:c>
      <x:c r="G224" s="15" t="n">
        <x:f>COUNTIFS('Unique per draft'!$H$2:$H$474,A224,'Unique per draft'!$D$2:$D$474,"real")</x:f>
        <x:v>1</x:v>
      </x:c>
      <x:c r="H224" s="15" t="n">
        <x:f>COUNTIFS('Unique per draft'!$H$2:$H$474,A224,'Unique per draft'!$D$2:$D$474,"synthetic")</x:f>
        <x:v>0</x:v>
      </x:c>
      <x:c r="I224" s="15" t="str">
        <x:v>cms1ps00j000j04jsbxrn9wrj</x:v>
      </x:c>
    </x:row>
    <x:row r="225">
      <x:c r="A225" s="1" t="str">
        <x:v>legislation:infrastructure act 2015 s 21</x:v>
      </x:c>
      <x:c r="B225" s="1" t="str">
        <x:v>legislation</x:v>
      </x:c>
      <x:c r="C225" s="15" t="str">
        <x:v>Infrastructure Act 2015, s.21</x:v>
      </x:c>
      <x:c r="D225" s="15" t="str">
        <x:v>Infrastructure Act 2015, s.21</x:v>
      </x:c>
      <x:c r="E225" s="15" t="n">
        <x:f>COUNTIF('Unique per draft'!$H$2:$H$474,A225)</x:f>
        <x:v>2</x:v>
      </x:c>
      <x:c r="F225" s="15" t="n">
        <x:f>COUNTIF('Occurrences'!$I$2:$I$722,A225)</x:f>
        <x:v>2</x:v>
      </x:c>
      <x:c r="G225" s="15" t="n">
        <x:f>COUNTIFS('Unique per draft'!$H$2:$H$474,A225,'Unique per draft'!$D$2:$D$474,"real")</x:f>
        <x:v>0</x:v>
      </x:c>
      <x:c r="H225" s="15" t="n">
        <x:f>COUNTIFS('Unique per draft'!$H$2:$H$474,A225,'Unique per draft'!$D$2:$D$474,"synthetic")</x:f>
        <x:v>2</x:v>
      </x:c>
      <x:c r="I225" s="15" t="str">
        <x:v>cmlzy9ss300fz04i80p2yfbg1 | cmm0k3nj8000h04l412ruhfxj</x:v>
      </x:c>
    </x:row>
    <x:row r="226">
      <x:c r="A226" s="1" t="str">
        <x:v>legislation:insurance act 2015 s 10</x:v>
      </x:c>
      <x:c r="B226" s="1" t="str">
        <x:v>legislation</x:v>
      </x:c>
      <x:c r="C226" s="15" t="str">
        <x:v>Insurance Act 2015</x:v>
      </x:c>
      <x:c r="D226" s="15" t="str">
        <x:v>Insurance Act 2015 s. 10</x:v>
      </x:c>
      <x:c r="E226" s="15" t="n">
        <x:f>COUNTIF('Unique per draft'!$H$2:$H$474,A226)</x:f>
        <x:v>1</x:v>
      </x:c>
      <x:c r="F226" s="15" t="n">
        <x:f>COUNTIF('Occurrences'!$I$2:$I$722,A226)</x:f>
        <x:v>1</x:v>
      </x:c>
      <x:c r="G226" s="15" t="n">
        <x:f>COUNTIFS('Unique per draft'!$H$2:$H$474,A226,'Unique per draft'!$D$2:$D$474,"real")</x:f>
        <x:v>0</x:v>
      </x:c>
      <x:c r="H226" s="15" t="n">
        <x:f>COUNTIFS('Unique per draft'!$H$2:$H$474,A226,'Unique per draft'!$D$2:$D$474,"synthetic")</x:f>
        <x:v>1</x:v>
      </x:c>
      <x:c r="I226" s="15" t="str">
        <x:v>cmm0bebet000404jvmcxyqo4x</x:v>
      </x:c>
    </x:row>
    <x:row r="227">
      <x:c r="A227" s="1" t="str">
        <x:v>legislation:insurance act 2015 s 8</x:v>
      </x:c>
      <x:c r="B227" s="1" t="str">
        <x:v>legislation</x:v>
      </x:c>
      <x:c r="C227" s="15" t="str">
        <x:v>Insurance Act 2015</x:v>
      </x:c>
      <x:c r="D227" s="15" t="str">
        <x:v>Insurance Act 2015 s. 8</x:v>
      </x:c>
      <x:c r="E227" s="15" t="n">
        <x:f>COUNTIF('Unique per draft'!$H$2:$H$474,A227)</x:f>
        <x:v>1</x:v>
      </x:c>
      <x:c r="F227" s="15" t="n">
        <x:f>COUNTIF('Occurrences'!$I$2:$I$722,A227)</x:f>
        <x:v>2</x:v>
      </x:c>
      <x:c r="G227" s="15" t="n">
        <x:f>COUNTIFS('Unique per draft'!$H$2:$H$474,A227,'Unique per draft'!$D$2:$D$474,"real")</x:f>
        <x:v>0</x:v>
      </x:c>
      <x:c r="H227" s="15" t="n">
        <x:f>COUNTIFS('Unique per draft'!$H$2:$H$474,A227,'Unique per draft'!$D$2:$D$474,"synthetic")</x:f>
        <x:v>1</x:v>
      </x:c>
      <x:c r="I227" s="15" t="str">
        <x:v>cmm0bebet000404jvmcxyqo4x</x:v>
      </x:c>
    </x:row>
    <x:row r="228">
      <x:c r="A228" s="1" t="str">
        <x:v>legislation:intellectual property act 2014 s 5a</x:v>
      </x:c>
      <x:c r="B228" s="1" t="str">
        <x:v>legislation</x:v>
      </x:c>
      <x:c r="C228" s="15" t="str">
        <x:v>Intellectual Property Act 2014</x:v>
      </x:c>
      <x:c r="D228" s="15" t="str">
        <x:v>Intellectual Property Act 2014 Section 5A</x:v>
      </x:c>
      <x:c r="E228" s="15" t="n">
        <x:f>COUNTIF('Unique per draft'!$H$2:$H$474,A228)</x:f>
        <x:v>1</x:v>
      </x:c>
      <x:c r="F228" s="15" t="n">
        <x:f>COUNTIF('Occurrences'!$I$2:$I$722,A228)</x:f>
        <x:v>1</x:v>
      </x:c>
      <x:c r="G228" s="15" t="n">
        <x:f>COUNTIFS('Unique per draft'!$H$2:$H$474,A228,'Unique per draft'!$D$2:$D$474,"real")</x:f>
        <x:v>0</x:v>
      </x:c>
      <x:c r="H228" s="15" t="n">
        <x:f>COUNTIFS('Unique per draft'!$H$2:$H$474,A228,'Unique per draft'!$D$2:$D$474,"synthetic")</x:f>
        <x:v>1</x:v>
      </x:c>
      <x:c r="I228" s="15" t="str">
        <x:v>cmst4kl1t000h04js7g8j67zy</x:v>
      </x:c>
    </x:row>
    <x:row r="229">
      <x:c r="A229" s="1" t="str">
        <x:v>legislation:land registration act 2002</x:v>
      </x:c>
      <x:c r="B229" s="1" t="str">
        <x:v>legislation</x:v>
      </x:c>
      <x:c r="C229" s="15" t="str">
        <x:v>Land Registration Act 2002</x:v>
      </x:c>
      <x:c r="D229" s="15" t="str">
        <x:v>Land Registration Act 2002</x:v>
      </x:c>
      <x:c r="E229" s="15" t="n">
        <x:f>COUNTIF('Unique per draft'!$H$2:$H$474,A229)</x:f>
        <x:v>1</x:v>
      </x:c>
      <x:c r="F229" s="15" t="n">
        <x:f>COUNTIF('Occurrences'!$I$2:$I$722,A229)</x:f>
        <x:v>1</x:v>
      </x:c>
      <x:c r="G229" s="15" t="n">
        <x:f>COUNTIFS('Unique per draft'!$H$2:$H$474,A229,'Unique per draft'!$D$2:$D$474,"real")</x:f>
        <x:v>0</x:v>
      </x:c>
      <x:c r="H229" s="15" t="n">
        <x:f>COUNTIFS('Unique per draft'!$H$2:$H$474,A229,'Unique per draft'!$D$2:$D$474,"synthetic")</x:f>
        <x:v>1</x:v>
      </x:c>
      <x:c r="I229" s="15" t="str">
        <x:v>cmlzphr57000h04jtqrwbfiyf</x:v>
      </x:c>
    </x:row>
    <x:row r="230">
      <x:c r="A230" s="1" t="str">
        <x:v>legislation:land registration act 2002 s 60</x:v>
      </x:c>
      <x:c r="B230" s="1" t="str">
        <x:v>legislation</x:v>
      </x:c>
      <x:c r="C230" s="15" t="str">
        <x:v>Land Registration Act 2002</x:v>
      </x:c>
      <x:c r="D230" s="15" t="str">
        <x:v>Land Registration Act 2002 s. 60</x:v>
      </x:c>
      <x:c r="E230" s="15" t="n">
        <x:f>COUNTIF('Unique per draft'!$H$2:$H$474,A230)</x:f>
        <x:v>1</x:v>
      </x:c>
      <x:c r="F230" s="15" t="n">
        <x:f>COUNTIF('Occurrences'!$I$2:$I$722,A230)</x:f>
        <x:v>1</x:v>
      </x:c>
      <x:c r="G230" s="15" t="n">
        <x:f>COUNTIFS('Unique per draft'!$H$2:$H$474,A230,'Unique per draft'!$D$2:$D$474,"real")</x:f>
        <x:v>0</x:v>
      </x:c>
      <x:c r="H230" s="15" t="n">
        <x:f>COUNTIFS('Unique per draft'!$H$2:$H$474,A230,'Unique per draft'!$D$2:$D$474,"synthetic")</x:f>
        <x:v>1</x:v>
      </x:c>
      <x:c r="I230" s="15" t="str">
        <x:v>cmlzphr57000h04jtqrwbfiyf</x:v>
      </x:c>
    </x:row>
    <x:row r="231">
      <x:c r="A231" s="1" t="str">
        <x:v>legislation:landlord and tenant act 1954 part ii</x:v>
      </x:c>
      <x:c r="B231" s="1" t="str">
        <x:v>legislation</x:v>
      </x:c>
      <x:c r="C231" s="15" t="str">
        <x:v>Landlord and Tenant Act 1954</x:v>
      </x:c>
      <x:c r="D231" s="15" t="str">
        <x:v>Landlord and Tenant Act 1954 Part II</x:v>
      </x:c>
      <x:c r="E231" s="15" t="n">
        <x:f>COUNTIF('Unique per draft'!$H$2:$H$474,A231)</x:f>
        <x:v>3</x:v>
      </x:c>
      <x:c r="F231" s="15" t="n">
        <x:f>COUNTIF('Occurrences'!$I$2:$I$722,A231)</x:f>
        <x:v>4</x:v>
      </x:c>
      <x:c r="G231" s="15" t="n">
        <x:f>COUNTIFS('Unique per draft'!$H$2:$H$474,A231,'Unique per draft'!$D$2:$D$474,"real")</x:f>
        <x:v>0</x:v>
      </x:c>
      <x:c r="H231" s="15" t="n">
        <x:f>COUNTIFS('Unique per draft'!$H$2:$H$474,A231,'Unique per draft'!$D$2:$D$474,"synthetic")</x:f>
        <x:v>3</x:v>
      </x:c>
      <x:c r="I231" s="15" t="str">
        <x:v>cmmdjqxh3000304kvs37yorn3 | cmmdkjytd000304jl24cdxqvp | cmmls2r93000304jme0bpsul9</x:v>
      </x:c>
    </x:row>
    <x:row r="232">
      <x:c r="A232" s="1" t="str">
        <x:v>legislation:landlord and tenant act 1954</x:v>
      </x:c>
      <x:c r="B232" s="1" t="str">
        <x:v>legislation</x:v>
      </x:c>
      <x:c r="C232" s="15" t="str">
        <x:v>Landlord and Tenant Act 1954</x:v>
      </x:c>
      <x:c r="D232" s="15" t="str">
        <x:v>Landlord and Tenant Act 1954</x:v>
      </x:c>
      <x:c r="E232" s="15" t="n">
        <x:f>COUNTIF('Unique per draft'!$H$2:$H$474,A232)</x:f>
        <x:v>1</x:v>
      </x:c>
      <x:c r="F232" s="15" t="n">
        <x:f>COUNTIF('Occurrences'!$I$2:$I$722,A232)</x:f>
        <x:v>1</x:v>
      </x:c>
      <x:c r="G232" s="15" t="n">
        <x:f>COUNTIFS('Unique per draft'!$H$2:$H$474,A232,'Unique per draft'!$D$2:$D$474,"real")</x:f>
        <x:v>0</x:v>
      </x:c>
      <x:c r="H232" s="15" t="n">
        <x:f>COUNTIFS('Unique per draft'!$H$2:$H$474,A232,'Unique per draft'!$D$2:$D$474,"synthetic")</x:f>
        <x:v>1</x:v>
      </x:c>
      <x:c r="I232" s="15" t="str">
        <x:v>cmmdkjytd000304jl24cdxqvp</x:v>
      </x:c>
    </x:row>
    <x:row r="233">
      <x:c r="A233" s="1" t="str">
        <x:v>legislation:law of property act 1925 s 146</x:v>
      </x:c>
      <x:c r="B233" s="1" t="str">
        <x:v>legislation</x:v>
      </x:c>
      <x:c r="C233" s="15" t="str">
        <x:v>Law of Property Act 1925</x:v>
      </x:c>
      <x:c r="D233" s="15" t="str">
        <x:v>Law of Property Act 1925 Section 146</x:v>
      </x:c>
      <x:c r="E233" s="15" t="n">
        <x:f>COUNTIF('Unique per draft'!$H$2:$H$474,A233)</x:f>
        <x:v>1</x:v>
      </x:c>
      <x:c r="F233" s="15" t="n">
        <x:f>COUNTIF('Occurrences'!$I$2:$I$722,A233)</x:f>
        <x:v>1</x:v>
      </x:c>
      <x:c r="G233" s="15" t="n">
        <x:f>COUNTIFS('Unique per draft'!$H$2:$H$474,A233,'Unique per draft'!$D$2:$D$474,"real")</x:f>
        <x:v>0</x:v>
      </x:c>
      <x:c r="H233" s="15" t="n">
        <x:f>COUNTIFS('Unique per draft'!$H$2:$H$474,A233,'Unique per draft'!$D$2:$D$474,"synthetic")</x:f>
        <x:v>1</x:v>
      </x:c>
      <x:c r="I233" s="15" t="str">
        <x:v>cmmdjqxh3000304kvs37yorn3</x:v>
      </x:c>
    </x:row>
    <x:row r="234">
      <x:c r="A234" s="1" t="str">
        <x:v>legislation:law of property act 1925 146</x:v>
      </x:c>
      <x:c r="B234" s="1" t="str">
        <x:v>legislation</x:v>
      </x:c>
      <x:c r="C234" s="15" t="str">
        <x:v>Law of Property Act 1925</x:v>
      </x:c>
      <x:c r="D234" s="15" t="str">
        <x:v>Law of Property Act 1925 146</x:v>
      </x:c>
      <x:c r="E234" s="15" t="n">
        <x:f>COUNTIF('Unique per draft'!$H$2:$H$474,A234)</x:f>
        <x:v>1</x:v>
      </x:c>
      <x:c r="F234" s="15" t="n">
        <x:f>COUNTIF('Occurrences'!$I$2:$I$722,A234)</x:f>
        <x:v>1</x:v>
      </x:c>
      <x:c r="G234" s="15" t="n">
        <x:f>COUNTIFS('Unique per draft'!$H$2:$H$474,A234,'Unique per draft'!$D$2:$D$474,"real")</x:f>
        <x:v>0</x:v>
      </x:c>
      <x:c r="H234" s="15" t="n">
        <x:f>COUNTIFS('Unique per draft'!$H$2:$H$474,A234,'Unique per draft'!$D$2:$D$474,"synthetic")</x:f>
        <x:v>1</x:v>
      </x:c>
      <x:c r="I234" s="15" t="str">
        <x:v>cmmdkjytd000304jl24cdxqvp</x:v>
      </x:c>
    </x:row>
    <x:row r="235">
      <x:c r="A235" s="1" t="str">
        <x:v>legislation:limitation act 1980</x:v>
      </x:c>
      <x:c r="B235" s="1" t="str">
        <x:v>legislation</x:v>
      </x:c>
      <x:c r="C235" s="15" t="str">
        <x:v>Limitation Act 1980</x:v>
      </x:c>
      <x:c r="D235" s="15" t="str">
        <x:v>Limitation Act 1980</x:v>
      </x:c>
      <x:c r="E235" s="15" t="n">
        <x:f>COUNTIF('Unique per draft'!$H$2:$H$474,A235)</x:f>
        <x:v>1</x:v>
      </x:c>
      <x:c r="F235" s="15" t="n">
        <x:f>COUNTIF('Occurrences'!$I$2:$I$722,A235)</x:f>
        <x:v>1</x:v>
      </x:c>
      <x:c r="G235" s="15" t="n">
        <x:f>COUNTIFS('Unique per draft'!$H$2:$H$474,A235,'Unique per draft'!$D$2:$D$474,"real")</x:f>
        <x:v>0</x:v>
      </x:c>
      <x:c r="H235" s="15" t="n">
        <x:f>COUNTIFS('Unique per draft'!$H$2:$H$474,A235,'Unique per draft'!$D$2:$D$474,"synthetic")</x:f>
        <x:v>1</x:v>
      </x:c>
      <x:c r="I235" s="15" t="str">
        <x:v>cmm93eoww000904l4jttzk880</x:v>
      </x:c>
    </x:row>
    <x:row r="236">
      <x:c r="A236" s="1" t="str">
        <x:v>legislation:limitation act 1980 time limits for bringing claims</x:v>
      </x:c>
      <x:c r="B236" s="1" t="str">
        <x:v>legislation</x:v>
      </x:c>
      <x:c r="C236" s="15" t="str">
        <x:v>Limitation Act 1980</x:v>
      </x:c>
      <x:c r="D236" s="15" t="str">
        <x:v>Limitation Act 1980 Time Limits for Bringing Claims</x:v>
      </x:c>
      <x:c r="E236" s="15" t="n">
        <x:f>COUNTIF('Unique per draft'!$H$2:$H$474,A236)</x:f>
        <x:v>1</x:v>
      </x:c>
      <x:c r="F236" s="15" t="n">
        <x:f>COUNTIF('Occurrences'!$I$2:$I$722,A236)</x:f>
        <x:v>1</x:v>
      </x:c>
      <x:c r="G236" s="15" t="n">
        <x:f>COUNTIFS('Unique per draft'!$H$2:$H$474,A236,'Unique per draft'!$D$2:$D$474,"real")</x:f>
        <x:v>0</x:v>
      </x:c>
      <x:c r="H236" s="15" t="n">
        <x:f>COUNTIFS('Unique per draft'!$H$2:$H$474,A236,'Unique per draft'!$D$2:$D$474,"synthetic")</x:f>
        <x:v>1</x:v>
      </x:c>
      <x:c r="I236" s="15" t="str">
        <x:v>cmmmudwct000304kzc6d15a3r</x:v>
      </x:c>
    </x:row>
    <x:row r="237">
      <x:c r="A237" s="1" t="str">
        <x:v>legislation:limitation act 1980 s 2</x:v>
      </x:c>
      <x:c r="B237" s="1" t="str">
        <x:v>legislation</x:v>
      </x:c>
      <x:c r="C237" s="15" t="str">
        <x:v>Limitation Act 1980</x:v>
      </x:c>
      <x:c r="D237" s="15" t="str">
        <x:v>Limitation Act 1980 Section 2</x:v>
      </x:c>
      <x:c r="E237" s="15" t="n">
        <x:f>COUNTIF('Unique per draft'!$H$2:$H$474,A237)</x:f>
        <x:v>1</x:v>
      </x:c>
      <x:c r="F237" s="15" t="n">
        <x:f>COUNTIF('Occurrences'!$I$2:$I$722,A237)</x:f>
        <x:v>1</x:v>
      </x:c>
      <x:c r="G237" s="15" t="n">
        <x:f>COUNTIFS('Unique per draft'!$H$2:$H$474,A237,'Unique per draft'!$D$2:$D$474,"real")</x:f>
        <x:v>0</x:v>
      </x:c>
      <x:c r="H237" s="15" t="n">
        <x:f>COUNTIFS('Unique per draft'!$H$2:$H$474,A237,'Unique per draft'!$D$2:$D$474,"synthetic")</x:f>
        <x:v>1</x:v>
      </x:c>
      <x:c r="I237" s="15" t="str">
        <x:v>cmst45vlc000h04l7f6nlqawg</x:v>
      </x:c>
    </x:row>
    <x:row r="238">
      <x:c r="A238" s="1" t="str">
        <x:v>legislation:local government finance regulations</x:v>
      </x:c>
      <x:c r="B238" s="1" t="str">
        <x:v>legislation</x:v>
      </x:c>
      <x:c r="C238" s="15" t="str">
        <x:v>Local government finance regulations</x:v>
      </x:c>
      <x:c r="D238" s="15" t="str">
        <x:v>Local government finance regulations</x:v>
      </x:c>
      <x:c r="E238" s="15" t="n">
        <x:f>COUNTIF('Unique per draft'!$H$2:$H$474,A238)</x:f>
        <x:v>1</x:v>
      </x:c>
      <x:c r="F238" s="15" t="n">
        <x:f>COUNTIF('Occurrences'!$I$2:$I$722,A238)</x:f>
        <x:v>1</x:v>
      </x:c>
      <x:c r="G238" s="15" t="n">
        <x:f>COUNTIFS('Unique per draft'!$H$2:$H$474,A238,'Unique per draft'!$D$2:$D$474,"real")</x:f>
        <x:v>0</x:v>
      </x:c>
      <x:c r="H238" s="15" t="n">
        <x:f>COUNTIFS('Unique per draft'!$H$2:$H$474,A238,'Unique per draft'!$D$2:$D$474,"synthetic")</x:f>
        <x:v>1</x:v>
      </x:c>
      <x:c r="I238" s="15" t="str">
        <x:v>cmlzy9ss300fz04i80p2yfbg1</x:v>
      </x:c>
    </x:row>
    <x:row r="239">
      <x:c r="A239" s="1" t="str">
        <x:v>legislation:n a n a</x:v>
      </x:c>
      <x:c r="B239" s="1" t="str">
        <x:v>legislation</x:v>
      </x:c>
      <x:c r="C239" s="15" t="str">
        <x:v>N/A</x:v>
      </x:c>
      <x:c r="D239" s="15" t="str">
        <x:v>N/A N/A</x:v>
      </x:c>
      <x:c r="E239" s="15" t="n">
        <x:f>COUNTIF('Unique per draft'!$H$2:$H$474,A239)</x:f>
        <x:v>1</x:v>
      </x:c>
      <x:c r="F239" s="15" t="n">
        <x:f>COUNTIF('Occurrences'!$I$2:$I$722,A239)</x:f>
        <x:v>1</x:v>
      </x:c>
      <x:c r="G239" s="15" t="n">
        <x:f>COUNTIFS('Unique per draft'!$H$2:$H$474,A239,'Unique per draft'!$D$2:$D$474,"real")</x:f>
        <x:v>1</x:v>
      </x:c>
      <x:c r="H239" s="15" t="n">
        <x:f>COUNTIFS('Unique per draft'!$H$2:$H$474,A239,'Unique per draft'!$D$2:$D$474,"synthetic")</x:f>
        <x:v>0</x:v>
      </x:c>
      <x:c r="I239" s="15" t="str">
        <x:v>cmsbszs77002304ji6ldkbjce</x:v>
      </x:c>
    </x:row>
    <x:row r="240">
      <x:c r="A240" s="1" t="str">
        <x:v>legislation:nhs act 2006</x:v>
      </x:c>
      <x:c r="B240" s="1" t="str">
        <x:v>legislation</x:v>
      </x:c>
      <x:c r="C240" s="15" t="str">
        <x:v>NHS Act 2006</x:v>
      </x:c>
      <x:c r="D240" s="15" t="str">
        <x:v>NHS Act 2006</x:v>
      </x:c>
      <x:c r="E240" s="15" t="n">
        <x:f>COUNTIF('Unique per draft'!$H$2:$H$474,A240)</x:f>
        <x:v>1</x:v>
      </x:c>
      <x:c r="F240" s="15" t="n">
        <x:f>COUNTIF('Occurrences'!$I$2:$I$722,A240)</x:f>
        <x:v>1</x:v>
      </x:c>
      <x:c r="G240" s="15" t="n">
        <x:f>COUNTIFS('Unique per draft'!$H$2:$H$474,A240,'Unique per draft'!$D$2:$D$474,"real")</x:f>
        <x:v>0</x:v>
      </x:c>
      <x:c r="H240" s="15" t="n">
        <x:f>COUNTIFS('Unique per draft'!$H$2:$H$474,A240,'Unique per draft'!$D$2:$D$474,"synthetic")</x:f>
        <x:v>1</x:v>
      </x:c>
      <x:c r="I240" s="15" t="str">
        <x:v>cmm93eoww000904l4jttzk880</x:v>
      </x:c>
    </x:row>
    <x:row r="241">
      <x:c r="A241" s="1" t="str">
        <x:v>legislation:prison act 1952</x:v>
      </x:c>
      <x:c r="B241" s="1" t="str">
        <x:v>legislation</x:v>
      </x:c>
      <x:c r="C241" s="15" t="str">
        <x:v>Prison Act 1952</x:v>
      </x:c>
      <x:c r="D241" s="15" t="str">
        <x:v>Prison Act 1952</x:v>
      </x:c>
      <x:c r="E241" s="15" t="n">
        <x:f>COUNTIF('Unique per draft'!$H$2:$H$474,A241)</x:f>
        <x:v>1</x:v>
      </x:c>
      <x:c r="F241" s="15" t="n">
        <x:f>COUNTIF('Occurrences'!$I$2:$I$722,A241)</x:f>
        <x:v>1</x:v>
      </x:c>
      <x:c r="G241" s="15" t="n">
        <x:f>COUNTIFS('Unique per draft'!$H$2:$H$474,A241,'Unique per draft'!$D$2:$D$474,"real")</x:f>
        <x:v>1</x:v>
      </x:c>
      <x:c r="H241" s="15" t="n">
        <x:f>COUNTIFS('Unique per draft'!$H$2:$H$474,A241,'Unique per draft'!$D$2:$D$474,"synthetic")</x:f>
        <x:v>0</x:v>
      </x:c>
      <x:c r="I241" s="15" t="str">
        <x:v>cmmc4a8zu000h04jx2w3r0hzo</x:v>
      </x:c>
    </x:row>
    <x:row r="242">
      <x:c r="A242" s="1" t="str">
        <x:v>legislation:prison act 1952 1</x:v>
      </x:c>
      <x:c r="B242" s="1" t="str">
        <x:v>legislation</x:v>
      </x:c>
      <x:c r="C242" s="15" t="str">
        <x:v>Prison Act 1952</x:v>
      </x:c>
      <x:c r="D242" s="15" t="str">
        <x:v>Prison Act 1952 1</x:v>
      </x:c>
      <x:c r="E242" s="15" t="n">
        <x:f>COUNTIF('Unique per draft'!$H$2:$H$474,A242)</x:f>
        <x:v>1</x:v>
      </x:c>
      <x:c r="F242" s="15" t="n">
        <x:f>COUNTIF('Occurrences'!$I$2:$I$722,A242)</x:f>
        <x:v>1</x:v>
      </x:c>
      <x:c r="G242" s="15" t="n">
        <x:f>COUNTIFS('Unique per draft'!$H$2:$H$474,A242,'Unique per draft'!$D$2:$D$474,"real")</x:f>
        <x:v>1</x:v>
      </x:c>
      <x:c r="H242" s="15" t="n">
        <x:f>COUNTIFS('Unique per draft'!$H$2:$H$474,A242,'Unique per draft'!$D$2:$D$474,"synthetic")</x:f>
        <x:v>0</x:v>
      </x:c>
      <x:c r="I242" s="15" t="str">
        <x:v>cmmc4a8zu000h04jx2w3r0hzo</x:v>
      </x:c>
    </x:row>
    <x:row r="243">
      <x:c r="A243" s="1" t="str">
        <x:v>legislation:prison rules 1999 s 19</x:v>
      </x:c>
      <x:c r="B243" s="1" t="str">
        <x:v>legislation</x:v>
      </x:c>
      <x:c r="C243" s="15" t="str">
        <x:v>Prison Rules 1999</x:v>
      </x:c>
      <x:c r="D243" s="15" t="str">
        <x:v>Prison Rules 1999 s.19</x:v>
      </x:c>
      <x:c r="E243" s="15" t="n">
        <x:f>COUNTIF('Unique per draft'!$H$2:$H$474,A243)</x:f>
        <x:v>1</x:v>
      </x:c>
      <x:c r="F243" s="15" t="n">
        <x:f>COUNTIF('Occurrences'!$I$2:$I$722,A243)</x:f>
        <x:v>1</x:v>
      </x:c>
      <x:c r="G243" s="15" t="n">
        <x:f>COUNTIFS('Unique per draft'!$H$2:$H$474,A243,'Unique per draft'!$D$2:$D$474,"real")</x:f>
        <x:v>1</x:v>
      </x:c>
      <x:c r="H243" s="15" t="n">
        <x:f>COUNTIFS('Unique per draft'!$H$2:$H$474,A243,'Unique per draft'!$D$2:$D$474,"synthetic")</x:f>
        <x:v>0</x:v>
      </x:c>
      <x:c r="I243" s="15" t="str">
        <x:v>cmmjsmua2000q04jstd4i8p7c</x:v>
      </x:c>
    </x:row>
    <x:row r="244">
      <x:c r="A244" s="1" t="str">
        <x:v>legislation:pursuant to the data protection act 2018</x:v>
      </x:c>
      <x:c r="B244" s="1" t="str">
        <x:v>legislation</x:v>
      </x:c>
      <x:c r="C244" s="15" t="str">
        <x:v>Pursuant to the Data Protection Act 2018.</x:v>
      </x:c>
      <x:c r="D244" s="15" t="str">
        <x:v>Pursuant to the Data Protection Act 2018.</x:v>
      </x:c>
      <x:c r="E244" s="15" t="n">
        <x:f>COUNTIF('Unique per draft'!$H$2:$H$474,A244)</x:f>
        <x:v>1</x:v>
      </x:c>
      <x:c r="F244" s="15" t="n">
        <x:f>COUNTIF('Occurrences'!$I$2:$I$722,A244)</x:f>
        <x:v>1</x:v>
      </x:c>
      <x:c r="G244" s="15" t="n">
        <x:f>COUNTIFS('Unique per draft'!$H$2:$H$474,A244,'Unique per draft'!$D$2:$D$474,"real")</x:f>
        <x:v>0</x:v>
      </x:c>
      <x:c r="H244" s="15" t="n">
        <x:f>COUNTIFS('Unique per draft'!$H$2:$H$474,A244,'Unique per draft'!$D$2:$D$474,"synthetic")</x:f>
        <x:v>1</x:v>
      </x:c>
      <x:c r="I244" s="15" t="str">
        <x:v>cmst80ckg000h04i9rasplurj</x:v>
      </x:c>
    </x:row>
    <x:row r="245">
      <x:c r="A245" s="1" t="str">
        <x:v>legislation:pursuant to the senior courts act 1981 s 35a</x:v>
      </x:c>
      <x:c r="B245" s="1" t="str">
        <x:v>legislation</x:v>
      </x:c>
      <x:c r="C245" s="15" t="str">
        <x:v>pursuant to the Senior Courts Act 1981, s.35A.</x:v>
      </x:c>
      <x:c r="D245" s="15" t="str">
        <x:v>pursuant to the Senior Courts Act 1981, s.35A.</x:v>
      </x:c>
      <x:c r="E245" s="15" t="n">
        <x:f>COUNTIF('Unique per draft'!$H$2:$H$474,A245)</x:f>
        <x:v>1</x:v>
      </x:c>
      <x:c r="F245" s="15" t="n">
        <x:f>COUNTIF('Occurrences'!$I$2:$I$722,A245)</x:f>
        <x:v>1</x:v>
      </x:c>
      <x:c r="G245" s="15" t="n">
        <x:f>COUNTIFS('Unique per draft'!$H$2:$H$474,A245,'Unique per draft'!$D$2:$D$474,"real")</x:f>
        <x:v>1</x:v>
      </x:c>
      <x:c r="H245" s="15" t="n">
        <x:f>COUNTIFS('Unique per draft'!$H$2:$H$474,A245,'Unique per draft'!$D$2:$D$474,"synthetic")</x:f>
        <x:v>0</x:v>
      </x:c>
      <x:c r="I245" s="15" t="str">
        <x:v>cmsbsqcqm001d04ji3ses9ih9</x:v>
      </x:c>
    </x:row>
    <x:row r="246">
      <x:c r="A246" s="1" t="str">
        <x:v>legislation:sale of goods act 1979 8 2</x:v>
      </x:c>
      <x:c r="B246" s="1" t="str">
        <x:v>legislation</x:v>
      </x:c>
      <x:c r="C246" s="15" t="str">
        <x:v>Sale of Goods Act 1979</x:v>
      </x:c>
      <x:c r="D246" s="15" t="str">
        <x:v>Sale of Goods Act 1979 8(2)</x:v>
      </x:c>
      <x:c r="E246" s="15" t="n">
        <x:f>COUNTIF('Unique per draft'!$H$2:$H$474,A246)</x:f>
        <x:v>1</x:v>
      </x:c>
      <x:c r="F246" s="15" t="n">
        <x:f>COUNTIF('Occurrences'!$I$2:$I$722,A246)</x:f>
        <x:v>1</x:v>
      </x:c>
      <x:c r="G246" s="15" t="n">
        <x:f>COUNTIFS('Unique per draft'!$H$2:$H$474,A246,'Unique per draft'!$D$2:$D$474,"real")</x:f>
        <x:v>1</x:v>
      </x:c>
      <x:c r="H246" s="15" t="n">
        <x:f>COUNTIFS('Unique per draft'!$H$2:$H$474,A246,'Unique per draft'!$D$2:$D$474,"synthetic")</x:f>
        <x:v>0</x:v>
      </x:c>
      <x:c r="I246" s="15" t="str">
        <x:v>cmmxi2xkc000t04l8hsscxyvl</x:v>
      </x:c>
    </x:row>
    <x:row r="247">
      <x:c r="A247" s="1" t="str">
        <x:v>legislation:sale of goods act 1979 s 8 2</x:v>
      </x:c>
      <x:c r="B247" s="1" t="str">
        <x:v>legislation</x:v>
      </x:c>
      <x:c r="C247" s="15" t="str">
        <x:v>Sale of Goods Act 1979</x:v>
      </x:c>
      <x:c r="D247" s="15" t="str">
        <x:v>Sale of Goods Act 1979 Section 8(2)</x:v>
      </x:c>
      <x:c r="E247" s="15" t="n">
        <x:f>COUNTIF('Unique per draft'!$H$2:$H$474,A247)</x:f>
        <x:v>1</x:v>
      </x:c>
      <x:c r="F247" s="15" t="n">
        <x:f>COUNTIF('Occurrences'!$I$2:$I$722,A247)</x:f>
        <x:v>2</x:v>
      </x:c>
      <x:c r="G247" s="15" t="n">
        <x:f>COUNTIFS('Unique per draft'!$H$2:$H$474,A247,'Unique per draft'!$D$2:$D$474,"real")</x:f>
        <x:v>1</x:v>
      </x:c>
      <x:c r="H247" s="15" t="n">
        <x:f>COUNTIFS('Unique per draft'!$H$2:$H$474,A247,'Unique per draft'!$D$2:$D$474,"synthetic")</x:f>
        <x:v>0</x:v>
      </x:c>
      <x:c r="I247" s="15" t="str">
        <x:v>cmsbrqmhv000j04jp78i2n3gf</x:v>
      </x:c>
    </x:row>
    <x:row r="248">
      <x:c r="A248" s="1" t="str">
        <x:v>legislation:sections 35a of the senior courts act 1981</x:v>
      </x:c>
      <x:c r="B248" s="1" t="str">
        <x:v>legislation</x:v>
      </x:c>
      <x:c r="C248" s="15" t="str">
        <x:v>Sections 35A of the Senior Courts Act 1981.</x:v>
      </x:c>
      <x:c r="D248" s="15" t="str">
        <x:v>Sections 35A of the Senior Courts Act 1981.</x:v>
      </x:c>
      <x:c r="E248" s="15" t="n">
        <x:f>COUNTIF('Unique per draft'!$H$2:$H$474,A248)</x:f>
        <x:v>1</x:v>
      </x:c>
      <x:c r="F248" s="15" t="n">
        <x:f>COUNTIF('Occurrences'!$I$2:$I$722,A248)</x:f>
        <x:v>1</x:v>
      </x:c>
      <x:c r="G248" s="15" t="n">
        <x:f>COUNTIFS('Unique per draft'!$H$2:$H$474,A248,'Unique per draft'!$D$2:$D$474,"real")</x:f>
        <x:v>1</x:v>
      </x:c>
      <x:c r="H248" s="15" t="n">
        <x:f>COUNTIFS('Unique per draft'!$H$2:$H$474,A248,'Unique per draft'!$D$2:$D$474,"synthetic")</x:f>
        <x:v>0</x:v>
      </x:c>
      <x:c r="I248" s="15" t="str">
        <x:v>cmmc4a8zu000h04jx2w3r0hzo</x:v>
      </x:c>
    </x:row>
    <x:row r="249">
      <x:c r="A249" s="1" t="str">
        <x:v>legislation:senior courts act 1981 35a</x:v>
      </x:c>
      <x:c r="B249" s="1" t="str">
        <x:v>legislation</x:v>
      </x:c>
      <x:c r="C249" s="15" t="str">
        <x:v>Senior Courts Act 1981</x:v>
      </x:c>
      <x:c r="D249" s="15" t="str">
        <x:v>Senior Courts Act 1981 35A</x:v>
      </x:c>
      <x:c r="E249" s="15" t="n">
        <x:f>COUNTIF('Unique per draft'!$H$2:$H$474,A249)</x:f>
        <x:v>4</x:v>
      </x:c>
      <x:c r="F249" s="15" t="n">
        <x:f>COUNTIF('Occurrences'!$I$2:$I$722,A249)</x:f>
        <x:v>5</x:v>
      </x:c>
      <x:c r="G249" s="15" t="n">
        <x:f>COUNTIFS('Unique per draft'!$H$2:$H$474,A249,'Unique per draft'!$D$2:$D$474,"real")</x:f>
        <x:v>1</x:v>
      </x:c>
      <x:c r="H249" s="15" t="n">
        <x:f>COUNTIFS('Unique per draft'!$H$2:$H$474,A249,'Unique per draft'!$D$2:$D$474,"synthetic")</x:f>
        <x:v>3</x:v>
      </x:c>
      <x:c r="I249" s="15" t="str">
        <x:v>cmlzrzxca000304l2qk1vevzx | cmm0k3nj8000h04l412ruhfxj | cms1u865i000904jxu5huyjg5 | cmst7uoeu00d804l5ayb3b9q8</x:v>
      </x:c>
    </x:row>
    <x:row r="250">
      <x:c r="A250" s="1" t="str">
        <x:v>legislation:senior courts act 1981</x:v>
      </x:c>
      <x:c r="B250" s="1" t="str">
        <x:v>legislation</x:v>
      </x:c>
      <x:c r="C250" s="15" t="str">
        <x:v>Senior Courts Act 1981</x:v>
      </x:c>
      <x:c r="D250" s="15" t="str">
        <x:v>Senior Courts Act 1981</x:v>
      </x:c>
      <x:c r="E250" s="15" t="n">
        <x:f>COUNTIF('Unique per draft'!$H$2:$H$474,A250)</x:f>
        <x:v>1</x:v>
      </x:c>
      <x:c r="F250" s="15" t="n">
        <x:f>COUNTIF('Occurrences'!$I$2:$I$722,A250)</x:f>
        <x:v>1</x:v>
      </x:c>
      <x:c r="G250" s="15" t="n">
        <x:f>COUNTIFS('Unique per draft'!$H$2:$H$474,A250,'Unique per draft'!$D$2:$D$474,"real")</x:f>
        <x:v>1</x:v>
      </x:c>
      <x:c r="H250" s="15" t="n">
        <x:f>COUNTIFS('Unique per draft'!$H$2:$H$474,A250,'Unique per draft'!$D$2:$D$474,"synthetic")</x:f>
        <x:v>0</x:v>
      </x:c>
      <x:c r="I250" s="15" t="str">
        <x:v>cmmxsk5kn000h04ldd570wr09</x:v>
      </x:c>
    </x:row>
    <x:row r="251">
      <x:c r="A251" s="1" t="str">
        <x:v>legislation:senior courts act 1981 s 35a</x:v>
      </x:c>
      <x:c r="B251" s="1" t="str">
        <x:v>legislation</x:v>
      </x:c>
      <x:c r="C251" s="15" t="str">
        <x:v>Senior Courts Act 1981, s.35A</x:v>
      </x:c>
      <x:c r="D251" s="15" t="str">
        <x:v>Senior Courts Act 1981, s.35A</x:v>
      </x:c>
      <x:c r="E251" s="15" t="n">
        <x:f>COUNTIF('Unique per draft'!$H$2:$H$474,A251)</x:f>
        <x:v>55</x:v>
      </x:c>
      <x:c r="F251" s="15" t="n">
        <x:f>COUNTIF('Occurrences'!$I$2:$I$722,A251)</x:f>
        <x:v>75</x:v>
      </x:c>
      <x:c r="G251" s="15" t="n">
        <x:f>COUNTIFS('Unique per draft'!$H$2:$H$474,A251,'Unique per draft'!$D$2:$D$474,"real")</x:f>
        <x:v>29</x:v>
      </x:c>
      <x:c r="H251" s="15" t="n">
        <x:f>COUNTIFS('Unique per draft'!$H$2:$H$474,A251,'Unique per draft'!$D$2:$D$474,"synthetic")</x:f>
        <x:v>26</x:v>
      </x:c>
      <x:c r="I251" s="15" t="str">
        <x:v>cmlzpblc7000304jv62ixuvp8 | cmlzphr57000h04jtqrwbfiyf | cmlzrzxca000304l2qk1vevzx | cmlzy9ss300fz04i80p2yfbg1 | cmm0bebet000404jvmcxyqo4x | cmm0ckscr000t04i312fc6edg | cmm0ct5sl001504i3x6g18pvd | cmm0k3nj8000h04l412ruhfxj | cmm3b1g6j000j04jt8w2u9z6w | cmm920v38000b04ib8ug7hazg | cmm927sxp000304jp8fpwf2ew | cmm93eoww000904l4jttzk880 | cmmafut12000904l4kjskwky4 | cmmc2zaji000h04l23a3cp61p | cmmcal70d000h04k3e11w997v | cmmdjqxh3000304kvs37yorn3 | cmmdkjytd000304jl24cdxqvp | cmmjsmua2000q04jstd4i8p7c | cmmjtnsdx000904l4vhap8xwc | cmmls2r93000304jme0bpsul9 | cmmmudwct000304kzc6d15a3r | cmmrr64va000h04jvzuquhz2y | cmmsi1xqb000h04jsef3v6skf | cmmsiews2000304lgc3ooyg67 | cmmxgyd9z000h04kttryogau2 | cmmxi2xkc000t04l8hsscxyvl | cmmxktfx8000904johoqmmfkm | cmmxpdot1000h04i8q3aleh7a | cmmxtzd4o000904jrjc2hdwrx | cmomnx9nj000304jkyxxg2b0k | cms1ps00j000j04jsbxrn9wrj | cms1u865i000904jxu5huyjg5 | cmsbj40n7000h04jwpx41ia5n | cmsbqvqsj000h04jnb8tn656h | cmsbr3045000j04l4tkps7ymp | cmsbr4fhb000v04l4mgwtz5x1 | cmsbr6p4p001704l4z7u6108h | cmsbracw1001r04l4az8ukhd1 | cmsbrc37v001x04l4t7r77h89 | cmsbrqmhv000j04jp78i2n3gf | cmsbrvtc4001304jp5e4691on | cmsbskr86000h04ji5a4thcht | cmsbsp3em001104ji2u62id7q | cmsbsqcqm001d04ji3ses9ih9 | cmsbsvvmu001x04jittsrlhz0 | cmsbszs77002304ji6ldkbjce | cmsbt3hfa002904ji8k6b026n | cmsbtbxft002t04jic4baeo3l | cmst419ew000k04ladhs06s0r | cmst45vlc000h04l7f6nlqawg | cmst49zw4001104l7neqlaa0v | cmst4fdgx001l04l7p4wrw7w7 | cmst4kl1t000h04js7g8j67zy | cmst7uoeu00d804l5ayb3b9q8 | cmst80ckg000h04i9rasplurj</x:v>
      </x:c>
    </x:row>
    <x:row r="252">
      <x:c r="A252" s="1" t="str">
        <x:v>legislation:solicitors act 1974</x:v>
      </x:c>
      <x:c r="B252" s="1" t="str">
        <x:v>legislation</x:v>
      </x:c>
      <x:c r="C252" s="15" t="str">
        <x:v>Solicitors Act 1974</x:v>
      </x:c>
      <x:c r="D252" s="15" t="str">
        <x:v>Solicitors Act 1974</x:v>
      </x:c>
      <x:c r="E252" s="15" t="n">
        <x:f>COUNTIF('Unique per draft'!$H$2:$H$474,A252)</x:f>
        <x:v>1</x:v>
      </x:c>
      <x:c r="F252" s="15" t="n">
        <x:f>COUNTIF('Occurrences'!$I$2:$I$722,A252)</x:f>
        <x:v>1</x:v>
      </x:c>
      <x:c r="G252" s="15" t="n">
        <x:f>COUNTIFS('Unique per draft'!$H$2:$H$474,A252,'Unique per draft'!$D$2:$D$474,"real")</x:f>
        <x:v>0</x:v>
      </x:c>
      <x:c r="H252" s="15" t="n">
        <x:f>COUNTIFS('Unique per draft'!$H$2:$H$474,A252,'Unique per draft'!$D$2:$D$474,"synthetic")</x:f>
        <x:v>1</x:v>
      </x:c>
      <x:c r="I252" s="15" t="str">
        <x:v>cmst49zw4001104l7neqlaa0v</x:v>
      </x:c>
    </x:row>
    <x:row r="253">
      <x:c r="A253" s="1" t="str">
        <x:v>legislation:solicitors act 1974 s 1</x:v>
      </x:c>
      <x:c r="B253" s="1" t="str">
        <x:v>legislation</x:v>
      </x:c>
      <x:c r="C253" s="15" t="str">
        <x:v>Solicitors Act 1974</x:v>
      </x:c>
      <x:c r="D253" s="15" t="str">
        <x:v>Solicitors Act 1974 section 1</x:v>
      </x:c>
      <x:c r="E253" s="15" t="n">
        <x:f>COUNTIF('Unique per draft'!$H$2:$H$474,A253)</x:f>
        <x:v>1</x:v>
      </x:c>
      <x:c r="F253" s="15" t="n">
        <x:f>COUNTIF('Occurrences'!$I$2:$I$722,A253)</x:f>
        <x:v>1</x:v>
      </x:c>
      <x:c r="G253" s="15" t="n">
        <x:f>COUNTIFS('Unique per draft'!$H$2:$H$474,A253,'Unique per draft'!$D$2:$D$474,"real")</x:f>
        <x:v>0</x:v>
      </x:c>
      <x:c r="H253" s="15" t="n">
        <x:f>COUNTIFS('Unique per draft'!$H$2:$H$474,A253,'Unique per draft'!$D$2:$D$474,"synthetic")</x:f>
        <x:v>1</x:v>
      </x:c>
      <x:c r="I253" s="15" t="str">
        <x:v>cmst49zw4001104l7neqlaa0v</x:v>
      </x:c>
    </x:row>
    <x:row r="254">
      <x:c r="A254" s="1" t="str">
        <x:v>legislation:state immunity act 1978</x:v>
      </x:c>
      <x:c r="B254" s="1" t="str">
        <x:v>legislation</x:v>
      </x:c>
      <x:c r="C254" s="15" t="str">
        <x:v>State Immunity Act 1978</x:v>
      </x:c>
      <x:c r="D254" s="15" t="str">
        <x:v>State Immunity Act 1978</x:v>
      </x:c>
      <x:c r="E254" s="15" t="n">
        <x:f>COUNTIF('Unique per draft'!$H$2:$H$474,A254)</x:f>
        <x:v>1</x:v>
      </x:c>
      <x:c r="F254" s="15" t="n">
        <x:f>COUNTIF('Occurrences'!$I$2:$I$722,A254)</x:f>
        <x:v>2</x:v>
      </x:c>
      <x:c r="G254" s="15" t="n">
        <x:f>COUNTIFS('Unique per draft'!$H$2:$H$474,A254,'Unique per draft'!$D$2:$D$474,"real")</x:f>
        <x:v>1</x:v>
      </x:c>
      <x:c r="H254" s="15" t="n">
        <x:f>COUNTIFS('Unique per draft'!$H$2:$H$474,A254,'Unique per draft'!$D$2:$D$474,"synthetic")</x:f>
        <x:v>0</x:v>
      </x:c>
      <x:c r="I254" s="15" t="str">
        <x:v>cmsbsp3em001104ji2u62id7q</x:v>
      </x:c>
    </x:row>
    <x:row r="255">
      <x:c r="A255" s="1" t="str">
        <x:v>legislation:state immunity act 1978 sections 4 and 5</x:v>
      </x:c>
      <x:c r="B255" s="1" t="str">
        <x:v>legislation</x:v>
      </x:c>
      <x:c r="C255" s="15" t="str">
        <x:v>State Immunity Act 1978</x:v>
      </x:c>
      <x:c r="D255" s="15" t="str">
        <x:v>State Immunity Act 1978 Sections 4 and 5</x:v>
      </x:c>
      <x:c r="E255" s="15" t="n">
        <x:f>COUNTIF('Unique per draft'!$H$2:$H$474,A255)</x:f>
        <x:v>1</x:v>
      </x:c>
      <x:c r="F255" s="15" t="n">
        <x:f>COUNTIF('Occurrences'!$I$2:$I$722,A255)</x:f>
        <x:v>1</x:v>
      </x:c>
      <x:c r="G255" s="15" t="n">
        <x:f>COUNTIFS('Unique per draft'!$H$2:$H$474,A255,'Unique per draft'!$D$2:$D$474,"real")</x:f>
        <x:v>1</x:v>
      </x:c>
      <x:c r="H255" s="15" t="n">
        <x:f>COUNTIFS('Unique per draft'!$H$2:$H$474,A255,'Unique per draft'!$D$2:$D$474,"synthetic")</x:f>
        <x:v>0</x:v>
      </x:c>
      <x:c r="I255" s="15" t="str">
        <x:v>cmsbsp3em001104ji2u62id7q</x:v>
      </x:c>
    </x:row>
    <x:row r="256">
      <x:c r="A256" s="1" t="str">
        <x:v>legislation:state immunity act 1978 ss 4 5</x:v>
      </x:c>
      <x:c r="B256" s="1" t="str">
        <x:v>legislation</x:v>
      </x:c>
      <x:c r="C256" s="15" t="str">
        <x:v>State Immunity Act 1978</x:v>
      </x:c>
      <x:c r="D256" s="15" t="str">
        <x:v>State Immunity Act 1978 ss. 4-5</x:v>
      </x:c>
      <x:c r="E256" s="15" t="n">
        <x:f>COUNTIF('Unique per draft'!$H$2:$H$474,A256)</x:f>
        <x:v>1</x:v>
      </x:c>
      <x:c r="F256" s="15" t="n">
        <x:f>COUNTIF('Occurrences'!$I$2:$I$722,A256)</x:f>
        <x:v>1</x:v>
      </x:c>
      <x:c r="G256" s="15" t="n">
        <x:f>COUNTIFS('Unique per draft'!$H$2:$H$474,A256,'Unique per draft'!$D$2:$D$474,"real")</x:f>
        <x:v>1</x:v>
      </x:c>
      <x:c r="H256" s="15" t="n">
        <x:f>COUNTIFS('Unique per draft'!$H$2:$H$474,A256,'Unique per draft'!$D$2:$D$474,"synthetic")</x:f>
        <x:v>0</x:v>
      </x:c>
      <x:c r="I256" s="15" t="str">
        <x:v>cmsbsqcqm001d04ji3ses9ih9</x:v>
      </x:c>
    </x:row>
    <x:row r="257">
      <x:c r="A257" s="1" t="str">
        <x:v>legislation:town and country planning development management procedure order 2015 article 40 3 b</x:v>
      </x:c>
      <x:c r="B257" s="1" t="str">
        <x:v>legislation</x:v>
      </x:c>
      <x:c r="C257" s="15" t="str">
        <x:v>Town and Country Planning (Development Management Procedure) Order 2015</x:v>
      </x:c>
      <x:c r="D257" s="15" t="str">
        <x:v>Town and Country Planning (Development Management Procedure) Order 2015 Article 40(3)(b)</x:v>
      </x:c>
      <x:c r="E257" s="15" t="n">
        <x:f>COUNTIF('Unique per draft'!$H$2:$H$474,A257)</x:f>
        <x:v>3</x:v>
      </x:c>
      <x:c r="F257" s="15" t="n">
        <x:f>COUNTIF('Occurrences'!$I$2:$I$722,A257)</x:f>
        <x:v>3</x:v>
      </x:c>
      <x:c r="G257" s="15" t="n">
        <x:f>COUNTIFS('Unique per draft'!$H$2:$H$474,A257,'Unique per draft'!$D$2:$D$474,"real")</x:f>
        <x:v>3</x:v>
      </x:c>
      <x:c r="H257" s="15" t="n">
        <x:f>COUNTIFS('Unique per draft'!$H$2:$H$474,A257,'Unique per draft'!$D$2:$D$474,"synthetic")</x:f>
        <x:v>0</x:v>
      </x:c>
      <x:c r="I257" s="15" t="str">
        <x:v>cmmxsk5kn000h04ldd570wr09 | cmmxtzd4o000904jrjc2hdwrx | cmomnx9nj000304jkyxxg2b0k</x:v>
      </x:c>
    </x:row>
    <x:row r="258">
      <x:c r="A258" s="1" t="str">
        <x:v>legislation:town and country planning act 1990 s 70</x:v>
      </x:c>
      <x:c r="B258" s="1" t="str">
        <x:v>legislation</x:v>
      </x:c>
      <x:c r="C258" s="15" t="str">
        <x:v>Town and Country Planning Act 1990</x:v>
      </x:c>
      <x:c r="D258" s="15" t="str">
        <x:v>Town and Country Planning Act 1990 s.70</x:v>
      </x:c>
      <x:c r="E258" s="15" t="n">
        <x:f>COUNTIF('Unique per draft'!$H$2:$H$474,A258)</x:f>
        <x:v>1</x:v>
      </x:c>
      <x:c r="F258" s="15" t="n">
        <x:f>COUNTIF('Occurrences'!$I$2:$I$722,A258)</x:f>
        <x:v>1</x:v>
      </x:c>
      <x:c r="G258" s="15" t="n">
        <x:f>COUNTIFS('Unique per draft'!$H$2:$H$474,A258,'Unique per draft'!$D$2:$D$474,"real")</x:f>
        <x:v>1</x:v>
      </x:c>
      <x:c r="H258" s="15" t="n">
        <x:f>COUNTIFS('Unique per draft'!$H$2:$H$474,A258,'Unique per draft'!$D$2:$D$474,"synthetic")</x:f>
        <x:v>0</x:v>
      </x:c>
      <x:c r="I258" s="15" t="str">
        <x:v>cmsbr021t001104jndbjo02xo</x:v>
      </x:c>
    </x:row>
    <x:row r="259">
      <x:c r="A259" s="1" t="str">
        <x:v>legislation:trade marks act 1994 s 5</x:v>
      </x:c>
      <x:c r="B259" s="1" t="str">
        <x:v>legislation</x:v>
      </x:c>
      <x:c r="C259" s="15" t="str">
        <x:v>Trade Marks Act 1994</x:v>
      </x:c>
      <x:c r="D259" s="15" t="str">
        <x:v>Trade Marks Act 1994 Section 5</x:v>
      </x:c>
      <x:c r="E259" s="15" t="n">
        <x:f>COUNTIF('Unique per draft'!$H$2:$H$474,A259)</x:f>
        <x:v>1</x:v>
      </x:c>
      <x:c r="F259" s="15" t="n">
        <x:f>COUNTIF('Occurrences'!$I$2:$I$722,A259)</x:f>
        <x:v>1</x:v>
      </x:c>
      <x:c r="G259" s="15" t="n">
        <x:f>COUNTIFS('Unique per draft'!$H$2:$H$474,A259,'Unique per draft'!$D$2:$D$474,"real")</x:f>
        <x:v>0</x:v>
      </x:c>
      <x:c r="H259" s="15" t="n">
        <x:f>COUNTIFS('Unique per draft'!$H$2:$H$474,A259,'Unique per draft'!$D$2:$D$474,"synthetic")</x:f>
        <x:v>1</x:v>
      </x:c>
      <x:c r="I259" s="15" t="str">
        <x:v>cmst4kl1t000h04js7g8j67zy</x:v>
      </x:c>
    </x:row>
    <x:row r="260">
      <x:c r="A260" s="1" t="str">
        <x:v>legislation:trustee act 1925</x:v>
      </x:c>
      <x:c r="B260" s="1" t="str">
        <x:v>legislation</x:v>
      </x:c>
      <x:c r="C260" s="15" t="str">
        <x:v>Trustee Act 1925</x:v>
      </x:c>
      <x:c r="D260" s="15" t="str">
        <x:v>Trustee Act 1925</x:v>
      </x:c>
      <x:c r="E260" s="15" t="n">
        <x:f>COUNTIF('Unique per draft'!$H$2:$H$474,A260)</x:f>
        <x:v>1</x:v>
      </x:c>
      <x:c r="F260" s="15" t="n">
        <x:f>COUNTIF('Occurrences'!$I$2:$I$722,A260)</x:f>
        <x:v>1</x:v>
      </x:c>
      <x:c r="G260" s="15" t="n">
        <x:f>COUNTIFS('Unique per draft'!$H$2:$H$474,A260,'Unique per draft'!$D$2:$D$474,"real")</x:f>
        <x:v>0</x:v>
      </x:c>
      <x:c r="H260" s="15" t="n">
        <x:f>COUNTIFS('Unique per draft'!$H$2:$H$474,A260,'Unique per draft'!$D$2:$D$474,"synthetic")</x:f>
        <x:v>1</x:v>
      </x:c>
      <x:c r="I260" s="15" t="str">
        <x:v>cmm0ckscr000t04i312fc6edg</x:v>
      </x:c>
    </x:row>
    <x:row r="261">
      <x:c r="A261" s="1" t="str">
        <x:v>legislation:trustee act 1925 s 31</x:v>
      </x:c>
      <x:c r="B261" s="1" t="str">
        <x:v>legislation</x:v>
      </x:c>
      <x:c r="C261" s="15" t="str">
        <x:v>Trustee Act 1925</x:v>
      </x:c>
      <x:c r="D261" s="15" t="str">
        <x:v>Trustee Act 1925 section 31</x:v>
      </x:c>
      <x:c r="E261" s="15" t="n">
        <x:f>COUNTIF('Unique per draft'!$H$2:$H$474,A261)</x:f>
        <x:v>1</x:v>
      </x:c>
      <x:c r="F261" s="15" t="n">
        <x:f>COUNTIF('Occurrences'!$I$2:$I$722,A261)</x:f>
        <x:v>1</x:v>
      </x:c>
      <x:c r="G261" s="15" t="n">
        <x:f>COUNTIFS('Unique per draft'!$H$2:$H$474,A261,'Unique per draft'!$D$2:$D$474,"real")</x:f>
        <x:v>0</x:v>
      </x:c>
      <x:c r="H261" s="15" t="n">
        <x:f>COUNTIFS('Unique per draft'!$H$2:$H$474,A261,'Unique per draft'!$D$2:$D$474,"synthetic")</x:f>
        <x:v>1</x:v>
      </x:c>
      <x:c r="I261" s="15" t="str">
        <x:v>cmm0ckscr000t04i312fc6edg</x:v>
      </x:c>
    </x:row>
    <x:row r="262">
      <x:c r="A262" s="1" t="str">
        <x:v>legislation:trustee act 1925 s 1</x:v>
      </x:c>
      <x:c r="B262" s="1" t="str">
        <x:v>legislation</x:v>
      </x:c>
      <x:c r="C262" s="15" t="str">
        <x:v>Trustee Act 1925</x:v>
      </x:c>
      <x:c r="D262" s="15" t="str">
        <x:v>Trustee Act 1925 Section 1</x:v>
      </x:c>
      <x:c r="E262" s="15" t="n">
        <x:f>COUNTIF('Unique per draft'!$H$2:$H$474,A262)</x:f>
        <x:v>2</x:v>
      </x:c>
      <x:c r="F262" s="15" t="n">
        <x:f>COUNTIF('Occurrences'!$I$2:$I$722,A262)</x:f>
        <x:v>2</x:v>
      </x:c>
      <x:c r="G262" s="15" t="n">
        <x:f>COUNTIFS('Unique per draft'!$H$2:$H$474,A262,'Unique per draft'!$D$2:$D$474,"real")</x:f>
        <x:v>0</x:v>
      </x:c>
      <x:c r="H262" s="15" t="n">
        <x:f>COUNTIFS('Unique per draft'!$H$2:$H$474,A262,'Unique per draft'!$D$2:$D$474,"synthetic")</x:f>
        <x:v>2</x:v>
      </x:c>
      <x:c r="I262" s="15" t="str">
        <x:v>cmm0ct5sl001504i3x6g18pvd | cmm920v38000b04ib8ug7hazg</x:v>
      </x:c>
    </x:row>
    <x:row r="263">
      <x:c r="A263" s="1" t="str">
        <x:v>legislation:trustee act 1925 s 1 1</x:v>
      </x:c>
      <x:c r="B263" s="1" t="str">
        <x:v>legislation</x:v>
      </x:c>
      <x:c r="C263" s="15" t="str">
        <x:v>Trustee Act 1925</x:v>
      </x:c>
      <x:c r="D263" s="15" t="str">
        <x:v>Trustee Act 1925 s.1(1)</x:v>
      </x:c>
      <x:c r="E263" s="15" t="n">
        <x:f>COUNTIF('Unique per draft'!$H$2:$H$474,A263)</x:f>
        <x:v>1</x:v>
      </x:c>
      <x:c r="F263" s="15" t="n">
        <x:f>COUNTIF('Occurrences'!$I$2:$I$722,A263)</x:f>
        <x:v>1</x:v>
      </x:c>
      <x:c r="G263" s="15" t="n">
        <x:f>COUNTIFS('Unique per draft'!$H$2:$H$474,A263,'Unique per draft'!$D$2:$D$474,"real")</x:f>
        <x:v>0</x:v>
      </x:c>
      <x:c r="H263" s="15" t="n">
        <x:f>COUNTIFS('Unique per draft'!$H$2:$H$474,A263,'Unique per draft'!$D$2:$D$474,"synthetic")</x:f>
        <x:v>1</x:v>
      </x:c>
      <x:c r="I263" s="15" t="str">
        <x:v>cmm927sxp000304jp8fpwf2ew</x:v>
      </x:c>
    </x:row>
    <x:row r="264">
      <x:c r="A264" s="1" t="str">
        <x:v>legislation:trustee act 2000</x:v>
      </x:c>
      <x:c r="B264" s="1" t="str">
        <x:v>legislation</x:v>
      </x:c>
      <x:c r="C264" s="15" t="str">
        <x:v>Trustee Act 2000</x:v>
      </x:c>
      <x:c r="D264" s="15" t="str">
        <x:v>Trustee Act 2000</x:v>
      </x:c>
      <x:c r="E264" s="15" t="n">
        <x:f>COUNTIF('Unique per draft'!$H$2:$H$474,A264)</x:f>
        <x:v>2</x:v>
      </x:c>
      <x:c r="F264" s="15" t="n">
        <x:f>COUNTIF('Occurrences'!$I$2:$I$722,A264)</x:f>
        <x:v>2</x:v>
      </x:c>
      <x:c r="G264" s="15" t="n">
        <x:f>COUNTIFS('Unique per draft'!$H$2:$H$474,A264,'Unique per draft'!$D$2:$D$474,"real")</x:f>
        <x:v>0</x:v>
      </x:c>
      <x:c r="H264" s="15" t="n">
        <x:f>COUNTIFS('Unique per draft'!$H$2:$H$474,A264,'Unique per draft'!$D$2:$D$474,"synthetic")</x:f>
        <x:v>2</x:v>
      </x:c>
      <x:c r="I264" s="15" t="str">
        <x:v>cmm0ckscr000t04i312fc6edg | cmm927sxp000304jp8fpwf2ew</x:v>
      </x:c>
    </x:row>
    <x:row r="265">
      <x:c r="A265" s="1" t="str">
        <x:v>legislation:trustee act 2000 s 3</x:v>
      </x:c>
      <x:c r="B265" s="1" t="str">
        <x:v>legislation</x:v>
      </x:c>
      <x:c r="C265" s="15" t="str">
        <x:v>Trustee Act 2000</x:v>
      </x:c>
      <x:c r="D265" s="15" t="str">
        <x:v>Trustee Act 2000 section 3</x:v>
      </x:c>
      <x:c r="E265" s="15" t="n">
        <x:f>COUNTIF('Unique per draft'!$H$2:$H$474,A265)</x:f>
        <x:v>1</x:v>
      </x:c>
      <x:c r="F265" s="15" t="n">
        <x:f>COUNTIF('Occurrences'!$I$2:$I$722,A265)</x:f>
        <x:v>1</x:v>
      </x:c>
      <x:c r="G265" s="15" t="n">
        <x:f>COUNTIFS('Unique per draft'!$H$2:$H$474,A265,'Unique per draft'!$D$2:$D$474,"real")</x:f>
        <x:v>0</x:v>
      </x:c>
      <x:c r="H265" s="15" t="n">
        <x:f>COUNTIFS('Unique per draft'!$H$2:$H$474,A265,'Unique per draft'!$D$2:$D$474,"synthetic")</x:f>
        <x:v>1</x:v>
      </x:c>
      <x:c r="I265" s="15" t="str">
        <x:v>cmm0ckscr000t04i312fc6edg</x:v>
      </x:c>
    </x:row>
    <x:row r="266">
      <x:c r="A266" s="1" t="str">
        <x:v>legislation:trustee act 2000 sections 3 &amp; 4</x:v>
      </x:c>
      <x:c r="B266" s="1" t="str">
        <x:v>legislation</x:v>
      </x:c>
      <x:c r="C266" s="15" t="str">
        <x:v>Trustee Act 2000</x:v>
      </x:c>
      <x:c r="D266" s="15" t="str">
        <x:v>Trustee Act 2000 Sections 3 &amp; 4</x:v>
      </x:c>
      <x:c r="E266" s="15" t="n">
        <x:f>COUNTIF('Unique per draft'!$H$2:$H$474,A266)</x:f>
        <x:v>1</x:v>
      </x:c>
      <x:c r="F266" s="15" t="n">
        <x:f>COUNTIF('Occurrences'!$I$2:$I$722,A266)</x:f>
        <x:v>1</x:v>
      </x:c>
      <x:c r="G266" s="15" t="n">
        <x:f>COUNTIFS('Unique per draft'!$H$2:$H$474,A266,'Unique per draft'!$D$2:$D$474,"real")</x:f>
        <x:v>0</x:v>
      </x:c>
      <x:c r="H266" s="15" t="n">
        <x:f>COUNTIFS('Unique per draft'!$H$2:$H$474,A266,'Unique per draft'!$D$2:$D$474,"synthetic")</x:f>
        <x:v>1</x:v>
      </x:c>
      <x:c r="I266" s="15" t="str">
        <x:v>cmm0ct5sl001504i3x6g18pvd</x:v>
      </x:c>
    </x:row>
    <x:row r="267">
      <x:c r="A267" s="1" t="str">
        <x:v>legislation:trustee act 2000 s 4</x:v>
      </x:c>
      <x:c r="B267" s="1" t="str">
        <x:v>legislation</x:v>
      </x:c>
      <x:c r="C267" s="15" t="str">
        <x:v>Trustee Act 2000</x:v>
      </x:c>
      <x:c r="D267" s="15" t="str">
        <x:v>Trustee Act 2000 s.4</x:v>
      </x:c>
      <x:c r="E267" s="15" t="n">
        <x:f>COUNTIF('Unique per draft'!$H$2:$H$474,A267)</x:f>
        <x:v>2</x:v>
      </x:c>
      <x:c r="F267" s="15" t="n">
        <x:f>COUNTIF('Occurrences'!$I$2:$I$722,A267)</x:f>
        <x:v>2</x:v>
      </x:c>
      <x:c r="G267" s="15" t="n">
        <x:f>COUNTIFS('Unique per draft'!$H$2:$H$474,A267,'Unique per draft'!$D$2:$D$474,"real")</x:f>
        <x:v>0</x:v>
      </x:c>
      <x:c r="H267" s="15" t="n">
        <x:f>COUNTIFS('Unique per draft'!$H$2:$H$474,A267,'Unique per draft'!$D$2:$D$474,"synthetic")</x:f>
        <x:v>2</x:v>
      </x:c>
      <x:c r="I267" s="15" t="str">
        <x:v>cmm920v38000b04ib8ug7hazg | cmm927sxp000304jp8fpwf2ew</x:v>
      </x:c>
    </x:row>
    <x:row r="268">
      <x:c r="A268" s="1" t="str">
        <x:v>legislation:value added tax act 1994 s 38</x:v>
      </x:c>
      <x:c r="B268" s="1" t="str">
        <x:v>legislation</x:v>
      </x:c>
      <x:c r="C268" s="15" t="str">
        <x:v>Value Added Tax Act 1994</x:v>
      </x:c>
      <x:c r="D268" s="15" t="str">
        <x:v>Value Added Tax Act 1994 Section 38</x:v>
      </x:c>
      <x:c r="E268" s="15" t="n">
        <x:f>COUNTIF('Unique per draft'!$H$2:$H$474,A268)</x:f>
        <x:v>1</x:v>
      </x:c>
      <x:c r="F268" s="15" t="n">
        <x:f>COUNTIF('Occurrences'!$I$2:$I$722,A268)</x:f>
        <x:v>1</x:v>
      </x:c>
      <x:c r="G268" s="15" t="n">
        <x:f>COUNTIFS('Unique per draft'!$H$2:$H$474,A268,'Unique per draft'!$D$2:$D$474,"real")</x:f>
        <x:v>1</x:v>
      </x:c>
      <x:c r="H268" s="15" t="n">
        <x:f>COUNTIFS('Unique per draft'!$H$2:$H$474,A268,'Unique per draft'!$D$2:$D$474,"synthetic")</x:f>
        <x:v>0</x:v>
      </x:c>
      <x:c r="I268" s="15" t="str">
        <x:v>cmsbr3045000j04l4tkps7ymp</x:v>
      </x:c>
    </x:row>
    <x:row r="269">
      <x:c r="A269" s="1" t="str">
        <x:v>legislation:value added tax act 1994 s 24</x:v>
      </x:c>
      <x:c r="B269" s="1" t="str">
        <x:v>legislation</x:v>
      </x:c>
      <x:c r="C269" s="15" t="str">
        <x:v>Value Added Tax Act 1994</x:v>
      </x:c>
      <x:c r="D269" s="15" t="str">
        <x:v>Value Added Tax Act 1994 s.24</x:v>
      </x:c>
      <x:c r="E269" s="15" t="n">
        <x:f>COUNTIF('Unique per draft'!$H$2:$H$474,A269)</x:f>
        <x:v>2</x:v>
      </x:c>
      <x:c r="F269" s="15" t="n">
        <x:f>COUNTIF('Occurrences'!$I$2:$I$722,A269)</x:f>
        <x:v>2</x:v>
      </x:c>
      <x:c r="G269" s="15" t="n">
        <x:f>COUNTIFS('Unique per draft'!$H$2:$H$474,A269,'Unique per draft'!$D$2:$D$474,"real")</x:f>
        <x:v>2</x:v>
      </x:c>
      <x:c r="H269" s="15" t="n">
        <x:f>COUNTIFS('Unique per draft'!$H$2:$H$474,A269,'Unique per draft'!$D$2:$D$474,"synthetic")</x:f>
        <x:v>0</x:v>
      </x:c>
      <x:c r="I269" s="15" t="str">
        <x:v>cmsbr4fhb000v04l4mgwtz5x1 | cmsbr6p4p001704l4z7u6108h</x:v>
      </x:c>
    </x:row>
    <x:row r="270">
      <x:c r="A270" s="1" t="str">
        <x:v>legislation:vat regulations 1995 regulation 101</x:v>
      </x:c>
      <x:c r="B270" s="1" t="str">
        <x:v>legislation</x:v>
      </x:c>
      <x:c r="C270" s="15" t="str">
        <x:v>VAT Regulations 1995</x:v>
      </x:c>
      <x:c r="D270" s="15" t="str">
        <x:v>VAT Regulations 1995 Regulation 101</x:v>
      </x:c>
      <x:c r="E270" s="15" t="n">
        <x:f>COUNTIF('Unique per draft'!$H$2:$H$474,A270)</x:f>
        <x:v>1</x:v>
      </x:c>
      <x:c r="F270" s="15" t="n">
        <x:f>COUNTIF('Occurrences'!$I$2:$I$722,A270)</x:f>
        <x:v>1</x:v>
      </x:c>
      <x:c r="G270" s="15" t="n">
        <x:f>COUNTIFS('Unique per draft'!$H$2:$H$474,A270,'Unique per draft'!$D$2:$D$474,"real")</x:f>
        <x:v>1</x:v>
      </x:c>
      <x:c r="H270" s="15" t="n">
        <x:f>COUNTIFS('Unique per draft'!$H$2:$H$474,A270,'Unique per draft'!$D$2:$D$474,"synthetic")</x:f>
        <x:v>0</x:v>
      </x:c>
      <x:c r="I270" s="15" t="str">
        <x:v>cmsbr3045000j04l4tkps7ymp</x:v>
      </x:c>
    </x:row>
    <x:row r="271">
      <x:c r="A271" s="1" t="str">
        <x:v>legislation:vat regulations 1995 s 8</x:v>
      </x:c>
      <x:c r="B271" s="1" t="str">
        <x:v>legislation</x:v>
      </x:c>
      <x:c r="C271" s="15" t="str">
        <x:v>VAT Regulations 1995</x:v>
      </x:c>
      <x:c r="D271" s="15" t="str">
        <x:v>VAT Regulations 1995 s.8</x:v>
      </x:c>
      <x:c r="E271" s="15" t="n">
        <x:f>COUNTIF('Unique per draft'!$H$2:$H$474,A271)</x:f>
        <x:v>1</x:v>
      </x:c>
      <x:c r="F271" s="15" t="n">
        <x:f>COUNTIF('Occurrences'!$I$2:$I$722,A271)</x:f>
        <x:v>1</x:v>
      </x:c>
      <x:c r="G271" s="15" t="n">
        <x:f>COUNTIFS('Unique per draft'!$H$2:$H$474,A271,'Unique per draft'!$D$2:$D$474,"real")</x:f>
        <x:v>1</x:v>
      </x:c>
      <x:c r="H271" s="15" t="n">
        <x:f>COUNTIFS('Unique per draft'!$H$2:$H$474,A271,'Unique per draft'!$D$2:$D$474,"synthetic")</x:f>
        <x:v>0</x:v>
      </x:c>
      <x:c r="I271" s="15" t="str">
        <x:v>cmsbr6p4p001704l4z7u6108h</x:v>
      </x:c>
    </x:row>
    <x:row r="272">
      <x:c r="A272" s="1" t="str">
        <x:v>other:2000 1 wlr 377</x:v>
      </x:c>
      <x:c r="B272" s="1" t="str">
        <x:v>other</x:v>
      </x:c>
      <x:c r="C272" s="15" t="str">
        <x:v>[2000] 1 WLR 377</x:v>
      </x:c>
      <x:c r="D272" s="15" t="str">
        <x:v>[2000] 1 WLR 377</x:v>
      </x:c>
      <x:c r="E272" s="15" t="n">
        <x:f>COUNTIF('Unique per draft'!$H$2:$H$474,A272)</x:f>
        <x:v>10</x:v>
      </x:c>
      <x:c r="F272" s="15" t="n">
        <x:f>COUNTIF('Occurrences'!$I$2:$I$722,A272)</x:f>
        <x:v>10</x:v>
      </x:c>
      <x:c r="G272" s="15" t="n">
        <x:f>COUNTIFS('Unique per draft'!$H$2:$H$474,A272,'Unique per draft'!$D$2:$D$474,"real")</x:f>
        <x:v>4</x:v>
      </x:c>
      <x:c r="H272" s="15" t="n">
        <x:f>COUNTIFS('Unique per draft'!$H$2:$H$474,A272,'Unique per draft'!$D$2:$D$474,"synthetic")</x:f>
        <x:v>6</x:v>
      </x:c>
      <x:c r="I272" s="15" t="str">
        <x:v>cmm0k3nj8000h04l412ruhfxj | cmm93eoww000904l4jttzk880 | cmmcal70d000h04k3e11w997v | cmmrr64va000h04jvzuquhz2y | cmmxgyd9z000h04kttryogau2 | cms1u865i000904jxu5huyjg5 | cmsbsp3em001104ji2u62id7q | cmst45vlc000h04l7f6nlqawg | cmst49zw4001104l7neqlaa0v | cmst80ckg000h04i9rasplurj</x:v>
      </x:c>
    </x:row>
    <x:row r="273">
      <x:c r="A273" s="1" t="str">
        <x:v>other:2004 1 wlr 1057</x:v>
      </x:c>
      <x:c r="B273" s="1" t="str">
        <x:v>other</x:v>
      </x:c>
      <x:c r="C273" s="15" t="str">
        <x:v>[2004] 1 WLR 1057</x:v>
      </x:c>
      <x:c r="D273" s="15" t="str">
        <x:v>[2004] 1 WLR 1057</x:v>
      </x:c>
      <x:c r="E273" s="15" t="n">
        <x:f>COUNTIF('Unique per draft'!$H$2:$H$474,A273)</x:f>
        <x:v>1</x:v>
      </x:c>
      <x:c r="F273" s="15" t="n">
        <x:f>COUNTIF('Occurrences'!$I$2:$I$722,A273)</x:f>
        <x:v>1</x:v>
      </x:c>
      <x:c r="G273" s="15" t="n">
        <x:f>COUNTIFS('Unique per draft'!$H$2:$H$474,A273,'Unique per draft'!$D$2:$D$474,"real")</x:f>
        <x:v>0</x:v>
      </x:c>
      <x:c r="H273" s="15" t="n">
        <x:f>COUNTIFS('Unique per draft'!$H$2:$H$474,A273,'Unique per draft'!$D$2:$D$474,"synthetic")</x:f>
        <x:v>1</x:v>
      </x:c>
      <x:c r="I273" s="15" t="str">
        <x:v>cmlzrzxca000304l2qk1vevzx</x:v>
      </x:c>
    </x:row>
    <x:row r="274">
      <x:c r="A274" s="1" t="str">
        <x:v>other:2020 4 wlr 55</x:v>
      </x:c>
      <x:c r="B274" s="1" t="str">
        <x:v>other</x:v>
      </x:c>
      <x:c r="C274" s="15" t="str">
        <x:v>[2020] 4 WLR 55</x:v>
      </x:c>
      <x:c r="D274" s="15" t="str">
        <x:v>[2020] 4 WLR 55</x:v>
      </x:c>
      <x:c r="E274" s="15" t="n">
        <x:f>COUNTIF('Unique per draft'!$H$2:$H$474,A274)</x:f>
        <x:v>1</x:v>
      </x:c>
      <x:c r="F274" s="15" t="n">
        <x:f>COUNTIF('Occurrences'!$I$2:$I$722,A274)</x:f>
        <x:v>1</x:v>
      </x:c>
      <x:c r="G274" s="15" t="n">
        <x:f>COUNTIFS('Unique per draft'!$H$2:$H$474,A274,'Unique per draft'!$D$2:$D$474,"real")</x:f>
        <x:v>1</x:v>
      </x:c>
      <x:c r="H274" s="15" t="n">
        <x:f>COUNTIFS('Unique per draft'!$H$2:$H$474,A274,'Unique per draft'!$D$2:$D$474,"synthetic")</x:f>
        <x:v>0</x:v>
      </x:c>
      <x:c r="I274" s="15" t="str">
        <x:v>cmmxgyd9z000h04kttryogau2</x:v>
      </x:c>
    </x:row>
    <x:row r="275">
      <x:c r="A275" s="1" t="str">
        <x:v>other:articles 168 173 and 174 of the pvd</x:v>
      </x:c>
      <x:c r="B275" s="1" t="str">
        <x:v>other</x:v>
      </x:c>
      <x:c r="C275" s="15" t="str">
        <x:v>Articles 168, 173, and 174 of the PVD</x:v>
      </x:c>
      <x:c r="D275" s="15" t="str">
        <x:v>Articles 168, 173, and 174 of the PVD</x:v>
      </x:c>
      <x:c r="E275" s="15" t="n">
        <x:f>COUNTIF('Unique per draft'!$H$2:$H$474,A275)</x:f>
        <x:v>1</x:v>
      </x:c>
      <x:c r="F275" s="15" t="n">
        <x:f>COUNTIF('Occurrences'!$I$2:$I$722,A275)</x:f>
        <x:v>1</x:v>
      </x:c>
      <x:c r="G275" s="15" t="n">
        <x:f>COUNTIFS('Unique per draft'!$H$2:$H$474,A275,'Unique per draft'!$D$2:$D$474,"real")</x:f>
        <x:v>1</x:v>
      </x:c>
      <x:c r="H275" s="15" t="n">
        <x:f>COUNTIFS('Unique per draft'!$H$2:$H$474,A275,'Unique per draft'!$D$2:$D$474,"synthetic")</x:f>
        <x:v>0</x:v>
      </x:c>
      <x:c r="I275" s="15" t="str">
        <x:v>cmsbr4fhb000v04l4mgwtz5x1</x:v>
      </x:c>
    </x:row>
    <x:row r="276">
      <x:c r="A276" s="1" t="str">
        <x:v>other:as established in relevant case law regarding emotional and financial distress claims</x:v>
      </x:c>
      <x:c r="B276" s="1" t="str">
        <x:v>other</x:v>
      </x:c>
      <x:c r="C276" s="15" t="str">
        <x:v>As established in relevant case law regarding emotional and financial distress claims.</x:v>
      </x:c>
      <x:c r="D276" s="15" t="str">
        <x:v>As established in relevant case law regarding emotional and financial distress claims.</x:v>
      </x:c>
      <x:c r="E276" s="15" t="n">
        <x:f>COUNTIF('Unique per draft'!$H$2:$H$474,A276)</x:f>
        <x:v>1</x:v>
      </x:c>
      <x:c r="F276" s="15" t="n">
        <x:f>COUNTIF('Occurrences'!$I$2:$I$722,A276)</x:f>
        <x:v>1</x:v>
      </x:c>
      <x:c r="G276" s="15" t="n">
        <x:f>COUNTIFS('Unique per draft'!$H$2:$H$474,A276,'Unique per draft'!$D$2:$D$474,"real")</x:f>
        <x:v>0</x:v>
      </x:c>
      <x:c r="H276" s="15" t="n">
        <x:f>COUNTIFS('Unique per draft'!$H$2:$H$474,A276,'Unique per draft'!$D$2:$D$474,"synthetic")</x:f>
        <x:v>1</x:v>
      </x:c>
      <x:c r="I276" s="15" t="str">
        <x:v>cmst80ckg000h04i9rasplurj</x:v>
      </x:c>
    </x:row>
    <x:row r="277">
      <x:c r="A277" s="1" t="str">
        <x:v>other:case law on public authorities</x:v>
      </x:c>
      <x:c r="B277" s="1" t="str">
        <x:v>other</x:v>
      </x:c>
      <x:c r="C277" s="15" t="str">
        <x:v>Case law on public authorities</x:v>
      </x:c>
      <x:c r="D277" s="15" t="str">
        <x:v>Case law on public authorities</x:v>
      </x:c>
      <x:c r="E277" s="15" t="n">
        <x:f>COUNTIF('Unique per draft'!$H$2:$H$474,A277)</x:f>
        <x:v>1</x:v>
      </x:c>
      <x:c r="F277" s="15" t="n">
        <x:f>COUNTIF('Occurrences'!$I$2:$I$722,A277)</x:f>
        <x:v>1</x:v>
      </x:c>
      <x:c r="G277" s="15" t="n">
        <x:f>COUNTIFS('Unique per draft'!$H$2:$H$474,A277,'Unique per draft'!$D$2:$D$474,"real")</x:f>
        <x:v>1</x:v>
      </x:c>
      <x:c r="H277" s="15" t="n">
        <x:f>COUNTIFS('Unique per draft'!$H$2:$H$474,A277,'Unique per draft'!$D$2:$D$474,"synthetic")</x:f>
        <x:v>0</x:v>
      </x:c>
      <x:c r="I277" s="15" t="str">
        <x:v>cmmxgyd9z000h04kttryogau2</x:v>
      </x:c>
    </x:row>
    <x:row r="278">
      <x:c r="A278" s="1" t="str">
        <x:v>other:common law duties of care in tort</x:v>
      </x:c>
      <x:c r="B278" s="1" t="str">
        <x:v>other</x:v>
      </x:c>
      <x:c r="C278" s="15" t="str">
        <x:v>Common law duties of care in tort</x:v>
      </x:c>
      <x:c r="D278" s="15" t="str">
        <x:v>Common law duties of care in tort</x:v>
      </x:c>
      <x:c r="E278" s="15" t="n">
        <x:f>COUNTIF('Unique per draft'!$H$2:$H$474,A278)</x:f>
        <x:v>1</x:v>
      </x:c>
      <x:c r="F278" s="15" t="n">
        <x:f>COUNTIF('Occurrences'!$I$2:$I$722,A278)</x:f>
        <x:v>1</x:v>
      </x:c>
      <x:c r="G278" s="15" t="n">
        <x:f>COUNTIFS('Unique per draft'!$H$2:$H$474,A278,'Unique per draft'!$D$2:$D$474,"real")</x:f>
        <x:v>1</x:v>
      </x:c>
      <x:c r="H278" s="15" t="n">
        <x:f>COUNTIFS('Unique per draft'!$H$2:$H$474,A278,'Unique per draft'!$D$2:$D$474,"synthetic")</x:f>
        <x:v>0</x:v>
      </x:c>
      <x:c r="I278" s="15" t="str">
        <x:v>cmmsiews2000304lgc3ooyg67</x:v>
      </x:c>
    </x:row>
    <x:row r="279">
      <x:c r="A279" s="1" t="str">
        <x:v>other:european court of human rights case law</x:v>
      </x:c>
      <x:c r="B279" s="1" t="str">
        <x:v>other</x:v>
      </x:c>
      <x:c r="C279" s="15" t="str">
        <x:v>European Court of Human Rights case law</x:v>
      </x:c>
      <x:c r="D279" s="15" t="str">
        <x:v>European Court of Human Rights case law</x:v>
      </x:c>
      <x:c r="E279" s="15" t="n">
        <x:f>COUNTIF('Unique per draft'!$H$2:$H$474,A279)</x:f>
        <x:v>1</x:v>
      </x:c>
      <x:c r="F279" s="15" t="n">
        <x:f>COUNTIF('Occurrences'!$I$2:$I$722,A279)</x:f>
        <x:v>1</x:v>
      </x:c>
      <x:c r="G279" s="15" t="n">
        <x:f>COUNTIFS('Unique per draft'!$H$2:$H$474,A279,'Unique per draft'!$D$2:$D$474,"real")</x:f>
        <x:v>1</x:v>
      </x:c>
      <x:c r="H279" s="15" t="n">
        <x:f>COUNTIFS('Unique per draft'!$H$2:$H$474,A279,'Unique per draft'!$D$2:$D$474,"synthetic")</x:f>
        <x:v>0</x:v>
      </x:c>
      <x:c r="I279" s="15" t="str">
        <x:v>cmmjtnsdx000904l4vhap8xwc</x:v>
      </x:c>
    </x:row>
    <x:row r="280">
      <x:c r="A280" s="1" t="str">
        <x:v>other:general principles from public law interpretation</x:v>
      </x:c>
      <x:c r="B280" s="1" t="str">
        <x:v>other</x:v>
      </x:c>
      <x:c r="C280" s="15" t="str">
        <x:v>General principles from public law interpretation</x:v>
      </x:c>
      <x:c r="D280" s="15" t="str">
        <x:v>General principles from public law interpretation</x:v>
      </x:c>
      <x:c r="E280" s="15" t="n">
        <x:f>COUNTIF('Unique per draft'!$H$2:$H$474,A280)</x:f>
        <x:v>1</x:v>
      </x:c>
      <x:c r="F280" s="15" t="n">
        <x:f>COUNTIF('Occurrences'!$I$2:$I$722,A280)</x:f>
        <x:v>1</x:v>
      </x:c>
      <x:c r="G280" s="15" t="n">
        <x:f>COUNTIFS('Unique per draft'!$H$2:$H$474,A280,'Unique per draft'!$D$2:$D$474,"real")</x:f>
        <x:v>0</x:v>
      </x:c>
      <x:c r="H280" s="15" t="n">
        <x:f>COUNTIFS('Unique per draft'!$H$2:$H$474,A280,'Unique per draft'!$D$2:$D$474,"synthetic")</x:f>
        <x:v>1</x:v>
      </x:c>
      <x:c r="I280" s="15" t="str">
        <x:v>cmlzy9ss300fz04i80p2yfbg1</x:v>
      </x:c>
    </x:row>
    <x:row r="281">
      <x:c r="A281" s="1" t="str">
        <x:v>other:industry pricing practices</x:v>
      </x:c>
      <x:c r="B281" s="1" t="str">
        <x:v>other</x:v>
      </x:c>
      <x:c r="C281" s="15" t="str">
        <x:v>Industry pricing practices</x:v>
      </x:c>
      <x:c r="D281" s="15" t="str">
        <x:v>Industry pricing practices</x:v>
      </x:c>
      <x:c r="E281" s="15" t="n">
        <x:f>COUNTIF('Unique per draft'!$H$2:$H$474,A281)</x:f>
        <x:v>1</x:v>
      </x:c>
      <x:c r="F281" s="15" t="n">
        <x:f>COUNTIF('Occurrences'!$I$2:$I$722,A281)</x:f>
        <x:v>1</x:v>
      </x:c>
      <x:c r="G281" s="15" t="n">
        <x:f>COUNTIFS('Unique per draft'!$H$2:$H$474,A281,'Unique per draft'!$D$2:$D$474,"real")</x:f>
        <x:v>1</x:v>
      </x:c>
      <x:c r="H281" s="15" t="n">
        <x:f>COUNTIFS('Unique per draft'!$H$2:$H$474,A281,'Unique per draft'!$D$2:$D$474,"synthetic")</x:f>
        <x:v>0</x:v>
      </x:c>
      <x:c r="I281" s="15" t="str">
        <x:v>cmsbrqmhv000j04jp78i2n3gf</x:v>
      </x:c>
    </x:row>
  </x:sheetData>
  <x:pageMargins left="0.7" right="0.7" top="0.75" bottom="0.75" header="0.3" footer="0.3"/>
  <x:tableParts count="1">
    <x:tablePart xmlns:r="http://schemas.openxmlformats.org/officeDocument/2006/relationships" r:id="R0ec15245dee747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94.44000244140625" hidden="0" customWidth="1"/>
  </x:cols>
  <x:sheetData>
    <x:row r="1">
      <x:c r="A1" s="5" t="str">
        <x:v>Field</x:v>
      </x:c>
      <x:c r="B1" s="5" t="str">
        <x:v>Method</x:v>
      </x:c>
    </x:row>
    <x:row r="2" ht="33" customHeight="1">
      <x:c r="A2" s="15" t="str">
        <x:v>Raw source</x:v>
      </x:c>
      <x:c r="B2" s="15" t="str">
        <x:v>draft_decisions_59_2026-08-14.json; 59 Neon draft_decisions rows.</x:v>
      </x:c>
    </x:row>
    <x:row r="3" ht="33" customHeight="1">
      <x:c r="A3" s="15" t="str">
        <x:v>Manual labels</x:v>
      </x:c>
      <x:c r="B3" s="15" t="str">
        <x:v>Joined by draft_id from the user-verified 59-row judgment input manifest.</x:v>
      </x:c>
    </x:row>
    <x:row r="4" ht="33" customHeight="1">
      <x:c r="A4" s="15" t="str">
        <x:v>Case mentions</x:v>
      </x:c>
      <x:c r="B4" s="15" t="str">
        <x:v>Every object inside a sourceCases array plus entries in legalFramework.precedentCitations classified as case authorities.</x:v>
      </x:c>
    </x:row>
    <x:row r="5" ht="33" customHeight="1">
      <x:c r="A5" s="15" t="str">
        <x:v>Legislation mentions</x:v>
      </x:c>
      <x:c r="B5" s="15" t="str">
        <x:v>legalFramework.statutoryProvisions, decisionAndDisposition.interest.statutoryBasis, and legislation-like legalTestSummaries.sourceAuthority values.</x:v>
      </x:c>
    </x:row>
    <x:row r="6" ht="33" customHeight="1">
      <x:c r="A6" s="15" t="str">
        <x:v>Other authorities</x:v>
      </x:c>
      <x:c r="B6" s="15" t="str">
        <x:v>Structured sourceAuthority/precedent values that could not safely be classified as a case or legislation.</x:v>
      </x:c>
    </x:row>
    <x:row r="7" ht="33" customHeight="1">
      <x:c r="A7" s="15" t="str">
        <x:v>Deduplication</x:v>
      </x:c>
      <x:c r="B7" s="15" t="str">
        <x:v>Unique per draft uses a normalized authority key. Neutral citations are preferred when detectable; otherwise normalized authority text is used.</x:v>
      </x:c>
    </x:row>
    <x:row r="8" ht="33" customHeight="1">
      <x:c r="A8" s="15" t="str">
        <x:v>Occurrence</x:v>
      </x:c>
      <x:c r="B8" s="15" t="str">
        <x:v>One appearance of an authority in one structured JSON location.</x:v>
      </x:c>
    </x:row>
    <x:row r="9" ht="33" customHeight="1">
      <x:c r="A9" s="15" t="str">
        <x:v>Unique per draft</x:v>
      </x:c>
      <x:c r="B9" s="15" t="str">
        <x:v>One normalized authority within one generated judgment, with occurrence count and all structured source paths.</x:v>
      </x:c>
    </x:row>
    <x:row r="10" ht="33" customHeight="1">
      <x:c r="A10" s="15" t="str">
        <x:v>Limitation</x:v>
      </x:c>
      <x:c r="B10" s="15" t="str">
        <x:v>This is deterministic structured-field extraction, not substantive legal verification. Manual review remains required for ambiguous names and normalization.</x:v>
      </x:c>
    </x:row>
  </x:sheetData>
  <x:pageMargins left="0.7" right="0.7" top="0.75" bottom="0.75" header="0.3" footer="0.3"/>
  <x:tableParts count="1">
    <x:tablePart xmlns:r="http://schemas.openxmlformats.org/officeDocument/2006/relationships" r:id="Rb8b7776fb0e84c99"/>
  </x:tableParts>
</x:worksheet>
</file>